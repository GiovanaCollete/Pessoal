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T&amp;E\"/>
    </mc:Choice>
  </mc:AlternateContent>
  <xr:revisionPtr revIDLastSave="0" documentId="13_ncr:1_{98ADB2C4-13CB-4322-B69F-50410F6348E5}" xr6:coauthVersionLast="47" xr6:coauthVersionMax="47" xr10:uidLastSave="{00000000-0000-0000-0000-000000000000}"/>
  <bookViews>
    <workbookView xWindow="-28920" yWindow="-105" windowWidth="29040" windowHeight="15720" tabRatio="778" activeTab="8" xr2:uid="{102E39C9-AC4C-4ED2-9D6B-C4B64760BC7B}"/>
  </bookViews>
  <sheets>
    <sheet name="JAN" sheetId="55" r:id="rId1"/>
    <sheet name="FEV" sheetId="56" r:id="rId2"/>
    <sheet name="MAR" sheetId="57" r:id="rId3"/>
    <sheet name="ABR" sheetId="58" r:id="rId4"/>
    <sheet name="MAI" sheetId="59" r:id="rId5"/>
    <sheet name="JUN" sheetId="60" r:id="rId6"/>
    <sheet name="JUL" sheetId="61" r:id="rId7"/>
    <sheet name="AGO" sheetId="63" r:id="rId8"/>
    <sheet name="SET" sheetId="64" r:id="rId9"/>
    <sheet name="OUT" sheetId="65" r:id="rId10"/>
    <sheet name="Clientes" sheetId="3" r:id="rId11"/>
    <sheet name="Oracle" sheetId="43" state="hidden" r:id="rId12"/>
  </sheets>
  <externalReferences>
    <externalReference r:id="rId13"/>
  </externalReferences>
  <definedNames>
    <definedName name="_xlnm._FilterDatabase" localSheetId="3" hidden="1">ABR!$A$1:$P$199</definedName>
    <definedName name="_xlnm._FilterDatabase" localSheetId="7" hidden="1">AGO!$A$1:$P$221</definedName>
    <definedName name="_xlnm._FilterDatabase" localSheetId="10" hidden="1">Clientes!$A$1:$BB$3050</definedName>
    <definedName name="_xlnm._FilterDatabase" localSheetId="1" hidden="1">FEV!$A$1:$P$128</definedName>
    <definedName name="_xlnm._FilterDatabase" localSheetId="0" hidden="1">JAN!$A$1:$P$202</definedName>
    <definedName name="_xlnm._FilterDatabase" localSheetId="6" hidden="1">JUL!$A$1:$Q$206</definedName>
    <definedName name="_xlnm._FilterDatabase" localSheetId="5" hidden="1">JUN!$A$1:$P$210</definedName>
    <definedName name="_xlnm._FilterDatabase" localSheetId="4" hidden="1">MAI!$A$1:$R$240</definedName>
    <definedName name="_xlnm._FilterDatabase" localSheetId="2" hidden="1">MAR!$A$1:$P$167</definedName>
    <definedName name="_xlnm._FilterDatabase" localSheetId="9" hidden="1">OUT!$A$1:$P$203</definedName>
    <definedName name="_xlnm._FilterDatabase" localSheetId="8" hidden="1">SET!$A$1:$P$207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4" i="64" l="1"/>
  <c r="H64" i="64"/>
  <c r="H65" i="64"/>
  <c r="H66" i="64"/>
  <c r="H67" i="64"/>
  <c r="H68" i="64"/>
  <c r="H69" i="64"/>
  <c r="H70" i="64"/>
  <c r="H71" i="64"/>
  <c r="H72" i="64"/>
  <c r="H73" i="64"/>
  <c r="H74" i="64"/>
  <c r="H75" i="64"/>
  <c r="H76" i="64"/>
  <c r="H77" i="64"/>
  <c r="H78" i="64"/>
  <c r="H79" i="64"/>
  <c r="H80" i="64"/>
  <c r="H81" i="64"/>
  <c r="H83" i="64"/>
  <c r="H85" i="64"/>
  <c r="H86" i="64"/>
  <c r="H87" i="64"/>
  <c r="H92" i="64"/>
  <c r="H94" i="64"/>
  <c r="H95" i="64"/>
  <c r="H96" i="64"/>
  <c r="H97" i="64"/>
  <c r="H99" i="64"/>
  <c r="H100" i="64"/>
  <c r="H109" i="64"/>
  <c r="H110" i="64"/>
  <c r="H111" i="64"/>
  <c r="H112" i="64"/>
  <c r="H113" i="64"/>
  <c r="H114" i="64"/>
  <c r="H115" i="64"/>
  <c r="H117" i="64"/>
  <c r="H118" i="64"/>
  <c r="H119" i="64"/>
  <c r="H121" i="64"/>
  <c r="H122" i="64"/>
  <c r="H124" i="64"/>
  <c r="H125" i="64"/>
  <c r="H127" i="64"/>
  <c r="H129" i="64"/>
  <c r="H131" i="64"/>
  <c r="H132" i="64"/>
  <c r="H133" i="64"/>
  <c r="H134" i="64"/>
  <c r="H135" i="64"/>
  <c r="H136" i="64"/>
  <c r="H137" i="64"/>
  <c r="H138" i="64"/>
  <c r="H139" i="64"/>
  <c r="H140" i="64"/>
  <c r="H141" i="64"/>
  <c r="H142" i="64"/>
  <c r="H143" i="64"/>
  <c r="H144" i="64"/>
  <c r="H145" i="64"/>
  <c r="H146" i="64"/>
  <c r="H147" i="64"/>
  <c r="H148" i="64"/>
  <c r="H149" i="64"/>
  <c r="H150" i="64"/>
  <c r="H151" i="64"/>
  <c r="H152" i="64"/>
  <c r="H153" i="64"/>
  <c r="H154" i="64"/>
  <c r="H155" i="64"/>
  <c r="H156" i="64"/>
  <c r="H157" i="64"/>
  <c r="H158" i="64"/>
  <c r="H159" i="64"/>
  <c r="H160" i="64"/>
  <c r="H161" i="64"/>
  <c r="H162" i="64"/>
  <c r="H163" i="64"/>
  <c r="H164" i="64"/>
  <c r="H165" i="64"/>
  <c r="H166" i="64"/>
  <c r="H167" i="64"/>
  <c r="H168" i="64"/>
  <c r="H169" i="64"/>
  <c r="H170" i="64"/>
  <c r="H171" i="64"/>
  <c r="H172" i="64"/>
  <c r="H173" i="64"/>
  <c r="H174" i="64"/>
  <c r="H175" i="64"/>
  <c r="H176" i="64"/>
  <c r="H177" i="64"/>
  <c r="H178" i="64"/>
  <c r="H179" i="64"/>
  <c r="H180" i="64"/>
  <c r="H181" i="64"/>
  <c r="H182" i="64"/>
  <c r="H183" i="64"/>
  <c r="H184" i="64"/>
  <c r="H185" i="64"/>
  <c r="H186" i="64"/>
  <c r="H187" i="64"/>
  <c r="H188" i="64"/>
  <c r="H189" i="64"/>
  <c r="H190" i="64"/>
  <c r="H191" i="64"/>
  <c r="H192" i="64"/>
  <c r="H193" i="64"/>
  <c r="H194" i="64"/>
  <c r="H195" i="64"/>
  <c r="H196" i="64"/>
  <c r="H197" i="64"/>
  <c r="H198" i="64"/>
  <c r="H199" i="64"/>
  <c r="H200" i="64"/>
  <c r="H201" i="64"/>
  <c r="H202" i="64"/>
  <c r="H203" i="64"/>
  <c r="H204" i="64"/>
  <c r="M65" i="64"/>
  <c r="M66" i="64"/>
  <c r="M67" i="64"/>
  <c r="M68" i="64"/>
  <c r="M69" i="64"/>
  <c r="M70" i="64"/>
  <c r="M71" i="64"/>
  <c r="M72" i="64"/>
  <c r="M73" i="64"/>
  <c r="M74" i="64"/>
  <c r="M75" i="64"/>
  <c r="M76" i="64"/>
  <c r="M77" i="64"/>
  <c r="M78" i="64"/>
  <c r="M79" i="64"/>
  <c r="M80" i="64"/>
  <c r="M81" i="64"/>
  <c r="M83" i="64"/>
  <c r="M85" i="64"/>
  <c r="M86" i="64"/>
  <c r="M87" i="64"/>
  <c r="M92" i="64"/>
  <c r="M94" i="64"/>
  <c r="M95" i="64"/>
  <c r="M96" i="64"/>
  <c r="M97" i="64"/>
  <c r="M99" i="64"/>
  <c r="M100" i="64"/>
  <c r="M109" i="64"/>
  <c r="M110" i="64"/>
  <c r="M111" i="64"/>
  <c r="M112" i="64"/>
  <c r="M113" i="64"/>
  <c r="M114" i="64"/>
  <c r="M115" i="64"/>
  <c r="M117" i="64"/>
  <c r="M118" i="64"/>
  <c r="M119" i="64"/>
  <c r="M121" i="64"/>
  <c r="M122" i="64"/>
  <c r="M124" i="64"/>
  <c r="M125" i="64"/>
  <c r="M127" i="64"/>
  <c r="M129" i="64"/>
  <c r="M131" i="64"/>
  <c r="M132" i="64"/>
  <c r="M133" i="64"/>
  <c r="M134" i="64"/>
  <c r="M135" i="64"/>
  <c r="M136" i="64"/>
  <c r="M137" i="64"/>
  <c r="M138" i="64"/>
  <c r="M139" i="64"/>
  <c r="M140" i="64"/>
  <c r="M141" i="64"/>
  <c r="M142" i="64"/>
  <c r="M143" i="64"/>
  <c r="M144" i="64"/>
  <c r="M145" i="64"/>
  <c r="M146" i="64"/>
  <c r="M147" i="64"/>
  <c r="M148" i="64"/>
  <c r="M149" i="64"/>
  <c r="M150" i="64"/>
  <c r="M151" i="64"/>
  <c r="M152" i="64"/>
  <c r="M153" i="64"/>
  <c r="M154" i="64"/>
  <c r="M155" i="64"/>
  <c r="M156" i="64"/>
  <c r="M157" i="64"/>
  <c r="M158" i="64"/>
  <c r="M159" i="64"/>
  <c r="M160" i="64"/>
  <c r="M161" i="64"/>
  <c r="M162" i="64"/>
  <c r="M163" i="64"/>
  <c r="M164" i="64"/>
  <c r="M165" i="64"/>
  <c r="M166" i="64"/>
  <c r="M167" i="64"/>
  <c r="M168" i="64"/>
  <c r="M169" i="64"/>
  <c r="M170" i="64"/>
  <c r="M171" i="64"/>
  <c r="M172" i="64"/>
  <c r="M173" i="64"/>
  <c r="M174" i="64"/>
  <c r="M175" i="64"/>
  <c r="M176" i="64"/>
  <c r="M177" i="64"/>
  <c r="M178" i="64"/>
  <c r="M179" i="64"/>
  <c r="M180" i="64"/>
  <c r="M181" i="64"/>
  <c r="M182" i="64"/>
  <c r="M183" i="64"/>
  <c r="M184" i="64"/>
  <c r="M185" i="64"/>
  <c r="M186" i="64"/>
  <c r="M187" i="64"/>
  <c r="M188" i="64"/>
  <c r="M189" i="64"/>
  <c r="M190" i="64"/>
  <c r="M191" i="64"/>
  <c r="M192" i="64"/>
  <c r="M193" i="64"/>
  <c r="M194" i="64"/>
  <c r="M195" i="64"/>
  <c r="M196" i="64"/>
  <c r="M197" i="64"/>
  <c r="M198" i="64"/>
  <c r="M199" i="64"/>
  <c r="M200" i="64"/>
  <c r="M201" i="64"/>
  <c r="M202" i="64"/>
  <c r="M203" i="64"/>
  <c r="M204" i="64"/>
  <c r="N200" i="65"/>
  <c r="A200" i="65"/>
  <c r="N199" i="65"/>
  <c r="A199" i="65"/>
  <c r="N198" i="65"/>
  <c r="A198" i="65"/>
  <c r="N197" i="65"/>
  <c r="A197" i="65"/>
  <c r="N196" i="65"/>
  <c r="A196" i="65"/>
  <c r="N195" i="65"/>
  <c r="A195" i="65"/>
  <c r="N194" i="65"/>
  <c r="A194" i="65"/>
  <c r="N193" i="65"/>
  <c r="A193" i="65"/>
  <c r="N192" i="65"/>
  <c r="A192" i="65"/>
  <c r="N191" i="65"/>
  <c r="A191" i="65"/>
  <c r="N190" i="65"/>
  <c r="A190" i="65"/>
  <c r="N189" i="65"/>
  <c r="A189" i="65"/>
  <c r="N188" i="65"/>
  <c r="A188" i="65"/>
  <c r="N187" i="65"/>
  <c r="A187" i="65"/>
  <c r="N186" i="65"/>
  <c r="A186" i="65"/>
  <c r="N185" i="65"/>
  <c r="A185" i="65"/>
  <c r="N184" i="65"/>
  <c r="A184" i="65"/>
  <c r="N183" i="65"/>
  <c r="A183" i="65"/>
  <c r="N182" i="65"/>
  <c r="A182" i="65"/>
  <c r="N181" i="65"/>
  <c r="A181" i="65"/>
  <c r="N180" i="65"/>
  <c r="A180" i="65"/>
  <c r="N179" i="65"/>
  <c r="A179" i="65"/>
  <c r="N178" i="65"/>
  <c r="A178" i="65"/>
  <c r="N177" i="65"/>
  <c r="A177" i="65"/>
  <c r="N176" i="65"/>
  <c r="A176" i="65"/>
  <c r="N175" i="65"/>
  <c r="A175" i="65"/>
  <c r="N174" i="65"/>
  <c r="A174" i="65"/>
  <c r="N173" i="65"/>
  <c r="A173" i="65"/>
  <c r="N172" i="65"/>
  <c r="A172" i="65"/>
  <c r="N171" i="65"/>
  <c r="A171" i="65"/>
  <c r="N170" i="65"/>
  <c r="A170" i="65"/>
  <c r="N169" i="65"/>
  <c r="A169" i="65"/>
  <c r="N168" i="65"/>
  <c r="A168" i="65"/>
  <c r="N167" i="65"/>
  <c r="A167" i="65"/>
  <c r="N166" i="65"/>
  <c r="A166" i="65"/>
  <c r="N165" i="65"/>
  <c r="A165" i="65"/>
  <c r="N164" i="65"/>
  <c r="A164" i="65"/>
  <c r="N163" i="65"/>
  <c r="A163" i="65"/>
  <c r="N162" i="65"/>
  <c r="A162" i="65"/>
  <c r="N161" i="65"/>
  <c r="A161" i="65"/>
  <c r="N160" i="65"/>
  <c r="A160" i="65"/>
  <c r="N159" i="65"/>
  <c r="A159" i="65"/>
  <c r="N158" i="65"/>
  <c r="A158" i="65"/>
  <c r="N157" i="65"/>
  <c r="A157" i="65"/>
  <c r="N156" i="65"/>
  <c r="A156" i="65"/>
  <c r="N155" i="65"/>
  <c r="A155" i="65"/>
  <c r="N154" i="65"/>
  <c r="A154" i="65"/>
  <c r="N153" i="65"/>
  <c r="A153" i="65"/>
  <c r="N152" i="65"/>
  <c r="A152" i="65"/>
  <c r="N151" i="65"/>
  <c r="A151" i="65"/>
  <c r="N150" i="65"/>
  <c r="A150" i="65"/>
  <c r="N149" i="65"/>
  <c r="A149" i="65"/>
  <c r="N148" i="65"/>
  <c r="A148" i="65"/>
  <c r="N147" i="65"/>
  <c r="A147" i="65"/>
  <c r="N146" i="65"/>
  <c r="A146" i="65"/>
  <c r="N145" i="65"/>
  <c r="A145" i="65"/>
  <c r="N144" i="65"/>
  <c r="A144" i="65"/>
  <c r="N143" i="65"/>
  <c r="A143" i="65"/>
  <c r="N142" i="65"/>
  <c r="A142" i="65"/>
  <c r="N141" i="65"/>
  <c r="A141" i="65"/>
  <c r="N140" i="65"/>
  <c r="A140" i="65"/>
  <c r="N139" i="65"/>
  <c r="A139" i="65"/>
  <c r="N138" i="65"/>
  <c r="A138" i="65"/>
  <c r="N137" i="65"/>
  <c r="A137" i="65"/>
  <c r="N136" i="65"/>
  <c r="A136" i="65"/>
  <c r="N135" i="65"/>
  <c r="A135" i="65"/>
  <c r="N134" i="65"/>
  <c r="A134" i="65"/>
  <c r="N133" i="65"/>
  <c r="A133" i="65"/>
  <c r="N132" i="65"/>
  <c r="A132" i="65"/>
  <c r="N131" i="65"/>
  <c r="A131" i="65"/>
  <c r="N130" i="65"/>
  <c r="A130" i="65"/>
  <c r="N129" i="65"/>
  <c r="A129" i="65"/>
  <c r="N128" i="65"/>
  <c r="A128" i="65"/>
  <c r="N127" i="65"/>
  <c r="A127" i="65"/>
  <c r="N126" i="65"/>
  <c r="A126" i="65"/>
  <c r="N125" i="65"/>
  <c r="A125" i="65"/>
  <c r="N124" i="65"/>
  <c r="A124" i="65"/>
  <c r="N123" i="65"/>
  <c r="A123" i="65"/>
  <c r="N122" i="65"/>
  <c r="A122" i="65"/>
  <c r="N121" i="65"/>
  <c r="A121" i="65"/>
  <c r="N120" i="65"/>
  <c r="A120" i="65"/>
  <c r="N119" i="65"/>
  <c r="A119" i="65"/>
  <c r="N118" i="65"/>
  <c r="A118" i="65"/>
  <c r="N117" i="65"/>
  <c r="A117" i="65"/>
  <c r="N116" i="65"/>
  <c r="A116" i="65"/>
  <c r="N115" i="65"/>
  <c r="A115" i="65"/>
  <c r="N114" i="65"/>
  <c r="A114" i="65"/>
  <c r="N113" i="65"/>
  <c r="A113" i="65"/>
  <c r="N112" i="65"/>
  <c r="A112" i="65"/>
  <c r="N111" i="65"/>
  <c r="A111" i="65"/>
  <c r="N110" i="65"/>
  <c r="A110" i="65"/>
  <c r="N109" i="65"/>
  <c r="A109" i="65"/>
  <c r="N108" i="65"/>
  <c r="A108" i="65"/>
  <c r="N107" i="65"/>
  <c r="A107" i="65"/>
  <c r="N106" i="65"/>
  <c r="A106" i="65"/>
  <c r="N105" i="65"/>
  <c r="A105" i="65"/>
  <c r="N104" i="65"/>
  <c r="A104" i="65"/>
  <c r="N103" i="65"/>
  <c r="A103" i="65"/>
  <c r="N102" i="65"/>
  <c r="A102" i="65"/>
  <c r="N101" i="65"/>
  <c r="A101" i="65"/>
  <c r="N100" i="65"/>
  <c r="A100" i="65"/>
  <c r="N99" i="65"/>
  <c r="A99" i="65"/>
  <c r="N98" i="65"/>
  <c r="A98" i="65"/>
  <c r="N97" i="65"/>
  <c r="A97" i="65"/>
  <c r="N96" i="65"/>
  <c r="A96" i="65"/>
  <c r="N95" i="65"/>
  <c r="A95" i="65"/>
  <c r="N94" i="65"/>
  <c r="A94" i="65"/>
  <c r="N93" i="65"/>
  <c r="A93" i="65"/>
  <c r="N92" i="65"/>
  <c r="A92" i="65"/>
  <c r="N91" i="65"/>
  <c r="A91" i="65"/>
  <c r="N90" i="65"/>
  <c r="A90" i="65"/>
  <c r="N89" i="65"/>
  <c r="A89" i="65"/>
  <c r="N88" i="65"/>
  <c r="A88" i="65"/>
  <c r="N87" i="65"/>
  <c r="A87" i="65"/>
  <c r="N86" i="65"/>
  <c r="A86" i="65"/>
  <c r="N85" i="65"/>
  <c r="A85" i="65"/>
  <c r="N84" i="65"/>
  <c r="A84" i="65"/>
  <c r="N83" i="65"/>
  <c r="A83" i="65"/>
  <c r="N82" i="65"/>
  <c r="A82" i="65"/>
  <c r="N81" i="65"/>
  <c r="A81" i="65"/>
  <c r="N80" i="65"/>
  <c r="A80" i="65"/>
  <c r="N79" i="65"/>
  <c r="A79" i="65"/>
  <c r="N78" i="65"/>
  <c r="A78" i="65"/>
  <c r="N77" i="65"/>
  <c r="A77" i="65"/>
  <c r="N76" i="65"/>
  <c r="A76" i="65"/>
  <c r="N75" i="65"/>
  <c r="A75" i="65"/>
  <c r="N74" i="65"/>
  <c r="A74" i="65"/>
  <c r="N73" i="65"/>
  <c r="A73" i="65"/>
  <c r="N72" i="65"/>
  <c r="A72" i="65"/>
  <c r="N71" i="65"/>
  <c r="A71" i="65"/>
  <c r="N70" i="65"/>
  <c r="A70" i="65"/>
  <c r="N69" i="65"/>
  <c r="A69" i="65"/>
  <c r="N68" i="65"/>
  <c r="A68" i="65"/>
  <c r="N67" i="65"/>
  <c r="A67" i="65"/>
  <c r="N66" i="65"/>
  <c r="A66" i="65"/>
  <c r="N65" i="65"/>
  <c r="A65" i="65"/>
  <c r="N64" i="65"/>
  <c r="A64" i="65"/>
  <c r="N63" i="65"/>
  <c r="A63" i="65"/>
  <c r="N62" i="65"/>
  <c r="A62" i="65"/>
  <c r="N61" i="65"/>
  <c r="A61" i="65"/>
  <c r="N60" i="65"/>
  <c r="A60" i="65"/>
  <c r="N59" i="65"/>
  <c r="A59" i="65"/>
  <c r="N58" i="65"/>
  <c r="A58" i="65"/>
  <c r="N57" i="65"/>
  <c r="A57" i="65"/>
  <c r="N56" i="65"/>
  <c r="A56" i="65"/>
  <c r="N55" i="65"/>
  <c r="A55" i="65"/>
  <c r="N54" i="65"/>
  <c r="A54" i="65"/>
  <c r="N53" i="65"/>
  <c r="A53" i="65"/>
  <c r="N52" i="65"/>
  <c r="A52" i="65"/>
  <c r="N51" i="65"/>
  <c r="A51" i="65"/>
  <c r="N50" i="65"/>
  <c r="A50" i="65"/>
  <c r="N49" i="65"/>
  <c r="A49" i="65"/>
  <c r="N48" i="65"/>
  <c r="A48" i="65"/>
  <c r="N47" i="65"/>
  <c r="A47" i="65"/>
  <c r="N46" i="65"/>
  <c r="A46" i="65"/>
  <c r="N45" i="65"/>
  <c r="A45" i="65"/>
  <c r="N44" i="65"/>
  <c r="A44" i="65"/>
  <c r="N43" i="65"/>
  <c r="A43" i="65"/>
  <c r="N42" i="65"/>
  <c r="A42" i="65"/>
  <c r="N41" i="65"/>
  <c r="A41" i="65"/>
  <c r="N40" i="65"/>
  <c r="A40" i="65"/>
  <c r="N39" i="65"/>
  <c r="A39" i="65"/>
  <c r="N38" i="65"/>
  <c r="A38" i="65"/>
  <c r="N37" i="65"/>
  <c r="A37" i="65"/>
  <c r="N36" i="65"/>
  <c r="A36" i="65"/>
  <c r="N35" i="65"/>
  <c r="A35" i="65"/>
  <c r="N34" i="65"/>
  <c r="A34" i="65"/>
  <c r="N33" i="65"/>
  <c r="A33" i="65"/>
  <c r="N32" i="65"/>
  <c r="A32" i="65"/>
  <c r="N31" i="65"/>
  <c r="A31" i="65"/>
  <c r="N30" i="65"/>
  <c r="A30" i="65"/>
  <c r="N29" i="65"/>
  <c r="A29" i="65"/>
  <c r="N28" i="65"/>
  <c r="A28" i="65"/>
  <c r="N27" i="65"/>
  <c r="A27" i="65"/>
  <c r="N26" i="65"/>
  <c r="A26" i="65"/>
  <c r="N25" i="65"/>
  <c r="A25" i="65"/>
  <c r="N24" i="65"/>
  <c r="A24" i="65"/>
  <c r="N23" i="65"/>
  <c r="A23" i="65"/>
  <c r="N22" i="65"/>
  <c r="A22" i="65"/>
  <c r="N21" i="65"/>
  <c r="A21" i="65"/>
  <c r="N20" i="65"/>
  <c r="A20" i="65"/>
  <c r="N19" i="65"/>
  <c r="A19" i="65"/>
  <c r="N18" i="65"/>
  <c r="A18" i="65"/>
  <c r="N17" i="65"/>
  <c r="A17" i="65"/>
  <c r="N16" i="65"/>
  <c r="A16" i="65"/>
  <c r="N15" i="65"/>
  <c r="A15" i="65"/>
  <c r="N14" i="65"/>
  <c r="A14" i="65"/>
  <c r="N13" i="65"/>
  <c r="A13" i="65"/>
  <c r="N12" i="65"/>
  <c r="A12" i="65"/>
  <c r="N11" i="65"/>
  <c r="A11" i="65"/>
  <c r="N10" i="65"/>
  <c r="A10" i="65"/>
  <c r="N9" i="65"/>
  <c r="A9" i="65"/>
  <c r="N8" i="65"/>
  <c r="A8" i="65"/>
  <c r="N7" i="65"/>
  <c r="A7" i="65"/>
  <c r="N6" i="65"/>
  <c r="A6" i="65"/>
  <c r="N5" i="65"/>
  <c r="A5" i="65"/>
  <c r="N4" i="65"/>
  <c r="A4" i="65"/>
  <c r="N3" i="65"/>
  <c r="A3" i="65"/>
  <c r="N2" i="65"/>
  <c r="A2" i="65"/>
  <c r="O4" i="64"/>
  <c r="O5" i="64"/>
  <c r="O6" i="64"/>
  <c r="O7" i="64"/>
  <c r="O8" i="64"/>
  <c r="O9" i="64"/>
  <c r="O10" i="64"/>
  <c r="O11" i="64"/>
  <c r="O12" i="64"/>
  <c r="O13" i="64"/>
  <c r="O14" i="64"/>
  <c r="O15" i="64"/>
  <c r="O16" i="64"/>
  <c r="O17" i="64"/>
  <c r="O18" i="64"/>
  <c r="O19" i="64"/>
  <c r="O20" i="64"/>
  <c r="O21" i="64"/>
  <c r="O22" i="64"/>
  <c r="O23" i="64"/>
  <c r="O24" i="64"/>
  <c r="O25" i="64"/>
  <c r="O26" i="64"/>
  <c r="O27" i="64"/>
  <c r="O28" i="64"/>
  <c r="O29" i="64"/>
  <c r="O30" i="64"/>
  <c r="O31" i="64"/>
  <c r="O32" i="64"/>
  <c r="O33" i="64"/>
  <c r="O34" i="64"/>
  <c r="O35" i="64"/>
  <c r="O36" i="64"/>
  <c r="O37" i="64"/>
  <c r="O38" i="64"/>
  <c r="O39" i="64"/>
  <c r="O40" i="64"/>
  <c r="O41" i="64"/>
  <c r="O42" i="64"/>
  <c r="O43" i="64"/>
  <c r="O44" i="64"/>
  <c r="O45" i="64"/>
  <c r="O46" i="64"/>
  <c r="O47" i="64"/>
  <c r="O48" i="64"/>
  <c r="O49" i="64"/>
  <c r="O50" i="64"/>
  <c r="O51" i="64"/>
  <c r="O52" i="64"/>
  <c r="O53" i="64"/>
  <c r="O54" i="64"/>
  <c r="O55" i="64"/>
  <c r="O56" i="64"/>
  <c r="O57" i="64"/>
  <c r="O58" i="64"/>
  <c r="O59" i="64"/>
  <c r="O60" i="64"/>
  <c r="O61" i="64"/>
  <c r="O62" i="64"/>
  <c r="O63" i="64"/>
  <c r="O64" i="64"/>
  <c r="O65" i="64"/>
  <c r="O66" i="64"/>
  <c r="O67" i="64"/>
  <c r="O68" i="64"/>
  <c r="O69" i="64"/>
  <c r="O70" i="64"/>
  <c r="O71" i="64"/>
  <c r="O72" i="64"/>
  <c r="O73" i="64"/>
  <c r="O74" i="64"/>
  <c r="O75" i="64"/>
  <c r="O76" i="64"/>
  <c r="O77" i="64"/>
  <c r="O78" i="64"/>
  <c r="O79" i="64"/>
  <c r="O80" i="64"/>
  <c r="O81" i="64"/>
  <c r="O82" i="64"/>
  <c r="O83" i="64"/>
  <c r="O84" i="64"/>
  <c r="O85" i="64"/>
  <c r="O86" i="64"/>
  <c r="O87" i="64"/>
  <c r="O88" i="64"/>
  <c r="O89" i="64"/>
  <c r="O90" i="64"/>
  <c r="O91" i="64"/>
  <c r="O92" i="64"/>
  <c r="O93" i="64"/>
  <c r="O94" i="64"/>
  <c r="O95" i="64"/>
  <c r="O96" i="64"/>
  <c r="O97" i="64"/>
  <c r="O98" i="64"/>
  <c r="O99" i="64"/>
  <c r="O100" i="64"/>
  <c r="O101" i="64"/>
  <c r="O102" i="64"/>
  <c r="O103" i="64"/>
  <c r="O104" i="64"/>
  <c r="O105" i="64"/>
  <c r="O106" i="64"/>
  <c r="O107" i="64"/>
  <c r="O108" i="64"/>
  <c r="O109" i="64"/>
  <c r="O110" i="64"/>
  <c r="O111" i="64"/>
  <c r="O112" i="64"/>
  <c r="O113" i="64"/>
  <c r="O114" i="64"/>
  <c r="O115" i="64"/>
  <c r="O116" i="64"/>
  <c r="O117" i="64"/>
  <c r="O118" i="64"/>
  <c r="O119" i="64"/>
  <c r="O120" i="64"/>
  <c r="O121" i="64"/>
  <c r="O122" i="64"/>
  <c r="O123" i="64"/>
  <c r="O124" i="64"/>
  <c r="O125" i="64"/>
  <c r="O126" i="64"/>
  <c r="O127" i="64"/>
  <c r="O128" i="64"/>
  <c r="O129" i="64"/>
  <c r="O130" i="64"/>
  <c r="O131" i="64"/>
  <c r="O132" i="64"/>
  <c r="O133" i="64"/>
  <c r="O134" i="64"/>
  <c r="O135" i="64"/>
  <c r="O136" i="64"/>
  <c r="O137" i="64"/>
  <c r="O138" i="64"/>
  <c r="O139" i="64"/>
  <c r="O140" i="64"/>
  <c r="O141" i="64"/>
  <c r="O142" i="64"/>
  <c r="O143" i="64"/>
  <c r="O144" i="64"/>
  <c r="O145" i="64"/>
  <c r="O146" i="64"/>
  <c r="O147" i="64"/>
  <c r="O148" i="64"/>
  <c r="O149" i="64"/>
  <c r="O150" i="64"/>
  <c r="O151" i="64"/>
  <c r="O152" i="64"/>
  <c r="O153" i="64"/>
  <c r="O154" i="64"/>
  <c r="O155" i="64"/>
  <c r="O156" i="64"/>
  <c r="O157" i="64"/>
  <c r="O158" i="64"/>
  <c r="O159" i="64"/>
  <c r="O160" i="64"/>
  <c r="O161" i="64"/>
  <c r="O162" i="64"/>
  <c r="O163" i="64"/>
  <c r="O164" i="64"/>
  <c r="O165" i="64"/>
  <c r="O166" i="64"/>
  <c r="O167" i="64"/>
  <c r="O168" i="64"/>
  <c r="O169" i="64"/>
  <c r="O170" i="64"/>
  <c r="O171" i="64"/>
  <c r="O172" i="64"/>
  <c r="O173" i="64"/>
  <c r="O174" i="64"/>
  <c r="O175" i="64"/>
  <c r="O176" i="64"/>
  <c r="O177" i="64"/>
  <c r="O178" i="64"/>
  <c r="O179" i="64"/>
  <c r="O180" i="64"/>
  <c r="O181" i="64"/>
  <c r="O182" i="64"/>
  <c r="O183" i="64"/>
  <c r="O184" i="64"/>
  <c r="O185" i="64"/>
  <c r="O186" i="64"/>
  <c r="O187" i="64"/>
  <c r="O188" i="64"/>
  <c r="O189" i="64"/>
  <c r="O190" i="64"/>
  <c r="O191" i="64"/>
  <c r="O192" i="64"/>
  <c r="O193" i="64"/>
  <c r="O194" i="64"/>
  <c r="O195" i="64"/>
  <c r="O196" i="64"/>
  <c r="O197" i="64"/>
  <c r="O198" i="64"/>
  <c r="O199" i="64"/>
  <c r="O200" i="64"/>
  <c r="O201" i="64"/>
  <c r="O202" i="64"/>
  <c r="O203" i="64"/>
  <c r="O204" i="64"/>
  <c r="O205" i="64"/>
  <c r="O206" i="64"/>
  <c r="O207" i="64"/>
  <c r="O3" i="64"/>
  <c r="N36" i="64" l="1"/>
  <c r="N37" i="64"/>
  <c r="N38" i="64"/>
  <c r="N39" i="64"/>
  <c r="N40" i="64"/>
  <c r="N41" i="64"/>
  <c r="N42" i="64"/>
  <c r="N43" i="64"/>
  <c r="N44" i="64"/>
  <c r="N45" i="64"/>
  <c r="N46" i="64"/>
  <c r="N47" i="64"/>
  <c r="N48" i="64"/>
  <c r="N49" i="64"/>
  <c r="N50" i="64"/>
  <c r="N51" i="64"/>
  <c r="N52" i="64"/>
  <c r="N53" i="64"/>
  <c r="N54" i="64"/>
  <c r="N55" i="64"/>
  <c r="N56" i="64"/>
  <c r="N57" i="64"/>
  <c r="N58" i="64"/>
  <c r="N59" i="64"/>
  <c r="N60" i="64"/>
  <c r="N61" i="64"/>
  <c r="N62" i="64"/>
  <c r="N63" i="64"/>
  <c r="N64" i="64"/>
  <c r="N65" i="64"/>
  <c r="N66" i="64"/>
  <c r="N67" i="64"/>
  <c r="N68" i="64"/>
  <c r="N69" i="64"/>
  <c r="N70" i="64"/>
  <c r="N71" i="64"/>
  <c r="N72" i="64"/>
  <c r="N73" i="64"/>
  <c r="N74" i="64"/>
  <c r="N75" i="64"/>
  <c r="N76" i="64"/>
  <c r="N77" i="64"/>
  <c r="N78" i="64"/>
  <c r="N79" i="64"/>
  <c r="N80" i="64"/>
  <c r="N81" i="64"/>
  <c r="N82" i="64"/>
  <c r="N83" i="64"/>
  <c r="N84" i="64"/>
  <c r="N85" i="64"/>
  <c r="N86" i="64"/>
  <c r="N87" i="64"/>
  <c r="N88" i="64"/>
  <c r="N89" i="64"/>
  <c r="N90" i="64"/>
  <c r="N91" i="64"/>
  <c r="N92" i="64"/>
  <c r="N93" i="64"/>
  <c r="N94" i="64"/>
  <c r="N95" i="64"/>
  <c r="N96" i="64"/>
  <c r="N97" i="64"/>
  <c r="N98" i="64"/>
  <c r="N99" i="64"/>
  <c r="N100" i="64"/>
  <c r="N101" i="64"/>
  <c r="N102" i="64"/>
  <c r="N103" i="64"/>
  <c r="N104" i="64"/>
  <c r="N105" i="64"/>
  <c r="N106" i="64"/>
  <c r="N107" i="64"/>
  <c r="N108" i="64"/>
  <c r="N109" i="64"/>
  <c r="N110" i="64"/>
  <c r="N111" i="64"/>
  <c r="N112" i="64"/>
  <c r="N113" i="64"/>
  <c r="N114" i="64"/>
  <c r="N115" i="64"/>
  <c r="N116" i="64"/>
  <c r="N117" i="64"/>
  <c r="N118" i="64"/>
  <c r="N119" i="64"/>
  <c r="N120" i="64"/>
  <c r="N121" i="64"/>
  <c r="N122" i="64"/>
  <c r="N123" i="64"/>
  <c r="N124" i="64"/>
  <c r="N125" i="64"/>
  <c r="N126" i="64"/>
  <c r="N127" i="64"/>
  <c r="N128" i="64"/>
  <c r="N129" i="64"/>
  <c r="N130" i="64"/>
  <c r="N131" i="64"/>
  <c r="N132" i="64"/>
  <c r="N133" i="64"/>
  <c r="N134" i="64"/>
  <c r="N135" i="64"/>
  <c r="N136" i="64"/>
  <c r="N137" i="64"/>
  <c r="N138" i="64"/>
  <c r="N139" i="64"/>
  <c r="N140" i="64"/>
  <c r="N141" i="64"/>
  <c r="N142" i="64"/>
  <c r="N143" i="64"/>
  <c r="N144" i="64"/>
  <c r="N145" i="64"/>
  <c r="N146" i="64"/>
  <c r="N147" i="64"/>
  <c r="N148" i="64"/>
  <c r="N149" i="64"/>
  <c r="N150" i="64"/>
  <c r="N151" i="64"/>
  <c r="N152" i="64"/>
  <c r="N153" i="64"/>
  <c r="N154" i="64"/>
  <c r="N155" i="64"/>
  <c r="N156" i="64"/>
  <c r="N157" i="64"/>
  <c r="N158" i="64"/>
  <c r="N159" i="64"/>
  <c r="N160" i="64"/>
  <c r="N161" i="64"/>
  <c r="N162" i="64"/>
  <c r="N163" i="64"/>
  <c r="N164" i="64"/>
  <c r="N165" i="64"/>
  <c r="N166" i="64"/>
  <c r="N167" i="64"/>
  <c r="N168" i="64"/>
  <c r="N169" i="64"/>
  <c r="N170" i="64"/>
  <c r="N171" i="64"/>
  <c r="N172" i="64"/>
  <c r="N173" i="64"/>
  <c r="N174" i="64"/>
  <c r="N175" i="64"/>
  <c r="N176" i="64"/>
  <c r="N177" i="64"/>
  <c r="N178" i="64"/>
  <c r="N179" i="64"/>
  <c r="N180" i="64"/>
  <c r="N181" i="64"/>
  <c r="N182" i="64"/>
  <c r="N183" i="64"/>
  <c r="N184" i="64"/>
  <c r="N185" i="64"/>
  <c r="N186" i="64"/>
  <c r="N187" i="64"/>
  <c r="N188" i="64"/>
  <c r="N189" i="64"/>
  <c r="N190" i="64"/>
  <c r="N191" i="64"/>
  <c r="N192" i="64"/>
  <c r="N193" i="64"/>
  <c r="N194" i="64"/>
  <c r="N195" i="64"/>
  <c r="N196" i="64"/>
  <c r="N197" i="64"/>
  <c r="N198" i="64"/>
  <c r="N199" i="64"/>
  <c r="N200" i="64"/>
  <c r="N201" i="64"/>
  <c r="N202" i="64"/>
  <c r="N203" i="64"/>
  <c r="N204" i="64"/>
  <c r="A2" i="64"/>
  <c r="A8" i="64"/>
  <c r="A9" i="64"/>
  <c r="A10" i="64"/>
  <c r="A11" i="64"/>
  <c r="A12" i="64"/>
  <c r="A13" i="64"/>
  <c r="A14" i="64"/>
  <c r="A15" i="64"/>
  <c r="A16" i="64"/>
  <c r="A17" i="64"/>
  <c r="A18" i="64"/>
  <c r="A19" i="64"/>
  <c r="A20" i="64"/>
  <c r="A21" i="64"/>
  <c r="A22" i="64"/>
  <c r="A23" i="64"/>
  <c r="A24" i="64"/>
  <c r="A25" i="64"/>
  <c r="A26" i="64"/>
  <c r="A27" i="64"/>
  <c r="A28" i="64"/>
  <c r="A29" i="64"/>
  <c r="A30" i="64"/>
  <c r="A31" i="64"/>
  <c r="A32" i="64"/>
  <c r="A33" i="64"/>
  <c r="A34" i="64"/>
  <c r="A35" i="64"/>
  <c r="A36" i="64"/>
  <c r="A37" i="64"/>
  <c r="A38" i="64"/>
  <c r="A39" i="64"/>
  <c r="A40" i="64"/>
  <c r="A41" i="64"/>
  <c r="A42" i="64"/>
  <c r="A43" i="64"/>
  <c r="A44" i="64"/>
  <c r="A45" i="64"/>
  <c r="A46" i="64"/>
  <c r="A47" i="64"/>
  <c r="A48" i="64"/>
  <c r="A49" i="64"/>
  <c r="A50" i="64"/>
  <c r="A51" i="64"/>
  <c r="A52" i="64"/>
  <c r="A53" i="64"/>
  <c r="A54" i="64"/>
  <c r="A55" i="64"/>
  <c r="A56" i="64"/>
  <c r="A57" i="64"/>
  <c r="A58" i="64"/>
  <c r="A59" i="64"/>
  <c r="A60" i="64"/>
  <c r="A61" i="64"/>
  <c r="A62" i="64"/>
  <c r="A63" i="64"/>
  <c r="A64" i="64"/>
  <c r="A65" i="64"/>
  <c r="A66" i="64"/>
  <c r="A67" i="64"/>
  <c r="A68" i="64"/>
  <c r="A69" i="64"/>
  <c r="A70" i="64"/>
  <c r="A71" i="64"/>
  <c r="A72" i="64"/>
  <c r="A73" i="64"/>
  <c r="A74" i="64"/>
  <c r="A75" i="64"/>
  <c r="A76" i="64"/>
  <c r="A77" i="64"/>
  <c r="A78" i="64"/>
  <c r="A79" i="64"/>
  <c r="A80" i="64"/>
  <c r="A81" i="64"/>
  <c r="A82" i="64"/>
  <c r="A83" i="64"/>
  <c r="A84" i="64"/>
  <c r="A85" i="64"/>
  <c r="A86" i="64"/>
  <c r="A87" i="64"/>
  <c r="A88" i="64"/>
  <c r="A89" i="64"/>
  <c r="A90" i="64"/>
  <c r="A91" i="64"/>
  <c r="A92" i="64"/>
  <c r="A93" i="64"/>
  <c r="A94" i="64"/>
  <c r="A95" i="64"/>
  <c r="A96" i="64"/>
  <c r="A97" i="64"/>
  <c r="A98" i="64"/>
  <c r="A99" i="64"/>
  <c r="A100" i="64"/>
  <c r="A101" i="64"/>
  <c r="A102" i="64"/>
  <c r="A103" i="64"/>
  <c r="A104" i="64"/>
  <c r="A105" i="64"/>
  <c r="A106" i="64"/>
  <c r="A107" i="64"/>
  <c r="A108" i="64"/>
  <c r="A109" i="64"/>
  <c r="A110" i="64"/>
  <c r="A111" i="64"/>
  <c r="A112" i="64"/>
  <c r="A113" i="64"/>
  <c r="A114" i="64"/>
  <c r="A115" i="64"/>
  <c r="A116" i="64"/>
  <c r="A117" i="64"/>
  <c r="A118" i="64"/>
  <c r="A119" i="64"/>
  <c r="A120" i="64"/>
  <c r="A121" i="64"/>
  <c r="A122" i="64"/>
  <c r="A123" i="64"/>
  <c r="A124" i="64"/>
  <c r="A125" i="64"/>
  <c r="A126" i="64"/>
  <c r="A127" i="64"/>
  <c r="A128" i="64"/>
  <c r="A129" i="64"/>
  <c r="A130" i="64"/>
  <c r="A131" i="64"/>
  <c r="A132" i="64"/>
  <c r="A133" i="64"/>
  <c r="A134" i="64"/>
  <c r="A135" i="64"/>
  <c r="A136" i="64"/>
  <c r="A137" i="64"/>
  <c r="A138" i="64"/>
  <c r="A139" i="64"/>
  <c r="A140" i="64"/>
  <c r="A141" i="64"/>
  <c r="A142" i="64"/>
  <c r="A143" i="64"/>
  <c r="A144" i="64"/>
  <c r="A145" i="64"/>
  <c r="A146" i="64"/>
  <c r="A147" i="64"/>
  <c r="A148" i="64"/>
  <c r="A149" i="64"/>
  <c r="A150" i="64"/>
  <c r="A151" i="64"/>
  <c r="A152" i="64"/>
  <c r="A153" i="64"/>
  <c r="A154" i="64"/>
  <c r="A155" i="64"/>
  <c r="A156" i="64"/>
  <c r="A157" i="64"/>
  <c r="A158" i="64"/>
  <c r="A159" i="64"/>
  <c r="A160" i="64"/>
  <c r="A161" i="64"/>
  <c r="A162" i="64"/>
  <c r="A163" i="64"/>
  <c r="A164" i="64"/>
  <c r="A165" i="64"/>
  <c r="A166" i="64"/>
  <c r="A167" i="64"/>
  <c r="A168" i="64"/>
  <c r="A169" i="64"/>
  <c r="A170" i="64"/>
  <c r="A171" i="64"/>
  <c r="A172" i="64"/>
  <c r="A173" i="64"/>
  <c r="A174" i="64"/>
  <c r="A175" i="64"/>
  <c r="A176" i="64"/>
  <c r="A177" i="64"/>
  <c r="A178" i="64"/>
  <c r="A179" i="64"/>
  <c r="A180" i="64"/>
  <c r="A181" i="64"/>
  <c r="A182" i="64"/>
  <c r="A183" i="64"/>
  <c r="A184" i="64"/>
  <c r="A185" i="64"/>
  <c r="A186" i="64"/>
  <c r="A187" i="64"/>
  <c r="A188" i="64"/>
  <c r="A189" i="64"/>
  <c r="A190" i="64"/>
  <c r="A191" i="64"/>
  <c r="A192" i="64"/>
  <c r="A193" i="64"/>
  <c r="A194" i="64"/>
  <c r="A195" i="64"/>
  <c r="A196" i="64"/>
  <c r="A197" i="64"/>
  <c r="A198" i="64"/>
  <c r="A199" i="64"/>
  <c r="A200" i="64"/>
  <c r="A201" i="64"/>
  <c r="A202" i="64"/>
  <c r="A203" i="64"/>
  <c r="A204" i="64"/>
  <c r="A7" i="64"/>
  <c r="A4" i="64"/>
  <c r="A5" i="64"/>
  <c r="A6" i="64"/>
  <c r="A3" i="64"/>
  <c r="N153" i="63"/>
  <c r="N154" i="63"/>
  <c r="N155" i="63"/>
  <c r="N156" i="63"/>
  <c r="N157" i="63"/>
  <c r="N158" i="63"/>
  <c r="A157" i="63"/>
  <c r="A158" i="63"/>
  <c r="A156" i="63"/>
  <c r="A154" i="63"/>
  <c r="A155" i="63"/>
  <c r="A153" i="63"/>
  <c r="N81" i="63"/>
  <c r="A81" i="63"/>
  <c r="N80" i="63"/>
  <c r="A80" i="63"/>
  <c r="N79" i="63"/>
  <c r="A79" i="63"/>
  <c r="N78" i="63"/>
  <c r="A78" i="63"/>
  <c r="N77" i="63"/>
  <c r="A77" i="63"/>
  <c r="A3" i="63"/>
  <c r="A4" i="63"/>
  <c r="A5" i="63"/>
  <c r="A6" i="63"/>
  <c r="A7" i="63"/>
  <c r="A8" i="63"/>
  <c r="A9" i="63"/>
  <c r="A10" i="63"/>
  <c r="A11" i="63"/>
  <c r="A12" i="63"/>
  <c r="A13" i="63"/>
  <c r="A14" i="63"/>
  <c r="A15" i="63"/>
  <c r="A16" i="63"/>
  <c r="A17" i="63"/>
  <c r="A18" i="63"/>
  <c r="A19" i="63"/>
  <c r="A20" i="63"/>
  <c r="A21" i="63"/>
  <c r="A22" i="63"/>
  <c r="A23" i="63"/>
  <c r="A24" i="63"/>
  <c r="A25" i="63"/>
  <c r="A26" i="63"/>
  <c r="A27" i="63"/>
  <c r="A28" i="63"/>
  <c r="A29" i="63"/>
  <c r="A30" i="63"/>
  <c r="A31" i="63"/>
  <c r="A32" i="63"/>
  <c r="A33" i="63"/>
  <c r="A34" i="63"/>
  <c r="A35" i="63"/>
  <c r="A36" i="63"/>
  <c r="A37" i="63"/>
  <c r="A38" i="63"/>
  <c r="A39" i="63"/>
  <c r="A40" i="63"/>
  <c r="A41" i="63"/>
  <c r="A42" i="63"/>
  <c r="A43" i="63"/>
  <c r="A44" i="63"/>
  <c r="A45" i="63"/>
  <c r="A46" i="63"/>
  <c r="A47" i="63"/>
  <c r="A48" i="63"/>
  <c r="A49" i="63"/>
  <c r="A50" i="63"/>
  <c r="A51" i="63"/>
  <c r="A52" i="63"/>
  <c r="A53" i="63"/>
  <c r="A54" i="63"/>
  <c r="A55" i="63"/>
  <c r="A56" i="63"/>
  <c r="A57" i="63"/>
  <c r="A58" i="63"/>
  <c r="A59" i="63"/>
  <c r="A60" i="63"/>
  <c r="A61" i="63"/>
  <c r="A62" i="63"/>
  <c r="A63" i="63"/>
  <c r="A64" i="63"/>
  <c r="A65" i="63"/>
  <c r="A66" i="63"/>
  <c r="A67" i="63"/>
  <c r="A68" i="63"/>
  <c r="A69" i="63"/>
  <c r="A70" i="63"/>
  <c r="A71" i="63"/>
  <c r="A72" i="63"/>
  <c r="A73" i="63"/>
  <c r="A74" i="63"/>
  <c r="A75" i="63"/>
  <c r="A76" i="63"/>
  <c r="A82" i="63"/>
  <c r="A83" i="63"/>
  <c r="A84" i="63"/>
  <c r="A85" i="63"/>
  <c r="A86" i="63"/>
  <c r="A87" i="63"/>
  <c r="A88" i="63"/>
  <c r="A89" i="63"/>
  <c r="A90" i="63"/>
  <c r="A91" i="63"/>
  <c r="A92" i="63"/>
  <c r="A93" i="63"/>
  <c r="A94" i="63"/>
  <c r="A95" i="63"/>
  <c r="A96" i="63"/>
  <c r="A97" i="63"/>
  <c r="A98" i="63"/>
  <c r="A99" i="63"/>
  <c r="A100" i="63"/>
  <c r="A101" i="63"/>
  <c r="A102" i="63"/>
  <c r="A103" i="63"/>
  <c r="A104" i="63"/>
  <c r="A105" i="63"/>
  <c r="A106" i="63"/>
  <c r="A107" i="63"/>
  <c r="A108" i="63"/>
  <c r="A109" i="63"/>
  <c r="A110" i="63"/>
  <c r="A111" i="63"/>
  <c r="A112" i="63"/>
  <c r="A113" i="63"/>
  <c r="A114" i="63"/>
  <c r="A115" i="63"/>
  <c r="A116" i="63"/>
  <c r="A117" i="63"/>
  <c r="A118" i="63"/>
  <c r="A119" i="63"/>
  <c r="A120" i="63"/>
  <c r="A121" i="63"/>
  <c r="A122" i="63"/>
  <c r="A123" i="63"/>
  <c r="A124" i="63"/>
  <c r="A125" i="63"/>
  <c r="A126" i="63"/>
  <c r="A127" i="63"/>
  <c r="A128" i="63"/>
  <c r="A129" i="63"/>
  <c r="A130" i="63"/>
  <c r="A131" i="63"/>
  <c r="A132" i="63"/>
  <c r="A133" i="63"/>
  <c r="A134" i="63"/>
  <c r="A135" i="63"/>
  <c r="A136" i="63"/>
  <c r="A137" i="63"/>
  <c r="A138" i="63"/>
  <c r="A139" i="63"/>
  <c r="A140" i="63"/>
  <c r="A141" i="63"/>
  <c r="A142" i="63"/>
  <c r="A143" i="63"/>
  <c r="A144" i="63"/>
  <c r="A145" i="63"/>
  <c r="A146" i="63"/>
  <c r="A147" i="63"/>
  <c r="A148" i="63"/>
  <c r="A149" i="63"/>
  <c r="A150" i="63"/>
  <c r="A151" i="63"/>
  <c r="A152" i="63"/>
  <c r="A2" i="63"/>
  <c r="N141" i="63"/>
  <c r="N121" i="63"/>
  <c r="N120" i="63"/>
  <c r="N118" i="63"/>
  <c r="N114" i="63"/>
  <c r="N95" i="63"/>
  <c r="N94" i="63"/>
  <c r="N60" i="63"/>
  <c r="N57" i="63"/>
  <c r="N48" i="63"/>
  <c r="N27" i="63"/>
  <c r="N13" i="63"/>
  <c r="N2" i="64" l="1"/>
  <c r="A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2" i="61"/>
  <c r="N131" i="61" l="1"/>
  <c r="N66" i="61"/>
  <c r="N64" i="61"/>
  <c r="N13" i="61"/>
  <c r="N12" i="61"/>
  <c r="N35" i="64"/>
  <c r="N34" i="64"/>
  <c r="N33" i="64"/>
  <c r="N32" i="64"/>
  <c r="N31" i="64"/>
  <c r="N30" i="64"/>
  <c r="N29" i="64"/>
  <c r="N28" i="64"/>
  <c r="N27" i="64"/>
  <c r="N26" i="64"/>
  <c r="N25" i="64"/>
  <c r="N24" i="64"/>
  <c r="N23" i="64"/>
  <c r="N22" i="64"/>
  <c r="N21" i="64"/>
  <c r="N20" i="64"/>
  <c r="N19" i="64"/>
  <c r="N18" i="64"/>
  <c r="N17" i="64"/>
  <c r="N16" i="64"/>
  <c r="N15" i="64"/>
  <c r="N14" i="64"/>
  <c r="N13" i="64"/>
  <c r="N12" i="64"/>
  <c r="N11" i="64"/>
  <c r="N10" i="64"/>
  <c r="N9" i="64"/>
  <c r="N8" i="64"/>
  <c r="N7" i="64"/>
  <c r="N6" i="64"/>
  <c r="N5" i="64"/>
  <c r="N4" i="64"/>
  <c r="N3" i="64"/>
  <c r="E33" i="63"/>
  <c r="A9" i="43" l="1"/>
  <c r="N21" i="63"/>
  <c r="N22" i="63"/>
  <c r="N23" i="63"/>
  <c r="N24" i="63"/>
  <c r="N25" i="63"/>
  <c r="N26" i="63"/>
  <c r="N28" i="63"/>
  <c r="N29" i="63"/>
  <c r="N2" i="63"/>
  <c r="N3" i="63"/>
  <c r="N4" i="63"/>
  <c r="N37" i="63"/>
  <c r="N38" i="63"/>
  <c r="N39" i="63"/>
  <c r="N40" i="63"/>
  <c r="N41" i="63"/>
  <c r="N42" i="63"/>
  <c r="N43" i="63"/>
  <c r="N44" i="63"/>
  <c r="N45" i="63"/>
  <c r="N46" i="63"/>
  <c r="N47" i="63"/>
  <c r="N49" i="63"/>
  <c r="N50" i="63"/>
  <c r="N51" i="63"/>
  <c r="N52" i="63"/>
  <c r="N53" i="63"/>
  <c r="N54" i="63"/>
  <c r="N55" i="63"/>
  <c r="N56" i="63"/>
  <c r="N58" i="63"/>
  <c r="N59" i="63"/>
  <c r="N61" i="63"/>
  <c r="N62" i="63"/>
  <c r="N63" i="63"/>
  <c r="N64" i="63"/>
  <c r="N65" i="63"/>
  <c r="N66" i="63"/>
  <c r="N87" i="63"/>
  <c r="N88" i="63"/>
  <c r="N67" i="63"/>
  <c r="N68" i="63"/>
  <c r="N69" i="63"/>
  <c r="N70" i="63"/>
  <c r="N71" i="63"/>
  <c r="N72" i="63"/>
  <c r="N73" i="63"/>
  <c r="N74" i="63"/>
  <c r="N89" i="63"/>
  <c r="N90" i="63"/>
  <c r="N91" i="63"/>
  <c r="N92" i="63"/>
  <c r="N93" i="63"/>
  <c r="N96" i="63"/>
  <c r="N97" i="63"/>
  <c r="N98" i="63"/>
  <c r="N99" i="63"/>
  <c r="N100" i="63"/>
  <c r="N101" i="63"/>
  <c r="N102" i="63"/>
  <c r="N103" i="63"/>
  <c r="N104" i="63"/>
  <c r="N105" i="63"/>
  <c r="N106" i="63"/>
  <c r="N36" i="63"/>
  <c r="N75" i="63"/>
  <c r="N76" i="63"/>
  <c r="N82" i="63"/>
  <c r="N83" i="63"/>
  <c r="N84" i="63"/>
  <c r="N85" i="63"/>
  <c r="N86" i="63"/>
  <c r="N108" i="63"/>
  <c r="N109" i="63"/>
  <c r="N112" i="63"/>
  <c r="N113" i="63"/>
  <c r="N115" i="63"/>
  <c r="N116" i="63"/>
  <c r="N117" i="63"/>
  <c r="N119" i="63"/>
  <c r="N122" i="63"/>
  <c r="N123" i="63"/>
  <c r="N124" i="63"/>
  <c r="N125" i="63"/>
  <c r="N107" i="63"/>
  <c r="N142" i="63"/>
  <c r="N143" i="63"/>
  <c r="N144" i="63"/>
  <c r="N111" i="63"/>
  <c r="N110" i="63"/>
  <c r="N126" i="63"/>
  <c r="N127" i="63"/>
  <c r="N128" i="63"/>
  <c r="N129" i="63"/>
  <c r="N150" i="63"/>
  <c r="N151" i="63"/>
  <c r="N130" i="63"/>
  <c r="N131" i="63"/>
  <c r="N132" i="63"/>
  <c r="N133" i="63"/>
  <c r="N134" i="63"/>
  <c r="N135" i="63"/>
  <c r="N136" i="63"/>
  <c r="N137" i="63"/>
  <c r="N138" i="63"/>
  <c r="N139" i="63"/>
  <c r="N30" i="63"/>
  <c r="N31" i="63"/>
  <c r="N32" i="63"/>
  <c r="N33" i="63"/>
  <c r="N34" i="63"/>
  <c r="N35" i="63"/>
  <c r="N145" i="63"/>
  <c r="N146" i="63"/>
  <c r="N147" i="63"/>
  <c r="N148" i="63"/>
  <c r="N149" i="63"/>
  <c r="N140" i="63"/>
  <c r="N152" i="63"/>
  <c r="N20" i="63" l="1"/>
  <c r="N18" i="63"/>
  <c r="N19" i="63"/>
  <c r="N17" i="63"/>
  <c r="N7" i="63"/>
  <c r="N8" i="63"/>
  <c r="N9" i="63"/>
  <c r="N10" i="63"/>
  <c r="N11" i="63"/>
  <c r="N12" i="63"/>
  <c r="N14" i="63"/>
  <c r="N15" i="63"/>
  <c r="N16" i="63"/>
  <c r="A98" i="60" l="1"/>
  <c r="A120" i="60"/>
  <c r="A39" i="60"/>
  <c r="A125" i="60"/>
  <c r="A127" i="60"/>
  <c r="A128" i="60"/>
  <c r="A129" i="60"/>
  <c r="A130" i="60"/>
  <c r="A131" i="60"/>
  <c r="A10" i="60"/>
  <c r="A64" i="60"/>
  <c r="A132" i="60"/>
  <c r="A133" i="60"/>
  <c r="A106" i="60"/>
  <c r="A107" i="60"/>
  <c r="A108" i="60"/>
  <c r="A99" i="60"/>
  <c r="A100" i="60"/>
  <c r="A101" i="60"/>
  <c r="A126" i="60"/>
  <c r="A57" i="60"/>
  <c r="A58" i="60"/>
  <c r="A40" i="60"/>
  <c r="A134" i="60"/>
  <c r="A110" i="60"/>
  <c r="A41" i="60"/>
  <c r="A42" i="60"/>
  <c r="A43" i="60"/>
  <c r="A66" i="60"/>
  <c r="A67" i="60"/>
  <c r="A26" i="60"/>
  <c r="A22" i="60"/>
  <c r="A28" i="60"/>
  <c r="A135" i="60"/>
  <c r="A136" i="60"/>
  <c r="A137" i="60"/>
  <c r="A16" i="60"/>
  <c r="A138" i="60"/>
  <c r="A139" i="60"/>
  <c r="A140" i="60"/>
  <c r="A141" i="60"/>
  <c r="A142" i="60"/>
  <c r="A11" i="60"/>
  <c r="A15" i="60"/>
  <c r="A143" i="60"/>
  <c r="A144" i="60"/>
  <c r="A145" i="60"/>
  <c r="A146" i="60"/>
  <c r="A44" i="60"/>
  <c r="A68" i="60"/>
  <c r="A147" i="60"/>
  <c r="A61" i="60"/>
  <c r="A69" i="60"/>
  <c r="A27" i="60"/>
  <c r="A148" i="60"/>
  <c r="A149" i="60"/>
  <c r="A150" i="60"/>
  <c r="A151" i="60"/>
  <c r="A37" i="60"/>
  <c r="A12" i="60"/>
  <c r="A36" i="60"/>
  <c r="A17" i="60"/>
  <c r="A45" i="60"/>
  <c r="A46" i="60"/>
  <c r="A25" i="60"/>
  <c r="A152" i="60"/>
  <c r="A153" i="60"/>
  <c r="A154" i="60"/>
  <c r="A70" i="60"/>
  <c r="A155" i="60"/>
  <c r="A13" i="60"/>
  <c r="A7" i="60"/>
  <c r="A14" i="60"/>
  <c r="A6" i="60"/>
  <c r="A206" i="60"/>
  <c r="A156" i="60"/>
  <c r="A157" i="60"/>
  <c r="A158" i="60"/>
  <c r="A2" i="60"/>
  <c r="A103" i="60"/>
  <c r="A104" i="60"/>
  <c r="A159" i="60"/>
  <c r="A111" i="60"/>
  <c r="A207" i="60"/>
  <c r="A160" i="60"/>
  <c r="A161" i="60"/>
  <c r="A162" i="60"/>
  <c r="A163" i="60"/>
  <c r="A164" i="60"/>
  <c r="A122" i="60"/>
  <c r="A165" i="60"/>
  <c r="A166" i="60"/>
  <c r="A167" i="60"/>
  <c r="A168" i="60"/>
  <c r="A169" i="60"/>
  <c r="A170" i="60"/>
  <c r="A171" i="60"/>
  <c r="A121" i="60"/>
  <c r="A172" i="60"/>
  <c r="A173" i="60"/>
  <c r="A47" i="60"/>
  <c r="A174" i="60"/>
  <c r="A175" i="60"/>
  <c r="A71" i="60"/>
  <c r="A48" i="60"/>
  <c r="A176" i="60"/>
  <c r="A49" i="60"/>
  <c r="A38" i="60"/>
  <c r="A177" i="60"/>
  <c r="A178" i="60"/>
  <c r="A179" i="60"/>
  <c r="A180" i="60"/>
  <c r="A8" i="60"/>
  <c r="A62" i="60"/>
  <c r="A63" i="60"/>
  <c r="A9" i="60"/>
  <c r="A181" i="60"/>
  <c r="A60" i="60"/>
  <c r="A197" i="60"/>
  <c r="A205" i="60"/>
  <c r="A19" i="60"/>
  <c r="A102" i="60"/>
  <c r="A109" i="60"/>
  <c r="A201" i="60"/>
  <c r="A182" i="60"/>
  <c r="A183" i="60"/>
  <c r="A184" i="60"/>
  <c r="A85" i="60"/>
  <c r="A86" i="60"/>
  <c r="A87" i="60"/>
  <c r="A88" i="60"/>
  <c r="A89" i="60"/>
  <c r="A50" i="60"/>
  <c r="A65" i="60"/>
  <c r="A185" i="60"/>
  <c r="A186" i="60"/>
  <c r="A187" i="60"/>
  <c r="A188" i="60"/>
  <c r="A189" i="60"/>
  <c r="A51" i="60"/>
  <c r="A59" i="60"/>
  <c r="A190" i="60"/>
  <c r="A52" i="60"/>
  <c r="A191" i="60"/>
  <c r="A192" i="60"/>
  <c r="A53" i="60"/>
  <c r="A112" i="60"/>
  <c r="A54" i="60"/>
  <c r="A55" i="60"/>
  <c r="A193" i="60"/>
  <c r="A194" i="60"/>
  <c r="A195" i="60"/>
  <c r="A29" i="60"/>
  <c r="A23" i="60"/>
  <c r="A24" i="60"/>
  <c r="A30" i="60"/>
  <c r="A31" i="60"/>
  <c r="A32" i="60"/>
  <c r="A33" i="60"/>
  <c r="A34" i="60"/>
  <c r="A35" i="60"/>
  <c r="A202" i="60"/>
  <c r="A203" i="60"/>
  <c r="A204" i="60"/>
  <c r="A198" i="60"/>
  <c r="A199" i="60"/>
  <c r="A200" i="60"/>
  <c r="A21" i="60"/>
  <c r="A91" i="60"/>
  <c r="A92" i="60"/>
  <c r="A93" i="60"/>
  <c r="A94" i="60"/>
  <c r="A95" i="60"/>
  <c r="A96" i="60"/>
  <c r="A97" i="60"/>
  <c r="A196" i="60"/>
  <c r="A105" i="60"/>
  <c r="A113" i="60"/>
  <c r="A114" i="60"/>
  <c r="A124" i="60"/>
  <c r="A115" i="60"/>
  <c r="A116" i="60"/>
  <c r="A117" i="60"/>
  <c r="A118" i="60"/>
  <c r="A119" i="60"/>
  <c r="A123" i="60"/>
  <c r="A72" i="60"/>
  <c r="A73" i="60"/>
  <c r="A74" i="60"/>
  <c r="A75" i="60"/>
  <c r="A76" i="60"/>
  <c r="A77" i="60"/>
  <c r="A78" i="60"/>
  <c r="A79" i="60"/>
  <c r="A80" i="60"/>
  <c r="A81" i="60"/>
  <c r="A82" i="60"/>
  <c r="A83" i="60"/>
  <c r="A84" i="60"/>
  <c r="A56" i="60"/>
  <c r="A20" i="60"/>
  <c r="A3" i="60"/>
  <c r="A4" i="60"/>
  <c r="A5" i="60"/>
  <c r="A90" i="60"/>
  <c r="A18" i="60"/>
  <c r="N55" i="60" l="1"/>
  <c r="N96" i="60" l="1"/>
  <c r="N95" i="60"/>
  <c r="N94" i="60"/>
  <c r="N93" i="60"/>
  <c r="N92" i="60"/>
  <c r="N91" i="60"/>
  <c r="N154" i="60" l="1"/>
  <c r="N137" i="60"/>
  <c r="N67" i="60"/>
  <c r="N43" i="60"/>
  <c r="N42" i="60"/>
  <c r="N131" i="60"/>
  <c r="N129" i="60"/>
  <c r="N6" i="63"/>
  <c r="N5" i="63"/>
  <c r="N57" i="61"/>
  <c r="N58" i="61"/>
  <c r="N59" i="61"/>
  <c r="N60" i="61"/>
  <c r="N61" i="61"/>
  <c r="N2" i="61"/>
  <c r="N3" i="61"/>
  <c r="N4" i="61"/>
  <c r="N5" i="61"/>
  <c r="N6" i="61"/>
  <c r="N62" i="61"/>
  <c r="N63" i="61"/>
  <c r="N65" i="61"/>
  <c r="N67" i="61"/>
  <c r="N68" i="61"/>
  <c r="N78" i="61"/>
  <c r="N79" i="61"/>
  <c r="N80" i="61"/>
  <c r="N81" i="61"/>
  <c r="N82" i="61"/>
  <c r="N83" i="61"/>
  <c r="N84" i="61"/>
  <c r="N85" i="61"/>
  <c r="N86" i="61"/>
  <c r="N87" i="61"/>
  <c r="N88" i="61"/>
  <c r="N89" i="61"/>
  <c r="N90" i="61"/>
  <c r="N91" i="61"/>
  <c r="N107" i="61"/>
  <c r="N92" i="61"/>
  <c r="N93" i="61"/>
  <c r="N94" i="61"/>
  <c r="N95" i="61"/>
  <c r="N96" i="61"/>
  <c r="N97" i="61"/>
  <c r="N98" i="61"/>
  <c r="N99" i="61"/>
  <c r="N100" i="61"/>
  <c r="N101" i="61"/>
  <c r="N102" i="61"/>
  <c r="N103" i="61"/>
  <c r="N104" i="61"/>
  <c r="N105" i="61"/>
  <c r="N108" i="61"/>
  <c r="N73" i="61"/>
  <c r="N74" i="61"/>
  <c r="N75" i="61"/>
  <c r="N76" i="61"/>
  <c r="N69" i="61"/>
  <c r="N70" i="61"/>
  <c r="N71" i="61"/>
  <c r="N35" i="61"/>
  <c r="N109" i="61"/>
  <c r="N111" i="61"/>
  <c r="N112" i="61"/>
  <c r="N113" i="61"/>
  <c r="N114" i="61"/>
  <c r="N115" i="61"/>
  <c r="N116" i="61"/>
  <c r="N117" i="61"/>
  <c r="N118" i="61"/>
  <c r="N119" i="61"/>
  <c r="N120" i="61"/>
  <c r="N121" i="61"/>
  <c r="N122" i="61"/>
  <c r="N123" i="61"/>
  <c r="N124" i="61"/>
  <c r="N125" i="61"/>
  <c r="N126" i="61"/>
  <c r="N127" i="61"/>
  <c r="N128" i="61"/>
  <c r="N129" i="61"/>
  <c r="N130" i="61"/>
  <c r="N132" i="61"/>
  <c r="N133" i="61"/>
  <c r="N134" i="61"/>
  <c r="N135" i="61"/>
  <c r="N136" i="61"/>
  <c r="N137" i="61"/>
  <c r="N138" i="61"/>
  <c r="N139" i="61"/>
  <c r="N140" i="61"/>
  <c r="N141" i="61"/>
  <c r="N152" i="61"/>
  <c r="N153" i="61"/>
  <c r="N154" i="61"/>
  <c r="N155" i="61"/>
  <c r="N156" i="61"/>
  <c r="N157" i="61"/>
  <c r="N144" i="61"/>
  <c r="N145" i="61"/>
  <c r="N146" i="61"/>
  <c r="N147" i="61"/>
  <c r="N148" i="61"/>
  <c r="N158" i="61"/>
  <c r="N159" i="61"/>
  <c r="N160" i="61"/>
  <c r="N142" i="61"/>
  <c r="N143" i="61"/>
  <c r="N22" i="61"/>
  <c r="N23" i="61"/>
  <c r="N24" i="61"/>
  <c r="N106" i="61"/>
  <c r="N110" i="61"/>
  <c r="N72" i="61"/>
  <c r="N77" i="61"/>
  <c r="N161" i="61"/>
  <c r="N149" i="61"/>
  <c r="N150" i="61"/>
  <c r="N151" i="61"/>
  <c r="N14" i="61"/>
  <c r="N15" i="61"/>
  <c r="N16" i="61"/>
  <c r="N17" i="61"/>
  <c r="N18" i="61"/>
  <c r="N19" i="61"/>
  <c r="N20" i="61"/>
  <c r="N21" i="61"/>
  <c r="N36" i="61"/>
  <c r="N25" i="61"/>
  <c r="N26" i="61"/>
  <c r="N27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50" i="61"/>
  <c r="N28" i="61"/>
  <c r="N29" i="61"/>
  <c r="N30" i="61"/>
  <c r="N31" i="61"/>
  <c r="N32" i="61"/>
  <c r="N33" i="61"/>
  <c r="N34" i="61"/>
  <c r="N51" i="61"/>
  <c r="N52" i="61"/>
  <c r="N53" i="61"/>
  <c r="N54" i="61"/>
  <c r="N55" i="61"/>
  <c r="N56" i="61"/>
  <c r="N8" i="61"/>
  <c r="N9" i="61"/>
  <c r="N10" i="61"/>
  <c r="N11" i="61"/>
  <c r="N7" i="61"/>
  <c r="N82" i="55"/>
  <c r="N83" i="55"/>
  <c r="N84" i="55"/>
  <c r="N85" i="55"/>
  <c r="N86" i="55"/>
  <c r="N87" i="55"/>
  <c r="N88" i="55"/>
  <c r="N89" i="55"/>
  <c r="N90" i="55"/>
  <c r="N91" i="55"/>
  <c r="N92" i="55"/>
  <c r="N93" i="55"/>
  <c r="N94" i="55"/>
  <c r="N95" i="55"/>
  <c r="N96" i="55"/>
  <c r="N97" i="55"/>
  <c r="N98" i="55"/>
  <c r="N99" i="55"/>
  <c r="N100" i="55"/>
  <c r="N101" i="55"/>
  <c r="N102" i="55"/>
  <c r="N103" i="55"/>
  <c r="N104" i="55"/>
  <c r="N105" i="55"/>
  <c r="N106" i="55"/>
  <c r="N107" i="55"/>
  <c r="N108" i="55"/>
  <c r="N109" i="55"/>
  <c r="N110" i="55"/>
  <c r="N111" i="55"/>
  <c r="N112" i="55"/>
  <c r="N113" i="55"/>
  <c r="N114" i="55"/>
  <c r="N115" i="55"/>
  <c r="N116" i="55"/>
  <c r="N117" i="55"/>
  <c r="N118" i="55"/>
  <c r="N119" i="55"/>
  <c r="N120" i="55"/>
  <c r="N121" i="55"/>
  <c r="N122" i="55"/>
  <c r="N123" i="55"/>
  <c r="N124" i="55"/>
  <c r="N125" i="55"/>
  <c r="N126" i="55"/>
  <c r="N127" i="55"/>
  <c r="N128" i="55"/>
  <c r="N129" i="55"/>
  <c r="N130" i="55"/>
  <c r="N131" i="55"/>
  <c r="N132" i="55"/>
  <c r="N133" i="55"/>
  <c r="N134" i="55"/>
  <c r="N135" i="55"/>
  <c r="N136" i="55"/>
  <c r="N137" i="55"/>
  <c r="N138" i="55"/>
  <c r="N139" i="55"/>
  <c r="N140" i="55"/>
  <c r="N141" i="55"/>
  <c r="N142" i="55"/>
  <c r="N143" i="55"/>
  <c r="N144" i="55"/>
  <c r="N145" i="55"/>
  <c r="N146" i="55"/>
  <c r="N147" i="55"/>
  <c r="N148" i="55"/>
  <c r="N149" i="55"/>
  <c r="N150" i="55"/>
  <c r="N151" i="55"/>
  <c r="N152" i="55"/>
  <c r="N153" i="55"/>
  <c r="N154" i="55"/>
  <c r="N155" i="55"/>
  <c r="N156" i="55"/>
  <c r="N157" i="55"/>
  <c r="N158" i="55"/>
  <c r="N159" i="55"/>
  <c r="N160" i="55"/>
  <c r="N161" i="55"/>
  <c r="N162" i="55"/>
  <c r="N163" i="55"/>
  <c r="N164" i="55"/>
  <c r="N165" i="55"/>
  <c r="N166" i="55"/>
  <c r="N167" i="55"/>
  <c r="N168" i="55"/>
  <c r="N169" i="55"/>
  <c r="N170" i="55"/>
  <c r="N171" i="55"/>
  <c r="N172" i="55"/>
  <c r="N173" i="55"/>
  <c r="N174" i="55"/>
  <c r="N175" i="55"/>
  <c r="N176" i="55"/>
  <c r="N177" i="55"/>
  <c r="N178" i="55"/>
  <c r="N179" i="55"/>
  <c r="N180" i="55"/>
  <c r="N181" i="55"/>
  <c r="N182" i="55"/>
  <c r="N183" i="55"/>
  <c r="N184" i="55"/>
  <c r="N185" i="55"/>
  <c r="N186" i="55"/>
  <c r="N187" i="55"/>
  <c r="N188" i="55"/>
  <c r="N189" i="55"/>
  <c r="N190" i="55"/>
  <c r="N162" i="57"/>
  <c r="N163" i="57"/>
  <c r="N84" i="60"/>
  <c r="N56" i="60"/>
  <c r="N20" i="60"/>
  <c r="N3" i="60"/>
  <c r="N4" i="60"/>
  <c r="N5" i="60"/>
  <c r="N90" i="60"/>
  <c r="N203" i="60"/>
  <c r="N204" i="60"/>
  <c r="N198" i="60"/>
  <c r="N199" i="60"/>
  <c r="N200" i="60"/>
  <c r="N21" i="60"/>
  <c r="N82" i="60" l="1"/>
  <c r="N83" i="60"/>
  <c r="E83" i="60"/>
  <c r="N196" i="60"/>
  <c r="N105" i="60"/>
  <c r="N113" i="60"/>
  <c r="N114" i="60"/>
  <c r="N124" i="60"/>
  <c r="N115" i="60"/>
  <c r="N116" i="60"/>
  <c r="N117" i="60"/>
  <c r="N118" i="60"/>
  <c r="N119" i="60"/>
  <c r="N123" i="60"/>
  <c r="N72" i="60"/>
  <c r="N73" i="60"/>
  <c r="N74" i="60"/>
  <c r="N75" i="60"/>
  <c r="N76" i="60"/>
  <c r="N77" i="60"/>
  <c r="N78" i="60"/>
  <c r="N79" i="60"/>
  <c r="N80" i="60"/>
  <c r="N81" i="60"/>
  <c r="N18" i="60" l="1"/>
  <c r="N98" i="60"/>
  <c r="N120" i="60"/>
  <c r="N39" i="60"/>
  <c r="N125" i="60"/>
  <c r="N127" i="60"/>
  <c r="N128" i="60"/>
  <c r="N130" i="60"/>
  <c r="N10" i="60"/>
  <c r="N64" i="60"/>
  <c r="N132" i="60"/>
  <c r="N133" i="60"/>
  <c r="N106" i="60"/>
  <c r="N107" i="60"/>
  <c r="N108" i="60"/>
  <c r="N99" i="60"/>
  <c r="N100" i="60"/>
  <c r="N101" i="60"/>
  <c r="N126" i="60"/>
  <c r="N57" i="60"/>
  <c r="N58" i="60"/>
  <c r="N40" i="60"/>
  <c r="N134" i="60"/>
  <c r="N110" i="60"/>
  <c r="N41" i="60"/>
  <c r="N66" i="60"/>
  <c r="N26" i="60"/>
  <c r="N22" i="60"/>
  <c r="N28" i="60"/>
  <c r="N135" i="60"/>
  <c r="N136" i="60"/>
  <c r="N16" i="60"/>
  <c r="N138" i="60"/>
  <c r="N139" i="60"/>
  <c r="N140" i="60"/>
  <c r="N141" i="60"/>
  <c r="N142" i="60"/>
  <c r="N11" i="60"/>
  <c r="N15" i="60"/>
  <c r="N143" i="60"/>
  <c r="N144" i="60"/>
  <c r="N145" i="60"/>
  <c r="N146" i="60"/>
  <c r="N44" i="60"/>
  <c r="N68" i="60"/>
  <c r="N147" i="60"/>
  <c r="N61" i="60"/>
  <c r="N69" i="60"/>
  <c r="N27" i="60"/>
  <c r="N148" i="60"/>
  <c r="N149" i="60"/>
  <c r="N150" i="60"/>
  <c r="N151" i="60"/>
  <c r="N37" i="60"/>
  <c r="N12" i="60"/>
  <c r="N36" i="60"/>
  <c r="N17" i="60"/>
  <c r="N45" i="60"/>
  <c r="N46" i="60"/>
  <c r="N25" i="60"/>
  <c r="N152" i="60"/>
  <c r="N153" i="60"/>
  <c r="N70" i="60"/>
  <c r="N155" i="60"/>
  <c r="N13" i="60"/>
  <c r="N7" i="60"/>
  <c r="N14" i="60"/>
  <c r="N6" i="60"/>
  <c r="N206" i="60"/>
  <c r="N156" i="60"/>
  <c r="N157" i="60"/>
  <c r="N158" i="60"/>
  <c r="N2" i="60"/>
  <c r="N103" i="60"/>
  <c r="N104" i="60"/>
  <c r="N159" i="60"/>
  <c r="N111" i="60"/>
  <c r="N207" i="60"/>
  <c r="N160" i="60"/>
  <c r="N161" i="60"/>
  <c r="N162" i="60"/>
  <c r="N163" i="60"/>
  <c r="N164" i="60"/>
  <c r="N122" i="60"/>
  <c r="N165" i="60"/>
  <c r="N166" i="60"/>
  <c r="N167" i="60"/>
  <c r="N168" i="60"/>
  <c r="N169" i="60"/>
  <c r="N170" i="60"/>
  <c r="N171" i="60"/>
  <c r="N121" i="60"/>
  <c r="N172" i="60"/>
  <c r="N173" i="60"/>
  <c r="N47" i="60"/>
  <c r="N174" i="60"/>
  <c r="N175" i="60"/>
  <c r="N71" i="60"/>
  <c r="N48" i="60"/>
  <c r="N176" i="60"/>
  <c r="N49" i="60"/>
  <c r="N38" i="60"/>
  <c r="N177" i="60"/>
  <c r="N178" i="60"/>
  <c r="N179" i="60"/>
  <c r="N180" i="60"/>
  <c r="N8" i="60"/>
  <c r="N62" i="60"/>
  <c r="N63" i="60"/>
  <c r="N9" i="60"/>
  <c r="N181" i="60"/>
  <c r="N60" i="60"/>
  <c r="N197" i="60"/>
  <c r="N205" i="60"/>
  <c r="N19" i="60"/>
  <c r="N102" i="60"/>
  <c r="N109" i="60"/>
  <c r="N201" i="60"/>
  <c r="N182" i="60"/>
  <c r="N183" i="60"/>
  <c r="N184" i="60"/>
  <c r="N85" i="60"/>
  <c r="N86" i="60"/>
  <c r="N87" i="60"/>
  <c r="N88" i="60"/>
  <c r="N89" i="60"/>
  <c r="N50" i="60"/>
  <c r="N65" i="60"/>
  <c r="N185" i="60"/>
  <c r="N186" i="60"/>
  <c r="N187" i="60"/>
  <c r="N188" i="60"/>
  <c r="N189" i="60"/>
  <c r="N51" i="60"/>
  <c r="N59" i="60"/>
  <c r="N190" i="60"/>
  <c r="N52" i="60"/>
  <c r="N191" i="60"/>
  <c r="N192" i="60"/>
  <c r="N53" i="60"/>
  <c r="N112" i="60"/>
  <c r="N54" i="60"/>
  <c r="N193" i="60"/>
  <c r="N194" i="60"/>
  <c r="N195" i="60"/>
  <c r="N29" i="60"/>
  <c r="N23" i="60"/>
  <c r="N24" i="60"/>
  <c r="N30" i="60"/>
  <c r="N31" i="60"/>
  <c r="N32" i="60"/>
  <c r="N33" i="60"/>
  <c r="N34" i="60"/>
  <c r="N35" i="60"/>
  <c r="N202" i="60"/>
  <c r="N97" i="60"/>
  <c r="N3" i="59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17" i="59"/>
  <c r="N18" i="59"/>
  <c r="N19" i="59"/>
  <c r="N20" i="59"/>
  <c r="N21" i="59"/>
  <c r="N22" i="59"/>
  <c r="N23" i="59"/>
  <c r="N24" i="59"/>
  <c r="N25" i="59"/>
  <c r="N26" i="59"/>
  <c r="N27" i="59"/>
  <c r="N28" i="59"/>
  <c r="N29" i="59"/>
  <c r="N30" i="59"/>
  <c r="N31" i="59"/>
  <c r="N32" i="59"/>
  <c r="N33" i="59"/>
  <c r="N34" i="59"/>
  <c r="N35" i="59"/>
  <c r="N36" i="59"/>
  <c r="N37" i="59"/>
  <c r="N38" i="59"/>
  <c r="N39" i="59"/>
  <c r="N40" i="59"/>
  <c r="N41" i="59"/>
  <c r="N42" i="59"/>
  <c r="N43" i="59"/>
  <c r="N44" i="59"/>
  <c r="N45" i="59"/>
  <c r="N46" i="59"/>
  <c r="N47" i="59"/>
  <c r="N48" i="59"/>
  <c r="N49" i="59"/>
  <c r="N50" i="59"/>
  <c r="N51" i="59"/>
  <c r="N52" i="59"/>
  <c r="N53" i="59"/>
  <c r="N54" i="59"/>
  <c r="N55" i="59"/>
  <c r="N56" i="59"/>
  <c r="N57" i="59"/>
  <c r="N58" i="59"/>
  <c r="N59" i="59"/>
  <c r="N60" i="59"/>
  <c r="N61" i="59"/>
  <c r="N62" i="59"/>
  <c r="N63" i="59"/>
  <c r="N64" i="59"/>
  <c r="N65" i="59"/>
  <c r="N66" i="59"/>
  <c r="N67" i="59"/>
  <c r="N68" i="59"/>
  <c r="N69" i="59"/>
  <c r="N70" i="59"/>
  <c r="N71" i="59"/>
  <c r="N72" i="59"/>
  <c r="N73" i="59"/>
  <c r="N74" i="59"/>
  <c r="N75" i="59"/>
  <c r="N76" i="59"/>
  <c r="N77" i="59"/>
  <c r="N78" i="59"/>
  <c r="N79" i="59"/>
  <c r="N80" i="59"/>
  <c r="N81" i="59"/>
  <c r="N82" i="59"/>
  <c r="N83" i="59"/>
  <c r="N84" i="59"/>
  <c r="N85" i="59"/>
  <c r="N86" i="59"/>
  <c r="N87" i="59"/>
  <c r="N88" i="59"/>
  <c r="N89" i="59"/>
  <c r="N90" i="59"/>
  <c r="N91" i="59"/>
  <c r="N92" i="59"/>
  <c r="N93" i="59"/>
  <c r="N94" i="59"/>
  <c r="N95" i="59"/>
  <c r="N96" i="59"/>
  <c r="N97" i="59"/>
  <c r="N98" i="59"/>
  <c r="N99" i="59"/>
  <c r="N100" i="59"/>
  <c r="N101" i="59"/>
  <c r="N102" i="59"/>
  <c r="N103" i="59"/>
  <c r="N104" i="59"/>
  <c r="N105" i="59"/>
  <c r="N106" i="59"/>
  <c r="N107" i="59"/>
  <c r="N108" i="59"/>
  <c r="N109" i="59"/>
  <c r="N110" i="59"/>
  <c r="N111" i="59"/>
  <c r="N112" i="59"/>
  <c r="N113" i="59"/>
  <c r="N114" i="59"/>
  <c r="N115" i="59"/>
  <c r="N116" i="59"/>
  <c r="N117" i="59"/>
  <c r="N118" i="59"/>
  <c r="N119" i="59"/>
  <c r="N120" i="59"/>
  <c r="N121" i="59"/>
  <c r="N122" i="59"/>
  <c r="N123" i="59"/>
  <c r="N124" i="59"/>
  <c r="N125" i="59"/>
  <c r="N126" i="59"/>
  <c r="N127" i="59"/>
  <c r="N128" i="59"/>
  <c r="N129" i="59"/>
  <c r="N130" i="59"/>
  <c r="N131" i="59"/>
  <c r="N132" i="59"/>
  <c r="N133" i="59"/>
  <c r="N134" i="59"/>
  <c r="N135" i="59"/>
  <c r="N136" i="59"/>
  <c r="N137" i="59"/>
  <c r="N138" i="59"/>
  <c r="N139" i="59"/>
  <c r="N140" i="59"/>
  <c r="N141" i="59"/>
  <c r="N142" i="59"/>
  <c r="N143" i="59"/>
  <c r="N144" i="59"/>
  <c r="N145" i="59"/>
  <c r="N146" i="59"/>
  <c r="N147" i="59"/>
  <c r="N148" i="59"/>
  <c r="N149" i="59"/>
  <c r="N150" i="59"/>
  <c r="N151" i="59"/>
  <c r="N152" i="59"/>
  <c r="N153" i="59"/>
  <c r="N154" i="59"/>
  <c r="N155" i="59"/>
  <c r="N156" i="59"/>
  <c r="N157" i="59"/>
  <c r="N158" i="59"/>
  <c r="N159" i="59"/>
  <c r="N160" i="59"/>
  <c r="N161" i="59"/>
  <c r="N162" i="59"/>
  <c r="N163" i="59"/>
  <c r="N164" i="59"/>
  <c r="N165" i="59"/>
  <c r="N166" i="59"/>
  <c r="N167" i="59"/>
  <c r="N168" i="59"/>
  <c r="N169" i="59"/>
  <c r="N170" i="59"/>
  <c r="N171" i="59"/>
  <c r="N172" i="59"/>
  <c r="N173" i="59"/>
  <c r="N174" i="59"/>
  <c r="N175" i="59"/>
  <c r="N176" i="59"/>
  <c r="N177" i="59"/>
  <c r="N178" i="59"/>
  <c r="N179" i="59"/>
  <c r="N180" i="59"/>
  <c r="N181" i="59"/>
  <c r="N182" i="59"/>
  <c r="N183" i="59"/>
  <c r="N184" i="59"/>
  <c r="N185" i="59"/>
  <c r="N186" i="59"/>
  <c r="N187" i="59"/>
  <c r="N188" i="59"/>
  <c r="N189" i="59"/>
  <c r="N190" i="59"/>
  <c r="N191" i="59"/>
  <c r="N192" i="59"/>
  <c r="N193" i="59"/>
  <c r="N194" i="59"/>
  <c r="N195" i="59"/>
  <c r="N196" i="59"/>
  <c r="N197" i="59"/>
  <c r="N198" i="59"/>
  <c r="N199" i="59"/>
  <c r="N200" i="59"/>
  <c r="N201" i="59"/>
  <c r="N202" i="59"/>
  <c r="N203" i="59"/>
  <c r="N204" i="59"/>
  <c r="N205" i="59"/>
  <c r="N206" i="59"/>
  <c r="N207" i="59"/>
  <c r="N208" i="59"/>
  <c r="N209" i="59"/>
  <c r="N210" i="59"/>
  <c r="N211" i="59"/>
  <c r="N212" i="59"/>
  <c r="N213" i="59"/>
  <c r="N214" i="59"/>
  <c r="N215" i="59"/>
  <c r="N216" i="59"/>
  <c r="N217" i="59"/>
  <c r="N218" i="59"/>
  <c r="N219" i="59"/>
  <c r="N220" i="59"/>
  <c r="N221" i="59"/>
  <c r="N222" i="59"/>
  <c r="N223" i="59"/>
  <c r="N224" i="59"/>
  <c r="N225" i="59"/>
  <c r="N226" i="59"/>
  <c r="N227" i="59"/>
  <c r="N228" i="59"/>
  <c r="N229" i="59"/>
  <c r="N230" i="59"/>
  <c r="N231" i="59"/>
  <c r="N232" i="59"/>
  <c r="N233" i="59"/>
  <c r="N234" i="59"/>
  <c r="N235" i="59"/>
  <c r="N236" i="59"/>
  <c r="N237" i="59"/>
  <c r="N238" i="59"/>
  <c r="N239" i="59"/>
  <c r="N240" i="59"/>
  <c r="A3" i="59"/>
  <c r="A4" i="59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20" i="59"/>
  <c r="A21" i="59"/>
  <c r="A22" i="59"/>
  <c r="A23" i="59"/>
  <c r="A24" i="59"/>
  <c r="A25" i="59"/>
  <c r="A26" i="59"/>
  <c r="A27" i="59"/>
  <c r="A28" i="59"/>
  <c r="A29" i="59"/>
  <c r="A30" i="59"/>
  <c r="A31" i="59"/>
  <c r="A32" i="59"/>
  <c r="A33" i="59"/>
  <c r="A34" i="59"/>
  <c r="A35" i="59"/>
  <c r="A36" i="59"/>
  <c r="A37" i="59"/>
  <c r="A38" i="59"/>
  <c r="A39" i="59"/>
  <c r="A40" i="59"/>
  <c r="A41" i="59"/>
  <c r="A42" i="59"/>
  <c r="A43" i="59"/>
  <c r="A44" i="59"/>
  <c r="A45" i="59"/>
  <c r="A46" i="59"/>
  <c r="A47" i="59"/>
  <c r="A48" i="59"/>
  <c r="A49" i="59"/>
  <c r="A50" i="59"/>
  <c r="A51" i="59"/>
  <c r="A52" i="59"/>
  <c r="A53" i="59"/>
  <c r="A54" i="59"/>
  <c r="A55" i="59"/>
  <c r="A56" i="59"/>
  <c r="A57" i="59"/>
  <c r="A58" i="59"/>
  <c r="A59" i="59"/>
  <c r="A60" i="59"/>
  <c r="A61" i="59"/>
  <c r="A62" i="59"/>
  <c r="A63" i="59"/>
  <c r="A64" i="59"/>
  <c r="A65" i="59"/>
  <c r="A66" i="59"/>
  <c r="A67" i="59"/>
  <c r="A68" i="59"/>
  <c r="A69" i="59"/>
  <c r="A70" i="59"/>
  <c r="A71" i="59"/>
  <c r="A72" i="59"/>
  <c r="A73" i="59"/>
  <c r="A74" i="59"/>
  <c r="A75" i="59"/>
  <c r="A76" i="59"/>
  <c r="A77" i="59"/>
  <c r="A78" i="59"/>
  <c r="A79" i="59"/>
  <c r="A80" i="59"/>
  <c r="A81" i="59"/>
  <c r="A82" i="59"/>
  <c r="A83" i="59"/>
  <c r="A84" i="59"/>
  <c r="A85" i="59"/>
  <c r="A86" i="59"/>
  <c r="A87" i="59"/>
  <c r="A88" i="59"/>
  <c r="A89" i="59"/>
  <c r="A90" i="59"/>
  <c r="A91" i="59"/>
  <c r="A92" i="59"/>
  <c r="A93" i="59"/>
  <c r="A94" i="59"/>
  <c r="A95" i="59"/>
  <c r="A96" i="59"/>
  <c r="A97" i="59"/>
  <c r="A98" i="59"/>
  <c r="A99" i="59"/>
  <c r="A100" i="59"/>
  <c r="A101" i="59"/>
  <c r="A102" i="59"/>
  <c r="A103" i="59"/>
  <c r="A104" i="59"/>
  <c r="A105" i="59"/>
  <c r="A106" i="59"/>
  <c r="A107" i="59"/>
  <c r="A108" i="59"/>
  <c r="A109" i="59"/>
  <c r="A110" i="59"/>
  <c r="A111" i="59"/>
  <c r="A112" i="59"/>
  <c r="A113" i="59"/>
  <c r="A114" i="59"/>
  <c r="A115" i="59"/>
  <c r="A116" i="59"/>
  <c r="A117" i="59"/>
  <c r="A118" i="59"/>
  <c r="A119" i="59"/>
  <c r="A120" i="59"/>
  <c r="A121" i="59"/>
  <c r="A122" i="59"/>
  <c r="A123" i="59"/>
  <c r="A124" i="59"/>
  <c r="A125" i="59"/>
  <c r="A126" i="59"/>
  <c r="A127" i="59"/>
  <c r="A128" i="59"/>
  <c r="A129" i="59"/>
  <c r="A130" i="59"/>
  <c r="A131" i="59"/>
  <c r="A132" i="59"/>
  <c r="A133" i="59"/>
  <c r="A134" i="59"/>
  <c r="A135" i="59"/>
  <c r="A136" i="59"/>
  <c r="A137" i="59"/>
  <c r="A138" i="59"/>
  <c r="A139" i="59"/>
  <c r="A140" i="59"/>
  <c r="A141" i="59"/>
  <c r="A142" i="59"/>
  <c r="A143" i="59"/>
  <c r="A144" i="59"/>
  <c r="A145" i="59"/>
  <c r="A146" i="59"/>
  <c r="A147" i="59"/>
  <c r="A148" i="59"/>
  <c r="A149" i="59"/>
  <c r="A150" i="59"/>
  <c r="A151" i="59"/>
  <c r="A152" i="59"/>
  <c r="A153" i="59"/>
  <c r="A154" i="59"/>
  <c r="A155" i="59"/>
  <c r="A156" i="59"/>
  <c r="A157" i="59"/>
  <c r="A158" i="59"/>
  <c r="A159" i="59"/>
  <c r="A160" i="59"/>
  <c r="A161" i="59"/>
  <c r="A162" i="59"/>
  <c r="A163" i="59"/>
  <c r="A164" i="59"/>
  <c r="A165" i="59"/>
  <c r="A166" i="59"/>
  <c r="A167" i="59"/>
  <c r="A168" i="59"/>
  <c r="A169" i="59"/>
  <c r="A170" i="59"/>
  <c r="A171" i="59"/>
  <c r="A172" i="59"/>
  <c r="A173" i="59"/>
  <c r="A174" i="59"/>
  <c r="A175" i="59"/>
  <c r="A176" i="59"/>
  <c r="A177" i="59"/>
  <c r="A178" i="59"/>
  <c r="A179" i="59"/>
  <c r="A180" i="59"/>
  <c r="A181" i="59"/>
  <c r="A182" i="59"/>
  <c r="A183" i="59"/>
  <c r="A184" i="59"/>
  <c r="A185" i="59"/>
  <c r="A186" i="59"/>
  <c r="A187" i="59"/>
  <c r="A188" i="59"/>
  <c r="A189" i="59"/>
  <c r="A190" i="59"/>
  <c r="A191" i="59"/>
  <c r="A192" i="59"/>
  <c r="A193" i="59"/>
  <c r="A194" i="59"/>
  <c r="A195" i="59"/>
  <c r="A196" i="59"/>
  <c r="A197" i="59"/>
  <c r="A198" i="59"/>
  <c r="A199" i="59"/>
  <c r="A200" i="59"/>
  <c r="A201" i="59"/>
  <c r="A202" i="59"/>
  <c r="A203" i="59"/>
  <c r="A204" i="59"/>
  <c r="A205" i="59"/>
  <c r="A206" i="59"/>
  <c r="A207" i="59"/>
  <c r="A208" i="59"/>
  <c r="A209" i="59"/>
  <c r="A210" i="59"/>
  <c r="A211" i="59"/>
  <c r="A212" i="59"/>
  <c r="A213" i="59"/>
  <c r="A214" i="59"/>
  <c r="A215" i="59"/>
  <c r="A216" i="59"/>
  <c r="A217" i="59"/>
  <c r="A218" i="59"/>
  <c r="A219" i="59"/>
  <c r="A220" i="59"/>
  <c r="A221" i="59"/>
  <c r="A222" i="59"/>
  <c r="A223" i="59"/>
  <c r="A224" i="59"/>
  <c r="A225" i="59"/>
  <c r="A226" i="59"/>
  <c r="A227" i="59"/>
  <c r="A228" i="59"/>
  <c r="A229" i="59"/>
  <c r="A230" i="59"/>
  <c r="A231" i="59"/>
  <c r="A232" i="59"/>
  <c r="A233" i="59"/>
  <c r="A234" i="59"/>
  <c r="A235" i="59"/>
  <c r="A236" i="59"/>
  <c r="A237" i="59"/>
  <c r="A238" i="59"/>
  <c r="A239" i="59"/>
  <c r="A240" i="59"/>
  <c r="N109" i="56" l="1"/>
  <c r="A109" i="56"/>
  <c r="N36" i="58" l="1"/>
  <c r="A36" i="58"/>
  <c r="N144" i="58"/>
  <c r="A144" i="58"/>
  <c r="N106" i="58"/>
  <c r="A106" i="58"/>
  <c r="N27" i="58"/>
  <c r="A27" i="58"/>
  <c r="N195" i="58"/>
  <c r="A195" i="58"/>
  <c r="N168" i="58"/>
  <c r="A168" i="58"/>
  <c r="N108" i="58"/>
  <c r="A108" i="58"/>
  <c r="N100" i="58"/>
  <c r="A100" i="58"/>
  <c r="N167" i="58"/>
  <c r="A167" i="58"/>
  <c r="N111" i="58"/>
  <c r="A111" i="58"/>
  <c r="N184" i="58"/>
  <c r="A184" i="58"/>
  <c r="N97" i="58"/>
  <c r="A97" i="58"/>
  <c r="N149" i="58"/>
  <c r="A149" i="58"/>
  <c r="N158" i="57" l="1"/>
  <c r="N159" i="57"/>
  <c r="N160" i="57"/>
  <c r="N161" i="57"/>
  <c r="A167" i="57"/>
  <c r="A166" i="57"/>
  <c r="A165" i="57"/>
  <c r="A164" i="57"/>
  <c r="A163" i="57"/>
  <c r="A162" i="57"/>
  <c r="A161" i="57"/>
  <c r="A160" i="57"/>
  <c r="A159" i="57"/>
  <c r="A158" i="57"/>
  <c r="N2" i="59"/>
  <c r="A2" i="59"/>
  <c r="N3" i="58"/>
  <c r="A3" i="58"/>
  <c r="N17" i="58"/>
  <c r="A17" i="58"/>
  <c r="N183" i="58"/>
  <c r="A183" i="58"/>
  <c r="N51" i="58"/>
  <c r="A51" i="58"/>
  <c r="N98" i="58"/>
  <c r="A98" i="58"/>
  <c r="N120" i="58"/>
  <c r="A120" i="58"/>
  <c r="N142" i="58"/>
  <c r="A142" i="58"/>
  <c r="N22" i="58"/>
  <c r="A22" i="58"/>
  <c r="N8" i="58"/>
  <c r="A8" i="58"/>
  <c r="N35" i="58"/>
  <c r="A35" i="58"/>
  <c r="N197" i="58"/>
  <c r="A197" i="58"/>
  <c r="N91" i="58"/>
  <c r="A91" i="58"/>
  <c r="N57" i="58"/>
  <c r="A57" i="58"/>
  <c r="N193" i="58"/>
  <c r="A193" i="58"/>
  <c r="N139" i="58"/>
  <c r="A139" i="58"/>
  <c r="N138" i="58"/>
  <c r="A138" i="58"/>
  <c r="N90" i="58"/>
  <c r="A90" i="58"/>
  <c r="N182" i="58"/>
  <c r="A182" i="58"/>
  <c r="N181" i="58"/>
  <c r="A181" i="58"/>
  <c r="N180" i="58"/>
  <c r="A180" i="58"/>
  <c r="N179" i="58" l="1"/>
  <c r="A179" i="58"/>
  <c r="N178" i="58"/>
  <c r="A178" i="58"/>
  <c r="N177" i="58"/>
  <c r="A177" i="58"/>
  <c r="N176" i="58"/>
  <c r="A176" i="58"/>
  <c r="N175" i="58"/>
  <c r="A175" i="58"/>
  <c r="N174" i="58"/>
  <c r="A174" i="58"/>
  <c r="N173" i="58"/>
  <c r="A173" i="58"/>
  <c r="N172" i="58"/>
  <c r="A172" i="58"/>
  <c r="N171" i="58"/>
  <c r="A171" i="58"/>
  <c r="N170" i="58"/>
  <c r="A170" i="58"/>
  <c r="N169" i="58"/>
  <c r="A169" i="58"/>
  <c r="N89" i="58"/>
  <c r="A89" i="58"/>
  <c r="N81" i="58"/>
  <c r="N82" i="58"/>
  <c r="N83" i="58"/>
  <c r="N84" i="58"/>
  <c r="N85" i="58"/>
  <c r="N86" i="58"/>
  <c r="N87" i="58"/>
  <c r="N88" i="58"/>
  <c r="A88" i="58"/>
  <c r="A87" i="58"/>
  <c r="A86" i="58"/>
  <c r="A85" i="58"/>
  <c r="A84" i="58"/>
  <c r="A83" i="58"/>
  <c r="A82" i="58"/>
  <c r="A81" i="58"/>
  <c r="N137" i="58"/>
  <c r="A137" i="58"/>
  <c r="N136" i="58"/>
  <c r="A136" i="58"/>
  <c r="N135" i="58"/>
  <c r="A135" i="58"/>
  <c r="N134" i="58"/>
  <c r="A134" i="58"/>
  <c r="N133" i="58"/>
  <c r="A133" i="58"/>
  <c r="N132" i="58"/>
  <c r="A132" i="58"/>
  <c r="N131" i="58"/>
  <c r="A131" i="58"/>
  <c r="N130" i="58"/>
  <c r="A130" i="58"/>
  <c r="N129" i="58"/>
  <c r="A129" i="58"/>
  <c r="N128" i="58"/>
  <c r="A128" i="58"/>
  <c r="N127" i="58"/>
  <c r="A127" i="58"/>
  <c r="N73" i="58"/>
  <c r="N50" i="58"/>
  <c r="N31" i="58"/>
  <c r="N32" i="58"/>
  <c r="N33" i="58"/>
  <c r="N79" i="58"/>
  <c r="N80" i="58"/>
  <c r="N125" i="58"/>
  <c r="N126" i="58"/>
  <c r="A126" i="58"/>
  <c r="A125" i="58"/>
  <c r="A80" i="58"/>
  <c r="A79" i="58"/>
  <c r="A33" i="58"/>
  <c r="A32" i="58"/>
  <c r="A31" i="58"/>
  <c r="A50" i="58"/>
  <c r="N115" i="58"/>
  <c r="N116" i="58"/>
  <c r="N117" i="58"/>
  <c r="N146" i="58"/>
  <c r="N7" i="58"/>
  <c r="N141" i="58"/>
  <c r="N150" i="58"/>
  <c r="N151" i="58"/>
  <c r="N2" i="58"/>
  <c r="N4" i="58"/>
  <c r="N60" i="58"/>
  <c r="N152" i="58"/>
  <c r="N61" i="58"/>
  <c r="N153" i="58"/>
  <c r="N62" i="58"/>
  <c r="N63" i="58"/>
  <c r="N154" i="58"/>
  <c r="N155" i="58"/>
  <c r="N156" i="58"/>
  <c r="N37" i="58"/>
  <c r="N23" i="58"/>
  <c r="N110" i="58"/>
  <c r="N118" i="58"/>
  <c r="N157" i="58"/>
  <c r="N5" i="58"/>
  <c r="N191" i="58"/>
  <c r="N140" i="58"/>
  <c r="N24" i="58"/>
  <c r="N52" i="58"/>
  <c r="N121" i="58"/>
  <c r="N92" i="58"/>
  <c r="N45" i="58"/>
  <c r="N122" i="58"/>
  <c r="N158" i="58"/>
  <c r="N74" i="58"/>
  <c r="N9" i="58"/>
  <c r="N10" i="58"/>
  <c r="N11" i="58"/>
  <c r="N12" i="58"/>
  <c r="N13" i="58"/>
  <c r="N14" i="58"/>
  <c r="N58" i="58"/>
  <c r="N59" i="58"/>
  <c r="N25" i="58"/>
  <c r="N15" i="58"/>
  <c r="N99" i="58"/>
  <c r="N107" i="58"/>
  <c r="N190" i="58"/>
  <c r="N53" i="58"/>
  <c r="N119" i="58"/>
  <c r="N159" i="58"/>
  <c r="N160" i="58"/>
  <c r="N93" i="58"/>
  <c r="N94" i="58"/>
  <c r="N46" i="58"/>
  <c r="N105" i="58"/>
  <c r="N101" i="58"/>
  <c r="N102" i="58"/>
  <c r="N28" i="58"/>
  <c r="N64" i="58"/>
  <c r="N29" i="58"/>
  <c r="N38" i="58"/>
  <c r="N39" i="58"/>
  <c r="N40" i="58"/>
  <c r="N41" i="58"/>
  <c r="N109" i="58"/>
  <c r="N16" i="58"/>
  <c r="N54" i="58"/>
  <c r="N161" i="58"/>
  <c r="N162" i="58"/>
  <c r="N163" i="58"/>
  <c r="N112" i="58"/>
  <c r="N198" i="58"/>
  <c r="N199" i="58"/>
  <c r="N194" i="58"/>
  <c r="N30" i="58"/>
  <c r="N55" i="58"/>
  <c r="N56" i="58"/>
  <c r="N26" i="58"/>
  <c r="N42" i="58"/>
  <c r="N34" i="58"/>
  <c r="N65" i="58"/>
  <c r="N66" i="58"/>
  <c r="N75" i="58"/>
  <c r="N18" i="58"/>
  <c r="N19" i="58"/>
  <c r="N147" i="58"/>
  <c r="N145" i="58"/>
  <c r="N196" i="58"/>
  <c r="N20" i="58"/>
  <c r="N148" i="58"/>
  <c r="N95" i="58"/>
  <c r="N96" i="58"/>
  <c r="N47" i="58"/>
  <c r="N185" i="58"/>
  <c r="N186" i="58"/>
  <c r="N187" i="58"/>
  <c r="N43" i="58"/>
  <c r="N188" i="58"/>
  <c r="N189" i="58"/>
  <c r="N113" i="58"/>
  <c r="N103" i="58"/>
  <c r="N67" i="58"/>
  <c r="N68" i="58"/>
  <c r="N69" i="58"/>
  <c r="N70" i="58"/>
  <c r="N71" i="58"/>
  <c r="N123" i="58"/>
  <c r="N143" i="58"/>
  <c r="N48" i="58"/>
  <c r="N166" i="58"/>
  <c r="N44" i="58"/>
  <c r="N192" i="58"/>
  <c r="N114" i="58"/>
  <c r="N104" i="58"/>
  <c r="N76" i="58"/>
  <c r="N77" i="58"/>
  <c r="N21" i="58"/>
  <c r="N78" i="58"/>
  <c r="N124" i="58"/>
  <c r="N164" i="58"/>
  <c r="N72" i="58"/>
  <c r="N49" i="58"/>
  <c r="N165" i="58"/>
  <c r="A93" i="58"/>
  <c r="A115" i="58"/>
  <c r="A116" i="58"/>
  <c r="A117" i="58"/>
  <c r="A146" i="58"/>
  <c r="A7" i="58"/>
  <c r="A141" i="58"/>
  <c r="A150" i="58"/>
  <c r="A151" i="58"/>
  <c r="A2" i="58"/>
  <c r="A4" i="58"/>
  <c r="A60" i="58"/>
  <c r="A152" i="58"/>
  <c r="A61" i="58"/>
  <c r="A153" i="58"/>
  <c r="A62" i="58"/>
  <c r="A63" i="58"/>
  <c r="A154" i="58"/>
  <c r="A155" i="58"/>
  <c r="A156" i="58"/>
  <c r="A37" i="58"/>
  <c r="A23" i="58"/>
  <c r="A110" i="58"/>
  <c r="A118" i="58"/>
  <c r="A157" i="58"/>
  <c r="A5" i="58"/>
  <c r="A191" i="58"/>
  <c r="A140" i="58"/>
  <c r="A24" i="58"/>
  <c r="A52" i="58"/>
  <c r="A121" i="58"/>
  <c r="A92" i="58"/>
  <c r="A45" i="58"/>
  <c r="A122" i="58"/>
  <c r="A158" i="58"/>
  <c r="A74" i="58"/>
  <c r="A9" i="58"/>
  <c r="A10" i="58"/>
  <c r="A11" i="58"/>
  <c r="A12" i="58"/>
  <c r="A13" i="58"/>
  <c r="A14" i="58"/>
  <c r="A58" i="58"/>
  <c r="A59" i="58"/>
  <c r="A25" i="58"/>
  <c r="A15" i="58"/>
  <c r="A99" i="58"/>
  <c r="A107" i="58"/>
  <c r="A190" i="58"/>
  <c r="A53" i="58"/>
  <c r="A119" i="58"/>
  <c r="A159" i="58"/>
  <c r="A160" i="58"/>
  <c r="A94" i="58"/>
  <c r="A46" i="58"/>
  <c r="A105" i="58"/>
  <c r="A101" i="58"/>
  <c r="A102" i="58"/>
  <c r="A28" i="58"/>
  <c r="A64" i="58"/>
  <c r="A29" i="58"/>
  <c r="A38" i="58"/>
  <c r="A39" i="58"/>
  <c r="A40" i="58"/>
  <c r="A41" i="58"/>
  <c r="A109" i="58"/>
  <c r="A16" i="58"/>
  <c r="A54" i="58"/>
  <c r="A161" i="58"/>
  <c r="A162" i="58"/>
  <c r="A163" i="58"/>
  <c r="A112" i="58"/>
  <c r="A198" i="58"/>
  <c r="A199" i="58"/>
  <c r="A194" i="58"/>
  <c r="A30" i="58"/>
  <c r="A55" i="58"/>
  <c r="A56" i="58"/>
  <c r="A26" i="58"/>
  <c r="A42" i="58"/>
  <c r="A34" i="58"/>
  <c r="A65" i="58"/>
  <c r="A66" i="58"/>
  <c r="A75" i="58"/>
  <c r="A18" i="58"/>
  <c r="A19" i="58"/>
  <c r="A147" i="58"/>
  <c r="A145" i="58"/>
  <c r="A196" i="58"/>
  <c r="A20" i="58"/>
  <c r="A148" i="58"/>
  <c r="A95" i="58"/>
  <c r="A96" i="58"/>
  <c r="A47" i="58"/>
  <c r="A185" i="58"/>
  <c r="A186" i="58"/>
  <c r="A187" i="58"/>
  <c r="A43" i="58"/>
  <c r="A188" i="58"/>
  <c r="A189" i="58"/>
  <c r="A113" i="58"/>
  <c r="A103" i="58"/>
  <c r="A67" i="58"/>
  <c r="A68" i="58"/>
  <c r="A69" i="58"/>
  <c r="A70" i="58"/>
  <c r="A71" i="58"/>
  <c r="A123" i="58"/>
  <c r="A143" i="58"/>
  <c r="A48" i="58"/>
  <c r="A166" i="58"/>
  <c r="A44" i="58"/>
  <c r="A192" i="58"/>
  <c r="A114" i="58"/>
  <c r="A104" i="58"/>
  <c r="A76" i="58"/>
  <c r="A77" i="58"/>
  <c r="A21" i="58"/>
  <c r="A78" i="58"/>
  <c r="A124" i="58"/>
  <c r="A164" i="58"/>
  <c r="A72" i="58"/>
  <c r="A49" i="58"/>
  <c r="A165" i="58"/>
  <c r="A73" i="58"/>
  <c r="N108" i="56" l="1"/>
  <c r="N107" i="56"/>
  <c r="A108" i="56"/>
  <c r="A107" i="56"/>
  <c r="P190" i="55"/>
  <c r="P189" i="55"/>
  <c r="A193" i="55"/>
  <c r="A192" i="55"/>
  <c r="A191" i="55"/>
  <c r="A190" i="55"/>
  <c r="A189" i="55"/>
  <c r="N155" i="57"/>
  <c r="N156" i="57"/>
  <c r="N157" i="57"/>
  <c r="A157" i="57"/>
  <c r="A156" i="57"/>
  <c r="A155" i="57"/>
  <c r="N154" i="57"/>
  <c r="A154" i="57"/>
  <c r="N153" i="57"/>
  <c r="A153" i="57"/>
  <c r="N152" i="57"/>
  <c r="A152" i="57"/>
  <c r="N146" i="57"/>
  <c r="N147" i="57"/>
  <c r="N148" i="57"/>
  <c r="N149" i="57"/>
  <c r="N150" i="57"/>
  <c r="N151" i="57"/>
  <c r="A151" i="57"/>
  <c r="A150" i="57"/>
  <c r="A149" i="57"/>
  <c r="A148" i="57"/>
  <c r="A147" i="57"/>
  <c r="A146" i="57"/>
  <c r="N138" i="57"/>
  <c r="N139" i="57"/>
  <c r="N140" i="57"/>
  <c r="N141" i="57"/>
  <c r="N142" i="57"/>
  <c r="N143" i="57"/>
  <c r="N144" i="57"/>
  <c r="N145" i="57"/>
  <c r="A137" i="57"/>
  <c r="A138" i="57"/>
  <c r="A139" i="57"/>
  <c r="A140" i="57"/>
  <c r="A141" i="57"/>
  <c r="A142" i="57"/>
  <c r="A143" i="57"/>
  <c r="A144" i="57"/>
  <c r="A145" i="57"/>
  <c r="N3" i="57" l="1"/>
  <c r="N4" i="57"/>
  <c r="N5" i="57"/>
  <c r="N6" i="57"/>
  <c r="N7" i="57"/>
  <c r="N8" i="57"/>
  <c r="N9" i="57"/>
  <c r="N10" i="57"/>
  <c r="N11" i="57"/>
  <c r="N12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5" i="57"/>
  <c r="N26" i="57"/>
  <c r="N27" i="57"/>
  <c r="N28" i="57"/>
  <c r="N29" i="57"/>
  <c r="N30" i="57"/>
  <c r="N31" i="57"/>
  <c r="N32" i="57"/>
  <c r="N33" i="57"/>
  <c r="N34" i="57"/>
  <c r="N35" i="57"/>
  <c r="N36" i="57"/>
  <c r="N37" i="57"/>
  <c r="N38" i="57"/>
  <c r="N39" i="57"/>
  <c r="N40" i="57"/>
  <c r="N41" i="57"/>
  <c r="N42" i="57"/>
  <c r="N43" i="57"/>
  <c r="N44" i="57"/>
  <c r="N45" i="57"/>
  <c r="N46" i="57"/>
  <c r="N47" i="57"/>
  <c r="N48" i="57"/>
  <c r="N49" i="57"/>
  <c r="N50" i="57"/>
  <c r="N51" i="57"/>
  <c r="N52" i="57"/>
  <c r="N53" i="57"/>
  <c r="N54" i="57"/>
  <c r="N55" i="57"/>
  <c r="N56" i="57"/>
  <c r="N57" i="57"/>
  <c r="N58" i="57"/>
  <c r="N59" i="57"/>
  <c r="N60" i="57"/>
  <c r="N61" i="57"/>
  <c r="N62" i="57"/>
  <c r="N63" i="57"/>
  <c r="N64" i="57"/>
  <c r="N65" i="57"/>
  <c r="N66" i="57"/>
  <c r="N67" i="57"/>
  <c r="N68" i="57"/>
  <c r="N69" i="57"/>
  <c r="N70" i="57"/>
  <c r="N71" i="57"/>
  <c r="N72" i="57"/>
  <c r="N73" i="57"/>
  <c r="N74" i="57"/>
  <c r="N75" i="57"/>
  <c r="N76" i="57"/>
  <c r="N77" i="57"/>
  <c r="N78" i="57"/>
  <c r="N79" i="57"/>
  <c r="N80" i="57"/>
  <c r="N81" i="57"/>
  <c r="N82" i="57"/>
  <c r="N83" i="57"/>
  <c r="N84" i="57"/>
  <c r="N85" i="57"/>
  <c r="N86" i="57"/>
  <c r="N87" i="57"/>
  <c r="N88" i="57"/>
  <c r="N89" i="57"/>
  <c r="N90" i="57"/>
  <c r="N91" i="57"/>
  <c r="N92" i="57"/>
  <c r="N93" i="57"/>
  <c r="N94" i="57"/>
  <c r="N95" i="57"/>
  <c r="N96" i="57"/>
  <c r="N97" i="57"/>
  <c r="N98" i="57"/>
  <c r="N99" i="57"/>
  <c r="N100" i="57"/>
  <c r="N101" i="57"/>
  <c r="N102" i="57"/>
  <c r="N103" i="57"/>
  <c r="N104" i="57"/>
  <c r="N105" i="57"/>
  <c r="N106" i="57"/>
  <c r="N107" i="57"/>
  <c r="N108" i="57"/>
  <c r="N109" i="57"/>
  <c r="N110" i="57"/>
  <c r="N111" i="57"/>
  <c r="N112" i="57"/>
  <c r="N113" i="57"/>
  <c r="N114" i="57"/>
  <c r="N115" i="57"/>
  <c r="N116" i="57"/>
  <c r="N117" i="57"/>
  <c r="N118" i="57"/>
  <c r="N119" i="57"/>
  <c r="N120" i="57"/>
  <c r="N121" i="57"/>
  <c r="N122" i="57"/>
  <c r="N123" i="57"/>
  <c r="N124" i="57"/>
  <c r="N125" i="57"/>
  <c r="N126" i="57"/>
  <c r="N127" i="57"/>
  <c r="N128" i="57"/>
  <c r="N129" i="57"/>
  <c r="N130" i="57"/>
  <c r="N131" i="57"/>
  <c r="N132" i="57"/>
  <c r="N133" i="57"/>
  <c r="N134" i="57"/>
  <c r="N135" i="57"/>
  <c r="N136" i="57"/>
  <c r="N137" i="57"/>
  <c r="A3" i="57"/>
  <c r="A4" i="57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20" i="57"/>
  <c r="A21" i="57"/>
  <c r="A22" i="57"/>
  <c r="A23" i="57"/>
  <c r="A24" i="57"/>
  <c r="A25" i="57"/>
  <c r="A26" i="57"/>
  <c r="A27" i="57"/>
  <c r="A28" i="57"/>
  <c r="A29" i="57"/>
  <c r="A30" i="57"/>
  <c r="A31" i="57"/>
  <c r="A32" i="57"/>
  <c r="A33" i="57"/>
  <c r="A34" i="57"/>
  <c r="A35" i="57"/>
  <c r="A36" i="57"/>
  <c r="A37" i="57"/>
  <c r="A38" i="57"/>
  <c r="A39" i="57"/>
  <c r="A40" i="57"/>
  <c r="A41" i="57"/>
  <c r="A42" i="57"/>
  <c r="A43" i="57"/>
  <c r="A44" i="57"/>
  <c r="A45" i="57"/>
  <c r="A46" i="57"/>
  <c r="A47" i="57"/>
  <c r="A48" i="57"/>
  <c r="A49" i="57"/>
  <c r="A50" i="57"/>
  <c r="A51" i="57"/>
  <c r="A52" i="57"/>
  <c r="A53" i="57"/>
  <c r="A54" i="57"/>
  <c r="A55" i="57"/>
  <c r="A56" i="57"/>
  <c r="A57" i="57"/>
  <c r="A58" i="57"/>
  <c r="A59" i="57"/>
  <c r="A60" i="57"/>
  <c r="A61" i="57"/>
  <c r="A62" i="57"/>
  <c r="A63" i="57"/>
  <c r="A64" i="57"/>
  <c r="A65" i="57"/>
  <c r="A66" i="57"/>
  <c r="A67" i="57"/>
  <c r="A68" i="57"/>
  <c r="A69" i="57"/>
  <c r="A70" i="57"/>
  <c r="A71" i="57"/>
  <c r="A72" i="57"/>
  <c r="A73" i="57"/>
  <c r="A74" i="57"/>
  <c r="A75" i="57"/>
  <c r="A76" i="57"/>
  <c r="A77" i="57"/>
  <c r="A78" i="57"/>
  <c r="A79" i="57"/>
  <c r="A80" i="57"/>
  <c r="A81" i="57"/>
  <c r="A82" i="57"/>
  <c r="A83" i="57"/>
  <c r="A84" i="57"/>
  <c r="A85" i="57"/>
  <c r="A86" i="57"/>
  <c r="A87" i="57"/>
  <c r="A88" i="57"/>
  <c r="A89" i="57"/>
  <c r="A90" i="57"/>
  <c r="A91" i="57"/>
  <c r="A92" i="57"/>
  <c r="A93" i="57"/>
  <c r="A94" i="57"/>
  <c r="A95" i="57"/>
  <c r="A96" i="57"/>
  <c r="A97" i="57"/>
  <c r="A98" i="57"/>
  <c r="A99" i="57"/>
  <c r="A100" i="57"/>
  <c r="A101" i="57"/>
  <c r="A102" i="57"/>
  <c r="A103" i="57"/>
  <c r="A104" i="57"/>
  <c r="A105" i="57"/>
  <c r="A106" i="57"/>
  <c r="A107" i="57"/>
  <c r="A108" i="57"/>
  <c r="A109" i="57"/>
  <c r="A110" i="57"/>
  <c r="A111" i="57"/>
  <c r="A112" i="57"/>
  <c r="A113" i="57"/>
  <c r="A114" i="57"/>
  <c r="A115" i="57"/>
  <c r="A116" i="57"/>
  <c r="A117" i="57"/>
  <c r="A118" i="57"/>
  <c r="A119" i="57"/>
  <c r="A120" i="57"/>
  <c r="A121" i="57"/>
  <c r="A122" i="57"/>
  <c r="A123" i="57"/>
  <c r="A124" i="57"/>
  <c r="A125" i="57"/>
  <c r="A126" i="57"/>
  <c r="A127" i="57"/>
  <c r="A128" i="57"/>
  <c r="A129" i="57"/>
  <c r="A130" i="57"/>
  <c r="A131" i="57"/>
  <c r="A132" i="57"/>
  <c r="A133" i="57"/>
  <c r="A134" i="57"/>
  <c r="A135" i="57"/>
  <c r="A136" i="57"/>
  <c r="E100" i="56" l="1"/>
  <c r="P99" i="56"/>
  <c r="N99" i="56"/>
  <c r="A99" i="56"/>
  <c r="P98" i="56"/>
  <c r="N98" i="56"/>
  <c r="A98" i="56"/>
  <c r="P132" i="55"/>
  <c r="A132" i="55"/>
  <c r="P131" i="55" l="1"/>
  <c r="A131" i="55"/>
  <c r="P130" i="55"/>
  <c r="A130" i="55"/>
  <c r="P129" i="55"/>
  <c r="A129" i="55"/>
  <c r="P128" i="55"/>
  <c r="A128" i="55"/>
  <c r="P127" i="55"/>
  <c r="A127" i="55"/>
  <c r="N3" i="56" l="1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100" i="56"/>
  <c r="N101" i="56"/>
  <c r="N102" i="56"/>
  <c r="N103" i="56"/>
  <c r="N104" i="56"/>
  <c r="N105" i="56"/>
  <c r="N106" i="56"/>
  <c r="A3" i="56"/>
  <c r="A4" i="56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1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100" i="56"/>
  <c r="A101" i="56"/>
  <c r="A102" i="56"/>
  <c r="A103" i="56"/>
  <c r="A104" i="56"/>
  <c r="A105" i="56"/>
  <c r="A106" i="56"/>
  <c r="N6" i="58"/>
  <c r="A6" i="58"/>
  <c r="A3" i="55" l="1"/>
  <c r="A4" i="55"/>
  <c r="A5" i="55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20" i="55"/>
  <c r="A21" i="55"/>
  <c r="A22" i="55"/>
  <c r="A23" i="55"/>
  <c r="A24" i="55"/>
  <c r="A25" i="55"/>
  <c r="A26" i="55"/>
  <c r="A27" i="55"/>
  <c r="A28" i="55"/>
  <c r="A29" i="55"/>
  <c r="A30" i="55"/>
  <c r="A31" i="55"/>
  <c r="A32" i="55"/>
  <c r="A33" i="55"/>
  <c r="A34" i="55"/>
  <c r="A35" i="55"/>
  <c r="A36" i="55"/>
  <c r="A37" i="55"/>
  <c r="A38" i="55"/>
  <c r="A39" i="55"/>
  <c r="A40" i="55"/>
  <c r="A41" i="55"/>
  <c r="A42" i="55"/>
  <c r="A43" i="55"/>
  <c r="A44" i="55"/>
  <c r="A45" i="55"/>
  <c r="A46" i="55"/>
  <c r="A47" i="55"/>
  <c r="A48" i="55"/>
  <c r="A49" i="55"/>
  <c r="A50" i="55"/>
  <c r="A51" i="55"/>
  <c r="A52" i="55"/>
  <c r="A53" i="55"/>
  <c r="A54" i="55"/>
  <c r="A55" i="55"/>
  <c r="A56" i="55"/>
  <c r="A57" i="55"/>
  <c r="A58" i="55"/>
  <c r="A59" i="55"/>
  <c r="A60" i="55"/>
  <c r="A61" i="55"/>
  <c r="A62" i="55"/>
  <c r="A63" i="55"/>
  <c r="A64" i="55"/>
  <c r="A65" i="55"/>
  <c r="A66" i="55"/>
  <c r="A67" i="55"/>
  <c r="A68" i="55"/>
  <c r="A69" i="55"/>
  <c r="A70" i="55"/>
  <c r="A71" i="55"/>
  <c r="A72" i="55"/>
  <c r="A73" i="55"/>
  <c r="A74" i="55"/>
  <c r="A75" i="55"/>
  <c r="A76" i="55"/>
  <c r="A77" i="55"/>
  <c r="A78" i="55"/>
  <c r="A79" i="55"/>
  <c r="A80" i="55"/>
  <c r="A81" i="55"/>
  <c r="A82" i="55"/>
  <c r="A83" i="55"/>
  <c r="A84" i="55"/>
  <c r="A85" i="55"/>
  <c r="A86" i="55"/>
  <c r="A87" i="55"/>
  <c r="A88" i="55"/>
  <c r="A89" i="55"/>
  <c r="A90" i="55"/>
  <c r="A91" i="55"/>
  <c r="A92" i="55"/>
  <c r="A93" i="55"/>
  <c r="A94" i="55"/>
  <c r="A95" i="55"/>
  <c r="A96" i="55"/>
  <c r="A97" i="55"/>
  <c r="A98" i="55"/>
  <c r="A99" i="55"/>
  <c r="A100" i="55"/>
  <c r="A101" i="55"/>
  <c r="A102" i="55"/>
  <c r="A103" i="55"/>
  <c r="A104" i="55"/>
  <c r="A105" i="55"/>
  <c r="A106" i="55"/>
  <c r="A107" i="55"/>
  <c r="A108" i="55"/>
  <c r="A109" i="55"/>
  <c r="A110" i="55"/>
  <c r="A111" i="55"/>
  <c r="A112" i="55"/>
  <c r="A113" i="55"/>
  <c r="A114" i="55"/>
  <c r="A115" i="55"/>
  <c r="A116" i="55"/>
  <c r="A117" i="55"/>
  <c r="A118" i="55"/>
  <c r="A119" i="55"/>
  <c r="A120" i="55"/>
  <c r="A121" i="55"/>
  <c r="A122" i="55"/>
  <c r="A123" i="55"/>
  <c r="A124" i="55"/>
  <c r="A125" i="55"/>
  <c r="A126" i="55"/>
  <c r="A133" i="55"/>
  <c r="A134" i="55"/>
  <c r="A135" i="55"/>
  <c r="A136" i="55"/>
  <c r="A137" i="55"/>
  <c r="A138" i="55"/>
  <c r="A139" i="55"/>
  <c r="A140" i="55"/>
  <c r="A141" i="55"/>
  <c r="A142" i="55"/>
  <c r="A143" i="55"/>
  <c r="A144" i="55"/>
  <c r="A145" i="55"/>
  <c r="A146" i="55"/>
  <c r="A147" i="55"/>
  <c r="A148" i="55"/>
  <c r="A149" i="55"/>
  <c r="A150" i="55"/>
  <c r="A151" i="55"/>
  <c r="A152" i="55"/>
  <c r="A153" i="55"/>
  <c r="A154" i="55"/>
  <c r="A155" i="55"/>
  <c r="A156" i="55"/>
  <c r="A157" i="55"/>
  <c r="A158" i="55"/>
  <c r="A159" i="55"/>
  <c r="A160" i="55"/>
  <c r="A161" i="55"/>
  <c r="A162" i="55"/>
  <c r="A163" i="55"/>
  <c r="A164" i="55"/>
  <c r="A165" i="55"/>
  <c r="A166" i="55"/>
  <c r="A167" i="55"/>
  <c r="A168" i="55"/>
  <c r="A169" i="55"/>
  <c r="A170" i="55"/>
  <c r="A171" i="55"/>
  <c r="A172" i="55"/>
  <c r="A173" i="55"/>
  <c r="A174" i="55"/>
  <c r="A175" i="55"/>
  <c r="A176" i="55"/>
  <c r="A177" i="55"/>
  <c r="A178" i="55"/>
  <c r="A179" i="55"/>
  <c r="A180" i="55"/>
  <c r="A181" i="55"/>
  <c r="A182" i="55"/>
  <c r="A183" i="55"/>
  <c r="A184" i="55"/>
  <c r="A185" i="55"/>
  <c r="A186" i="55"/>
  <c r="A187" i="55"/>
  <c r="A188" i="55"/>
  <c r="A2" i="55"/>
  <c r="P188" i="55" l="1"/>
  <c r="P187" i="55"/>
  <c r="P186" i="55"/>
  <c r="P185" i="55"/>
  <c r="P184" i="55"/>
  <c r="P183" i="55"/>
  <c r="P182" i="55"/>
  <c r="P181" i="55"/>
  <c r="P180" i="55"/>
  <c r="P179" i="55"/>
  <c r="P178" i="55"/>
  <c r="P177" i="55"/>
  <c r="P176" i="55"/>
  <c r="P175" i="55"/>
  <c r="P174" i="55"/>
  <c r="P173" i="55"/>
  <c r="P172" i="55"/>
  <c r="P171" i="55"/>
  <c r="P170" i="55"/>
  <c r="P169" i="55"/>
  <c r="P168" i="55"/>
  <c r="P167" i="55"/>
  <c r="P166" i="55"/>
  <c r="P165" i="55"/>
  <c r="P164" i="55"/>
  <c r="P163" i="55"/>
  <c r="P162" i="55"/>
  <c r="P161" i="55"/>
  <c r="P160" i="55"/>
  <c r="P159" i="55"/>
  <c r="P158" i="55"/>
  <c r="P157" i="55"/>
  <c r="P156" i="55"/>
  <c r="P155" i="55"/>
  <c r="P154" i="55"/>
  <c r="P153" i="55"/>
  <c r="P152" i="55"/>
  <c r="P151" i="55"/>
  <c r="P150" i="55"/>
  <c r="P149" i="55"/>
  <c r="P148" i="55"/>
  <c r="P147" i="55"/>
  <c r="P146" i="55"/>
  <c r="P145" i="55"/>
  <c r="P144" i="55"/>
  <c r="P143" i="55"/>
  <c r="P142" i="55"/>
  <c r="P141" i="55"/>
  <c r="P140" i="55"/>
  <c r="P139" i="55"/>
  <c r="P138" i="55"/>
  <c r="P137" i="55"/>
  <c r="P136" i="55"/>
  <c r="P135" i="55"/>
  <c r="P134" i="55"/>
  <c r="P133" i="55"/>
  <c r="P126" i="55"/>
  <c r="P125" i="55"/>
  <c r="P124" i="55"/>
  <c r="P123" i="55"/>
  <c r="P122" i="55"/>
  <c r="P121" i="55"/>
  <c r="P120" i="55"/>
  <c r="P119" i="55"/>
  <c r="P118" i="55"/>
  <c r="P117" i="55"/>
  <c r="P116" i="55"/>
  <c r="P115" i="55"/>
  <c r="P114" i="55"/>
  <c r="P113" i="55"/>
  <c r="P112" i="55"/>
  <c r="P111" i="55"/>
  <c r="P110" i="55"/>
  <c r="P109" i="55"/>
  <c r="P108" i="55"/>
  <c r="P107" i="55"/>
  <c r="P106" i="55"/>
  <c r="P105" i="55"/>
  <c r="P104" i="55"/>
  <c r="P103" i="55"/>
  <c r="P102" i="55"/>
  <c r="P101" i="55"/>
  <c r="P100" i="55"/>
  <c r="P99" i="55"/>
  <c r="P98" i="55"/>
  <c r="P97" i="55"/>
  <c r="P96" i="55"/>
  <c r="P95" i="55"/>
  <c r="P94" i="55"/>
  <c r="P93" i="55"/>
  <c r="P92" i="55"/>
  <c r="P91" i="55"/>
  <c r="P90" i="55"/>
  <c r="P89" i="55"/>
  <c r="P88" i="55"/>
  <c r="P87" i="55"/>
  <c r="P86" i="55"/>
  <c r="P85" i="55"/>
  <c r="P84" i="55"/>
  <c r="P83" i="55"/>
  <c r="P82" i="55"/>
  <c r="P81" i="55"/>
  <c r="P80" i="55"/>
  <c r="P79" i="55"/>
  <c r="P78" i="55"/>
  <c r="P77" i="55"/>
  <c r="P76" i="55"/>
  <c r="P75" i="55"/>
  <c r="P74" i="55"/>
  <c r="P73" i="55"/>
  <c r="P72" i="55"/>
  <c r="P71" i="55"/>
  <c r="P70" i="55"/>
  <c r="P69" i="55"/>
  <c r="P68" i="55"/>
  <c r="P67" i="55"/>
  <c r="P66" i="55"/>
  <c r="P65" i="55"/>
  <c r="P64" i="55"/>
  <c r="P63" i="55"/>
  <c r="P62" i="55"/>
  <c r="P61" i="55"/>
  <c r="P60" i="55"/>
  <c r="P59" i="55"/>
  <c r="P58" i="55"/>
  <c r="P57" i="55"/>
  <c r="P56" i="55"/>
  <c r="P55" i="55"/>
  <c r="P54" i="55"/>
  <c r="P53" i="55"/>
  <c r="P52" i="55"/>
  <c r="P51" i="55"/>
  <c r="P50" i="55"/>
  <c r="P49" i="55"/>
  <c r="P48" i="55"/>
  <c r="P47" i="55"/>
  <c r="P46" i="55"/>
  <c r="P45" i="55"/>
  <c r="P44" i="55"/>
  <c r="P43" i="55"/>
  <c r="P42" i="55"/>
  <c r="P41" i="55"/>
  <c r="P40" i="55"/>
  <c r="P39" i="55"/>
  <c r="P38" i="55"/>
  <c r="P37" i="55"/>
  <c r="P36" i="55"/>
  <c r="P35" i="55"/>
  <c r="P34" i="55"/>
  <c r="P33" i="55"/>
  <c r="P32" i="55"/>
  <c r="P31" i="55"/>
  <c r="P30" i="55"/>
  <c r="P29" i="55"/>
  <c r="P28" i="55"/>
  <c r="P27" i="55"/>
  <c r="P26" i="55"/>
  <c r="P25" i="55"/>
  <c r="P24" i="55"/>
  <c r="P23" i="55"/>
  <c r="P22" i="55"/>
  <c r="P21" i="55"/>
  <c r="P20" i="55"/>
  <c r="P19" i="55"/>
  <c r="P18" i="55"/>
  <c r="P17" i="55"/>
  <c r="P16" i="55"/>
  <c r="P15" i="55"/>
  <c r="P14" i="55"/>
  <c r="P13" i="55"/>
  <c r="P12" i="55"/>
  <c r="P11" i="55"/>
  <c r="P10" i="55"/>
  <c r="P9" i="55"/>
  <c r="P8" i="55"/>
  <c r="P7" i="55"/>
  <c r="P6" i="55"/>
  <c r="P5" i="55"/>
  <c r="P4" i="55"/>
  <c r="P3" i="55"/>
  <c r="P2" i="55"/>
  <c r="N3" i="55" l="1"/>
  <c r="N4" i="55"/>
  <c r="N5" i="55"/>
  <c r="N6" i="55"/>
  <c r="N7" i="55"/>
  <c r="N8" i="55"/>
  <c r="N9" i="55"/>
  <c r="N10" i="55"/>
  <c r="N11" i="55"/>
  <c r="N12" i="55"/>
  <c r="N13" i="55"/>
  <c r="N14" i="55"/>
  <c r="N15" i="55"/>
  <c r="N16" i="55"/>
  <c r="N17" i="55"/>
  <c r="N18" i="55"/>
  <c r="N19" i="55"/>
  <c r="N20" i="55"/>
  <c r="N21" i="55"/>
  <c r="N22" i="55"/>
  <c r="N23" i="55"/>
  <c r="N24" i="55"/>
  <c r="N25" i="55"/>
  <c r="N26" i="55"/>
  <c r="N27" i="55"/>
  <c r="N28" i="55"/>
  <c r="N29" i="55"/>
  <c r="N30" i="55"/>
  <c r="N31" i="55"/>
  <c r="N32" i="55"/>
  <c r="N33" i="55"/>
  <c r="N34" i="55"/>
  <c r="N35" i="55"/>
  <c r="N36" i="55"/>
  <c r="N37" i="55"/>
  <c r="N38" i="55"/>
  <c r="N39" i="55"/>
  <c r="N40" i="55"/>
  <c r="N41" i="55"/>
  <c r="N42" i="55"/>
  <c r="N43" i="55"/>
  <c r="N44" i="55"/>
  <c r="N45" i="55"/>
  <c r="N46" i="55"/>
  <c r="N47" i="55"/>
  <c r="N48" i="55"/>
  <c r="N49" i="55"/>
  <c r="N50" i="55"/>
  <c r="N51" i="55"/>
  <c r="N52" i="55"/>
  <c r="N53" i="55"/>
  <c r="N54" i="55"/>
  <c r="N55" i="55"/>
  <c r="N56" i="55"/>
  <c r="N57" i="55"/>
  <c r="N58" i="55"/>
  <c r="N59" i="55"/>
  <c r="N60" i="55"/>
  <c r="N61" i="55"/>
  <c r="N62" i="55"/>
  <c r="N63" i="55"/>
  <c r="N64" i="55"/>
  <c r="N65" i="55"/>
  <c r="N66" i="55"/>
  <c r="N67" i="55"/>
  <c r="N68" i="55"/>
  <c r="N69" i="55"/>
  <c r="N70" i="55"/>
  <c r="N71" i="55"/>
  <c r="N72" i="55"/>
  <c r="N73" i="55"/>
  <c r="N74" i="55"/>
  <c r="N75" i="55"/>
  <c r="N76" i="55"/>
  <c r="N77" i="55"/>
  <c r="N78" i="55"/>
  <c r="N79" i="55"/>
  <c r="N80" i="55"/>
  <c r="N81" i="55"/>
  <c r="E94" i="55"/>
  <c r="E93" i="55"/>
  <c r="E92" i="55"/>
  <c r="E91" i="55"/>
  <c r="N2" i="57" l="1"/>
  <c r="A2" i="57"/>
  <c r="N2" i="56"/>
  <c r="A2" i="56"/>
  <c r="N2" i="55" l="1"/>
  <c r="A14" i="43" l="1"/>
  <c r="A13" i="43"/>
  <c r="A12" i="43"/>
  <c r="A11" i="43"/>
  <c r="A10" i="43"/>
  <c r="A8" i="43"/>
  <c r="A7" i="43"/>
  <c r="A6" i="43"/>
  <c r="A5" i="43"/>
  <c r="A4" i="43"/>
  <c r="A3" i="43"/>
  <c r="A2" i="43"/>
  <c r="A1" i="43"/>
</calcChain>
</file>

<file path=xl/sharedStrings.xml><?xml version="1.0" encoding="utf-8"?>
<sst xmlns="http://schemas.openxmlformats.org/spreadsheetml/2006/main" count="17358" uniqueCount="3149">
  <si>
    <t xml:space="preserve">HISTORICO </t>
  </si>
  <si>
    <t>DATA COMPETENCIA</t>
  </si>
  <si>
    <t>BROKER</t>
  </si>
  <si>
    <t>VALOR</t>
  </si>
  <si>
    <t>FORNECEDOR</t>
  </si>
  <si>
    <t>DATA LANCAMENTO</t>
  </si>
  <si>
    <t>CLIENTE</t>
  </si>
  <si>
    <t>CONTA CONTABIL</t>
  </si>
  <si>
    <t>RAZÃO SOCIAL</t>
  </si>
  <si>
    <t>BANCO BTG PACTUAL S/A</t>
  </si>
  <si>
    <t>AZ QUEST INVESTIMENTOS LTDA</t>
  </si>
  <si>
    <t>BANCO XP S.A</t>
  </si>
  <si>
    <t>BANCO SAFRA S/A</t>
  </si>
  <si>
    <t>BANCO BOCOM BBM S.A</t>
  </si>
  <si>
    <t>ITAU UNIBANCO S/A</t>
  </si>
  <si>
    <t>GOLDMAN SACHS INTERNATIONAL - CITI</t>
  </si>
  <si>
    <t>GLOBO COMUNICACAO E PARTICIPACOES S.A</t>
  </si>
  <si>
    <t>SUL AMERICA INVESTIMENTOS GESTORA DE RECURSOS S/A</t>
  </si>
  <si>
    <t>SANTANDER BRASIL GESTAO DE RECURSOS LTDA</t>
  </si>
  <si>
    <t>FUNDACAO PETROBRAS DE SEGURIDADE SOCIAL PETROS</t>
  </si>
  <si>
    <t>Codigo</t>
  </si>
  <si>
    <t>XBSP</t>
  </si>
  <si>
    <t>BGC LIQUIDEZ DTVM LTDA</t>
  </si>
  <si>
    <t>JOSE MAURICIO GOMES TEIXEIRA</t>
  </si>
  <si>
    <t>BANCO SANTANDER (BRASIL) S/A</t>
  </si>
  <si>
    <t>CAIXA ECONOMICA FEDERAL</t>
  </si>
  <si>
    <t>MORGAN STANLEY ADMINISTRADORA DE CARTEIRAS S/A</t>
  </si>
  <si>
    <t>BANCO VOTORANTIM S/A</t>
  </si>
  <si>
    <t>VINCI GESTORA DE RECURSOS LTDA</t>
  </si>
  <si>
    <t>TEMPO CAPITAL PRINCIPAL FIA</t>
  </si>
  <si>
    <t>VINCI EQUITIES GESTORA DE RECURSOS LTDA</t>
  </si>
  <si>
    <t>RICARDO FERREIRA DA COSTA</t>
  </si>
  <si>
    <t>TEMPO CAPITAL GESTAO DE RECURSOS LTDA</t>
  </si>
  <si>
    <t>BANCO JP MORGAN S/A</t>
  </si>
  <si>
    <t>ATACAMA MULTIMERCADO FI</t>
  </si>
  <si>
    <t>BANCO NACIONAL DE DESENVOLVIMENTO ECONOMICO E SOCIAL - BNDES</t>
  </si>
  <si>
    <t>BANCO BRADESCO S/A</t>
  </si>
  <si>
    <t>ARX INVESTIMENTOS LTDA</t>
  </si>
  <si>
    <t>BNP PARIBAS ASSET MANAGEMENT BRASIL LTDA</t>
  </si>
  <si>
    <t>ANDREA LICASSIA ALMEIDA SANTOS</t>
  </si>
  <si>
    <t>XP GESTAO DE RECURSOS LTDA</t>
  </si>
  <si>
    <t>CREDIT SUISSE (BRASIL) S/A CTVM</t>
  </si>
  <si>
    <t>RIO BRAVO INVESTIMENTOS LTDA</t>
  </si>
  <si>
    <t>RPS CAPITAL ADMINISTRADORA DE RECURSOS LTDA</t>
  </si>
  <si>
    <t>ALASKA BLACK MASTER FIA BDR NIVEL I</t>
  </si>
  <si>
    <t>ALASKA INVESTIMENTOS LTDA</t>
  </si>
  <si>
    <t>CERES FUNDACAO DE SEGURIDADE SOCIAL</t>
  </si>
  <si>
    <t>AGUILA CAPITAL ADM E GESTAO DE CAPITAIS LTDA</t>
  </si>
  <si>
    <t>FI AGROCIENCIA ACOES</t>
  </si>
  <si>
    <t>TRUXT INVESTIMENTOS LTDA</t>
  </si>
  <si>
    <t>BTG PACTUAL ASSET MANAGEMENT SA DTVM</t>
  </si>
  <si>
    <t>KAPITALO INVESTIMENTOS LTDA</t>
  </si>
  <si>
    <t>GARIN INVESTIMENTOS LTDA</t>
  </si>
  <si>
    <t>MONGERAL AEGON INVESTIMENTOS LTDA</t>
  </si>
  <si>
    <t>OITI FIM CP IE</t>
  </si>
  <si>
    <t>BANCO ALFA DE INVESTIMENTO S/A</t>
  </si>
  <si>
    <t>SKOPOS INVESTIMENTOS LTDA</t>
  </si>
  <si>
    <t>JGP GESTAO DE RECURSOS LTDA</t>
  </si>
  <si>
    <t>BW GESTAO DE INVESTIMENTOS LTDA</t>
  </si>
  <si>
    <t>QUANTITAS GESTAO DE RECURSOS LTDA</t>
  </si>
  <si>
    <t>CHRISTIANO MARCONDES DE BARROS LIMA</t>
  </si>
  <si>
    <t>BANCO BMG S/A</t>
  </si>
  <si>
    <t>GAVEA INVESTIMENTOS LTDA</t>
  </si>
  <si>
    <t>CITIGROUP GLOBAL MARKETS LIMITED</t>
  </si>
  <si>
    <t>BANCO MORGAN STANLEY S/A</t>
  </si>
  <si>
    <t>VERDE ASSET MANAGEMENT S/A</t>
  </si>
  <si>
    <t>JGP GESTAO PATRIMONIAL LTDA</t>
  </si>
  <si>
    <t>SPX GESTAO DE RECURSOS LTDA</t>
  </si>
  <si>
    <t>HAITONG BANCO DE INVESTIMENTO DO BRASIL S/A</t>
  </si>
  <si>
    <t>BAHIA AM RENDA FIXA LTDA ( ANTIGO BBM II)</t>
  </si>
  <si>
    <t>FUNDACAO CESP</t>
  </si>
  <si>
    <t>OPPORTUNITY GESTAO DE INVESTIMENTOS E RECURSOS LTDA</t>
  </si>
  <si>
    <t>BANCO ABC BRASIL S/A</t>
  </si>
  <si>
    <t>KINEA INVESTIMENTOS LTDA</t>
  </si>
  <si>
    <t>CANVAS CAPITAL S/A</t>
  </si>
  <si>
    <t>CREDIT SUISSE HEDGING-GRIFFO WEALTH MANAGEMENT S/A</t>
  </si>
  <si>
    <t>VINLAND CAPITAL MANAGEMENT GESTORA DE RECURSOS LTDA</t>
  </si>
  <si>
    <t>LEGACY CAPITAL GESTORA DE RECURSOS LTDA</t>
  </si>
  <si>
    <t>XBMF</t>
  </si>
  <si>
    <t>BANCO MUFG BRASIL S.A.</t>
  </si>
  <si>
    <t>FIM ICEBERG IE CP</t>
  </si>
  <si>
    <t>MERRILL LYNCH INTERNATIONAL</t>
  </si>
  <si>
    <t>BANCO DAYCOVAL S/A</t>
  </si>
  <si>
    <t>BANCO CREDIT AGRICOLE BRASIL S/A</t>
  </si>
  <si>
    <t>SOCIETE GENERALE (PARIS)</t>
  </si>
  <si>
    <t>BANCO CITIBANK S/A</t>
  </si>
  <si>
    <t>BR PARTNERS BANCO DE INVESTIMENTOS SA</t>
  </si>
  <si>
    <t>RAIZEN ENERGIA S.A.</t>
  </si>
  <si>
    <t>BANCO MIZUHO DO BRASIL S/A (ANTIGO WESTLB)</t>
  </si>
  <si>
    <t>LOUIS DREYFUS COMPANY BRASIL S/A</t>
  </si>
  <si>
    <t>BANCO PINE S/A</t>
  </si>
  <si>
    <t>CREDIT AGRICOLE CORPORATE AND INVESTMENT BANK</t>
  </si>
  <si>
    <t>LAKESIDE TRADING LLC</t>
  </si>
  <si>
    <t>BANCO SUMITOMO MITSUI BRASILEIRO S.A</t>
  </si>
  <si>
    <t>BANK OF AMERICA MERRILL LYNCH BANCO MULTIPLO S/A</t>
  </si>
  <si>
    <t>CARGILL FINANCIAL SERVICES INTERNATIONAL INC</t>
  </si>
  <si>
    <t>BANCO COOPERATIVO SICREDI S/A</t>
  </si>
  <si>
    <t>DEUTSCHE BANK AG LONDON GLOBAL MARKETS</t>
  </si>
  <si>
    <t>BANCO FIBRA S/A</t>
  </si>
  <si>
    <t>BANCO RABOBANK INTERNATIONAL BRASIL S/A</t>
  </si>
  <si>
    <t>BANCO RENDIMENTO S/A</t>
  </si>
  <si>
    <t>BANCO CAIXA GERAL BRASIL SA</t>
  </si>
  <si>
    <t>BANCO SOCIETE GENERALE BRASIL S/A</t>
  </si>
  <si>
    <t>SCOTIABANK BRASILS/A BANCO MULTIPLO(ANTIGO DRESDNER BANK BR)</t>
  </si>
  <si>
    <t>BANCO BNP PARIBAS BRASIL S/A</t>
  </si>
  <si>
    <t>BANCO BS2 S/A</t>
  </si>
  <si>
    <t>MERRILL LYNCH CAPITAL SERVICES INC</t>
  </si>
  <si>
    <t>BANCO CARGILL S/A</t>
  </si>
  <si>
    <t>CARGILL AGRICOLA S/A</t>
  </si>
  <si>
    <t>GOLDMAN SACHS DO BRASIL BANCO MULTIPLO S/A</t>
  </si>
  <si>
    <t>BANCO DO BRASIL S/A</t>
  </si>
  <si>
    <t>BGC LIQUIDEZ -SP-CONTA TRANSITORIA</t>
  </si>
  <si>
    <t>CONFEDERACAO DAS COOPERATIVAS DO SICREDI</t>
  </si>
  <si>
    <t>OCTANTE GESTAO DE RECURSOS LTDA</t>
  </si>
  <si>
    <t>BANCO SANTANDER S.A (HISPANO)</t>
  </si>
  <si>
    <t>JP MORGAN SECURITIES PLC</t>
  </si>
  <si>
    <t>3R GESTORA DE RECURSOS LTDA</t>
  </si>
  <si>
    <t>CONCORDIA TI FIM LP</t>
  </si>
  <si>
    <t>INTESA SANPAOLO BRASIL S.A - BANCO MULTIPLO</t>
  </si>
  <si>
    <t>DYNAMO ADMINISTRACAO DE RECURSOS LTDA</t>
  </si>
  <si>
    <t>DAHLIA CAPITAL GESTAO DE RECURSOS LTDA</t>
  </si>
  <si>
    <t>OCCAM BRASIL GESTAO DE RECURSOS LTDA</t>
  </si>
  <si>
    <t>ERIS FIM CP INVESTIMENTO NO EXTERIOR</t>
  </si>
  <si>
    <t>IMC TRADING B.V</t>
  </si>
  <si>
    <t>SHARP CAPITAL GESTORA DE RECURSOS LTDA</t>
  </si>
  <si>
    <t>BANCO J SAFRA S/A</t>
  </si>
  <si>
    <t>IRB ASSET MANAGEMENT S.A</t>
  </si>
  <si>
    <t>BANCO C6 S.A</t>
  </si>
  <si>
    <t>VENTOR INVESTIMENTOS LTDA</t>
  </si>
  <si>
    <t>FIM CONEJO FUND</t>
  </si>
  <si>
    <t>BANCO SOFISA S/A</t>
  </si>
  <si>
    <t>STATE STREET BANK AND TRUST COMPANY</t>
  </si>
  <si>
    <t>CARLOS BASILE</t>
  </si>
  <si>
    <t>FP CARTEIRA ATIVA FIM</t>
  </si>
  <si>
    <t>UJAY CAPITAL INVESTIMENTOS LTDA.</t>
  </si>
  <si>
    <t>BRAINVEST ASSESSORIA FINANCEIRA E GESTAO DE RECURSOS LTDA.</t>
  </si>
  <si>
    <t>OPTIVER V.O.F.</t>
  </si>
  <si>
    <t>CAPSTONE PARTNERS GESTAO DE RECURSOS LTDA</t>
  </si>
  <si>
    <t>STATE STREET BRASIL S.A. - BANCO COMERCIAL</t>
  </si>
  <si>
    <t>OPPORTUNITY HDF ADMINISTRADORA DE RECURSOS LTDA</t>
  </si>
  <si>
    <t>V8 CAPITAL GESTAO DE INVESTIMENTOS LTDA</t>
  </si>
  <si>
    <t>ACE CAPITAL GESTORA DE RECURSOS LTDA</t>
  </si>
  <si>
    <t>NÃƒO SE APLICA</t>
  </si>
  <si>
    <t>BRUNO HERZOG GARCIA</t>
  </si>
  <si>
    <t>ADEMILSON C MARTINS JR</t>
  </si>
  <si>
    <t>ALEXANDRE AUGUSTO VITORINO</t>
  </si>
  <si>
    <t>ENRIQUE PINTO BALBINO</t>
  </si>
  <si>
    <t>ADRIANO SCARSO MENEGHINI</t>
  </si>
  <si>
    <t>ANDRE DE ALMEIDA ROSA SOARES</t>
  </si>
  <si>
    <t>PAULO ANDRE BODIN MORAES</t>
  </si>
  <si>
    <t>LEONARDO OLIVEIRA</t>
  </si>
  <si>
    <t>FLAVIO FUCS</t>
  </si>
  <si>
    <t>IBIUNA GESTAO DE RECURSOS LTDA</t>
  </si>
  <si>
    <t>MARCELO BRAGA COVO</t>
  </si>
  <si>
    <t>ANDRE LOBATO PINHEIRO</t>
  </si>
  <si>
    <t>MICHAEL KUSUNOKI</t>
  </si>
  <si>
    <t>BRUNO APPELBAUM</t>
  </si>
  <si>
    <t>EVANDRO GAMBRA BUCCINI</t>
  </si>
  <si>
    <t>MARCOS PEIXOTO</t>
  </si>
  <si>
    <t>ALAN ANDRADE ROCHA</t>
  </si>
  <si>
    <t>ALESSANDRO EZEQUIEL JUNIOR</t>
  </si>
  <si>
    <t>PAOLO DI SORA</t>
  </si>
  <si>
    <t>ANDRE BENDIT</t>
  </si>
  <si>
    <t>JOAO LANDAU MAGALHAES</t>
  </si>
  <si>
    <t>STUDIO INVESTIMENTOS ADMINISTRADORA DE RECURSOS LTDA</t>
  </si>
  <si>
    <t>BRUNO PANDOLFI DA SILVEIRA</t>
  </si>
  <si>
    <t>LEONARDO PAULO DE OLIVEIRA</t>
  </si>
  <si>
    <t>BRUNO FREITAS MIRANDA</t>
  </si>
  <si>
    <t>ALEXANDRE MARINHO GAUDIO</t>
  </si>
  <si>
    <t>ALAN COGAN GROSSMAN</t>
  </si>
  <si>
    <t>CARLOS LEONHARD DA R WOELZ</t>
  </si>
  <si>
    <t>CLAUDIO MENEZES PIRES</t>
  </si>
  <si>
    <t>BRUNO BIAGI</t>
  </si>
  <si>
    <t>FERNANDO CORREA CAMACHO</t>
  </si>
  <si>
    <t>ALISSON ARRAIS COSTA</t>
  </si>
  <si>
    <t>ROGERIO SEBASTIAO BRAGA</t>
  </si>
  <si>
    <t>MARCIO ALEXANDRE GEORGETTI</t>
  </si>
  <si>
    <t>GABRIEL SROUR</t>
  </si>
  <si>
    <t>ANDRE MENDES DE ANDRADE</t>
  </si>
  <si>
    <t>BRUNO LUIGI FORESTI</t>
  </si>
  <si>
    <t>ANDRE SIMOES CARDOSO</t>
  </si>
  <si>
    <t>DENIS RICARDO FERRARI</t>
  </si>
  <si>
    <t>ALESSANDRO M GEMIGNANI</t>
  </si>
  <si>
    <t>DILTON MARINHO RODRIGUES</t>
  </si>
  <si>
    <t>ANDERSON BORGES DE GODOI</t>
  </si>
  <si>
    <t>ALAN ANTONIO CORREA JUNIOR</t>
  </si>
  <si>
    <t>CARLOS FREDERICO SOBRAL ELIAS</t>
  </si>
  <si>
    <t>PAULO AUGUSTO LUZ FERREIRA SAB</t>
  </si>
  <si>
    <t>ALEXANDRE MASSAMI KISHIMOTO</t>
  </si>
  <si>
    <t>ALEXANDRE SCHWARTZMAN</t>
  </si>
  <si>
    <t>BANCO GENIAL S.A</t>
  </si>
  <si>
    <t>BERNARDO NOLASCO ROCHA</t>
  </si>
  <si>
    <t>RAJBIR SINGH UPPAL</t>
  </si>
  <si>
    <t>MARCELO NOBREGA DA COSTA</t>
  </si>
  <si>
    <t>THIAGO COSTA JACINTO</t>
  </si>
  <si>
    <t>BRUNO STEPHANO  MANFRIN HOSODA</t>
  </si>
  <si>
    <t>FERNANDO WALDMAN VILLA</t>
  </si>
  <si>
    <t>BRUNO BERNARDES</t>
  </si>
  <si>
    <t>MARCIO RODRIGUES DE OLIVEIRA</t>
  </si>
  <si>
    <t>PATRICK GRANDMASSON CROCKETT C</t>
  </si>
  <si>
    <t>DENIS MATUGUMA</t>
  </si>
  <si>
    <t>THUNAY MOTA RAIA</t>
  </si>
  <si>
    <t>LUANA PEREIRA CAMPOS</t>
  </si>
  <si>
    <t>GUSTAVO RABELLO DE CASTRO</t>
  </si>
  <si>
    <t>FABIO BORGES</t>
  </si>
  <si>
    <t>MARCELO DE SOUZA LISBOA</t>
  </si>
  <si>
    <t>LUIS FLAVIO MUZZI MENDES</t>
  </si>
  <si>
    <t>ROGERIO KEIITI ENDO</t>
  </si>
  <si>
    <t>VICENTE PAGLIARO P DE MELLO</t>
  </si>
  <si>
    <t>RENATO PEREIRA DOS SANTOS</t>
  </si>
  <si>
    <t>JAQUES ZYLBERGELD</t>
  </si>
  <si>
    <t>GUILHERME BRETAS</t>
  </si>
  <si>
    <t>LAERCIO SOUSA LONGO</t>
  </si>
  <si>
    <t>FELIPE S UEDA RUSSO MARTINS</t>
  </si>
  <si>
    <t>RICARDO DOS REIS ROSA</t>
  </si>
  <si>
    <t>CARLOS FERRARI</t>
  </si>
  <si>
    <t>ALEXANDRE CLER FAVARIS</t>
  </si>
  <si>
    <t>EDUARDO FERNANDO CORDEIRO</t>
  </si>
  <si>
    <t>GUILHERME GAYOLA CONTATO</t>
  </si>
  <si>
    <t>FABIANO CUNHA GUIDO RIOS</t>
  </si>
  <si>
    <t>HERMANN MIRANDA SANTOS</t>
  </si>
  <si>
    <t>DANILO BREDDA</t>
  </si>
  <si>
    <t>ACACIO ROBOREDO</t>
  </si>
  <si>
    <t>ANDRE OKAMOTO UNTEM</t>
  </si>
  <si>
    <t>LASZIO CERVEIRA LUESKA</t>
  </si>
  <si>
    <t>MANOEL MENEZES</t>
  </si>
  <si>
    <t>BRUNO B PEROTTONI</t>
  </si>
  <si>
    <t>SAMIR WANIS F CHELALA</t>
  </si>
  <si>
    <t>RAFAEL PISTELLI GOMES</t>
  </si>
  <si>
    <t>ROBERTA VALENTE GUIMARAES</t>
  </si>
  <si>
    <t>RAFAEL DE GODOY O ANDRADE</t>
  </si>
  <si>
    <t>MARCELO KENJI HONDA</t>
  </si>
  <si>
    <t>ALEXANDRE LOW</t>
  </si>
  <si>
    <t>ANDRE MARCOS DIAS CAMPOS</t>
  </si>
  <si>
    <t>FELIPE MITSUO HIRAI</t>
  </si>
  <si>
    <t>CARLO EMILIO GONZALES</t>
  </si>
  <si>
    <t>ALEXANDRE SODERO REZENDE</t>
  </si>
  <si>
    <t>MAURICIO GARCIA PATINI</t>
  </si>
  <si>
    <t>JULIEN MATTEI</t>
  </si>
  <si>
    <t>RAFAEL PAIVA POPPE DO VALLE</t>
  </si>
  <si>
    <t>BANCO COOPERATIVO SICOOB S.A - BANCO SICOOB</t>
  </si>
  <si>
    <t>LEONARDO DE ANDRADE LINHARES</t>
  </si>
  <si>
    <t>GUILHERME BECAK DAVID</t>
  </si>
  <si>
    <t>FELIPE NOVAES GARCIA</t>
  </si>
  <si>
    <t>GUSTAVO TOSHIHIRO NISHIDA</t>
  </si>
  <si>
    <t>MAX LEANDRO FERREIRA TAVARES</t>
  </si>
  <si>
    <t>JAYME SRUR</t>
  </si>
  <si>
    <t>CHRISTOPHER F PIZZOTTI</t>
  </si>
  <si>
    <t>MATHEUS GALDI DA SILVA</t>
  </si>
  <si>
    <t>MARCELO VECCI</t>
  </si>
  <si>
    <t>MURILLO ALVES SOARES</t>
  </si>
  <si>
    <t>ALEXANDRE GHIDIRIM</t>
  </si>
  <si>
    <t>DALMO LEITE DE OLIVEIRA</t>
  </si>
  <si>
    <t>MARCIO GOLDENZONDE ALBUQUERQUE</t>
  </si>
  <si>
    <t>CARLOS EDUARDO MAIA</t>
  </si>
  <si>
    <t>RENANN DAVID</t>
  </si>
  <si>
    <t>EDUARDO TADEU RIBEIRO</t>
  </si>
  <si>
    <t>TOMAS DOMINGUES TRUZZI</t>
  </si>
  <si>
    <t>ITAMAR BENIGNO FILHO</t>
  </si>
  <si>
    <t>DANIEL JOJI TATSUMI</t>
  </si>
  <si>
    <t>FABRICIO TASCHETTO</t>
  </si>
  <si>
    <t>EGIDIO TURCHI DE FREITAS</t>
  </si>
  <si>
    <t>Grupo (Nome)</t>
  </si>
  <si>
    <t>Emissor/mandatario/trader padrao</t>
  </si>
  <si>
    <t>ANDRE ELIAS VAZQUEZ FADUL</t>
  </si>
  <si>
    <t>ANDRE CALDAS OLIVEIRA</t>
  </si>
  <si>
    <t>ANTONIO R MARTINELLI BUENO</t>
  </si>
  <si>
    <t>MORE INVEST GESTORA DE RECURSOS LTDA</t>
  </si>
  <si>
    <t>AURELIEN GUILLAUME A COTTARD</t>
  </si>
  <si>
    <t>FERNANDO HENRIQUE M PALERMO</t>
  </si>
  <si>
    <t>HENRIQUE DE LA ROCQUE</t>
  </si>
  <si>
    <t>RAPHAEL GEANFRANCESCO</t>
  </si>
  <si>
    <t>RICARDO GREEN SOMMER</t>
  </si>
  <si>
    <t>MATHEUS MESQUITA A DE SIQUEIRA</t>
  </si>
  <si>
    <t>RAIZEN S.A.</t>
  </si>
  <si>
    <t>GABRIEL PEREIRA BAPTISTELA</t>
  </si>
  <si>
    <t>BRIAN GABELMAN</t>
  </si>
  <si>
    <t>ADAILTON GUSTAVO DE BRITO</t>
  </si>
  <si>
    <t>PAULIUS CHMIELIAUSKAS</t>
  </si>
  <si>
    <t>CIPRIAN ZAHAN</t>
  </si>
  <si>
    <t>SYMMETRY FINANCIALS LIMITED</t>
  </si>
  <si>
    <t>MARCO AURELIO S S FERNANDES</t>
  </si>
  <si>
    <t>GIOVANNE JOAQUIM T DE CASTRO</t>
  </si>
  <si>
    <t>PEDRO AUGUSTO B SIQUEIRA</t>
  </si>
  <si>
    <t>FERNANDO GARCEZ DO CARMO</t>
  </si>
  <si>
    <t>ANDRE TEBALDI SANTOS</t>
  </si>
  <si>
    <t>SAMUEL FERREIRA SOARES</t>
  </si>
  <si>
    <t>WILLIAM PINTO PEREIRA LEITE</t>
  </si>
  <si>
    <t>ULISSES RUSSO DE OLIVEIRA</t>
  </si>
  <si>
    <t>MARCOS ARCHINA WEIGT</t>
  </si>
  <si>
    <t>PORTO SEGURO INVESTIMENTOS LTDA</t>
  </si>
  <si>
    <t>FELIPE KOL DE ALVARENGA CARVAL</t>
  </si>
  <si>
    <t>BANCO HSBC S.A</t>
  </si>
  <si>
    <t>BRUNO DENKER DE ALMEIDA</t>
  </si>
  <si>
    <t>TIAGO MARQUES RANGEL DA SILVA</t>
  </si>
  <si>
    <t>OCEANA INVESTIMENTOS ADM DE CARTEIRAS DE VALORES MOB LTDA</t>
  </si>
  <si>
    <t>MAKO GLOBAL DERIVATIVES PARTNERSHIP LLP</t>
  </si>
  <si>
    <t>CLAVE GESTORA DE RECURSOS LTDA</t>
  </si>
  <si>
    <t>RODRIGO CARVALHO</t>
  </si>
  <si>
    <t>DANIEL MOTTA CAMARGO SILVA</t>
  </si>
  <si>
    <t>BANCO ORIGINAL S/A</t>
  </si>
  <si>
    <t>ANDRE NG</t>
  </si>
  <si>
    <t>NAVI CAPITAL ADMINISTRADORA E GESTORA DE RECURSOS FINANCEIRO</t>
  </si>
  <si>
    <t>BNP PARIBAS</t>
  </si>
  <si>
    <t>GABRIEL SANTOS SANTIAGO</t>
  </si>
  <si>
    <t>PEDRO ANDRE SAUER</t>
  </si>
  <si>
    <t>ANDRE NOVELLINO NATALE</t>
  </si>
  <si>
    <t>DIOGO ALEXANDRE DE MELO BAHIA</t>
  </si>
  <si>
    <t>DANILO DE ALMENDA STANEY</t>
  </si>
  <si>
    <t>LUCAS MARQUES HILL</t>
  </si>
  <si>
    <t>ACIR ALBINO DYBAS JUNIOR</t>
  </si>
  <si>
    <t>BARCLAYS BANK PLC (NOVO)</t>
  </si>
  <si>
    <t>DIEGO DE BARROS PAGANO</t>
  </si>
  <si>
    <t>FRANK HAWES</t>
  </si>
  <si>
    <t>KARINE VICENTE</t>
  </si>
  <si>
    <t>CARGILL, INCORPORATED</t>
  </si>
  <si>
    <t>GABRIEL XAVIER</t>
  </si>
  <si>
    <t>HSBC BANK USA, NATIONAL ASSOCIATION (HBUS) - BNP</t>
  </si>
  <si>
    <t>BRIAN PATRICK QUINIF</t>
  </si>
  <si>
    <t>CAIXA DISTRIBUIDORA DE TITULOS E VALORES MOBILIARIOS S.A.</t>
  </si>
  <si>
    <t>GOLDMAN SACHS BANK USA</t>
  </si>
  <si>
    <t>BRIAN FANNING DUNNE</t>
  </si>
  <si>
    <t>LUIZ FRANCISCO GUERRA</t>
  </si>
  <si>
    <t>CHRISTIAN C. KELETI</t>
  </si>
  <si>
    <t>VINICIUS ALVES FUKUSHIRO</t>
  </si>
  <si>
    <t>HSBC BANK PLC (HBEU) - BNP</t>
  </si>
  <si>
    <t>PEDRO I CURY</t>
  </si>
  <si>
    <t>BANCO TOPAZIO S.A.</t>
  </si>
  <si>
    <t>JEFERSON LEMOS JUNIOR</t>
  </si>
  <si>
    <t>STK CAPITAL GESTORA DE RECURSOS LTDA</t>
  </si>
  <si>
    <t>ANTENOR GOMES FERNANDES</t>
  </si>
  <si>
    <t>ANTONIO AUGUSTO DAS CHAGAS CARVALHO</t>
  </si>
  <si>
    <t>CODIGO</t>
  </si>
  <si>
    <t>)</t>
  </si>
  <si>
    <t>QUANTIQUE M3 INVESTMENTS LTDA</t>
  </si>
  <si>
    <t>TRADER</t>
  </si>
  <si>
    <t>-</t>
  </si>
  <si>
    <t>DANIEL ALONSO NEGRINI</t>
  </si>
  <si>
    <t>ABSOLUTE GESTAO DE INVESTIMENTOS LTDA</t>
  </si>
  <si>
    <t>ANTONIO LELLIS</t>
  </si>
  <si>
    <t>CAIO VICENZOTTO DE CASTRO</t>
  </si>
  <si>
    <t>DAVID VAISBERG COHEN</t>
  </si>
  <si>
    <t>VISTA CAPITAL GESTORA DE RECURSOS LTDA.</t>
  </si>
  <si>
    <t>XP INVESTIMENTOS CCTVM S/A</t>
  </si>
  <si>
    <t>PEDRO MOMM DE MELO</t>
  </si>
  <si>
    <t>CLAUDIA CRISTINA P VELOSO</t>
  </si>
  <si>
    <t>VICTOR ANDRADE B GOMES</t>
  </si>
  <si>
    <t>GUILHERME BERNASCONI DANIEL</t>
  </si>
  <si>
    <t>LUCIANO JIMENEZ</t>
  </si>
  <si>
    <t>FELIPE AVAIRO</t>
  </si>
  <si>
    <t>LEONARDO RODRIGUEZ QUINTEIRO</t>
  </si>
  <si>
    <t>BRAZA BANK S/A BANCO DE CAMBIO</t>
  </si>
  <si>
    <t>MARCELO AUGUSTO DOS ANJOS</t>
  </si>
  <si>
    <t>BANCO INTER S/A</t>
  </si>
  <si>
    <t>MORGAN STANLEY LATAM LLC - CITIBANK</t>
  </si>
  <si>
    <t>PLANO DE CONTRIBUICAO DEFINIDA</t>
  </si>
  <si>
    <t>J.P. MORGAN OVERSEAS CAPITAL LLC - BANCO J.P. MORGAN S.A.</t>
  </si>
  <si>
    <t>FERNANDA HERMANN CINI</t>
  </si>
  <si>
    <t>ANDERSON SILVA SOUZA</t>
  </si>
  <si>
    <t>RODOLFO GOYTACAZ CAVALHEIRO</t>
  </si>
  <si>
    <t>GABRIEL P BAPTISTELA</t>
  </si>
  <si>
    <t>BRUNO ACETOZE SHIAVINATO</t>
  </si>
  <si>
    <t>CARLOS R DE MENEZES JUNIOR</t>
  </si>
  <si>
    <t>NORTE ASSET MANAGEMENT GESTAO DE RECURSOS S.A.</t>
  </si>
  <si>
    <t>RONALDO ZANI</t>
  </si>
  <si>
    <t>TENAX CAPITAL LTDA</t>
  </si>
  <si>
    <t>LUCAS ROSSI</t>
  </si>
  <si>
    <t>PERENNE INVESTIMENTOS LTDA</t>
  </si>
  <si>
    <t>LUIZ AUGUSTO TAKI ADATI</t>
  </si>
  <si>
    <t>EDUARDO CHEREZ PAVIA</t>
  </si>
  <si>
    <t>SAMANTHA CORREA MONTEIRO</t>
  </si>
  <si>
    <t>FELIPE ZEQUETO BOZONI</t>
  </si>
  <si>
    <t>BOGARI GESTAO DE INVESTIMENTOS LTDA</t>
  </si>
  <si>
    <t>ANDRE BANNWART - EVOLUTION</t>
  </si>
  <si>
    <t>GUSTAVO MELO RAMOS</t>
  </si>
  <si>
    <t>RYO GESTAO DE RECURSOS LTDA</t>
  </si>
  <si>
    <t>FERNANDO VIEIRA S FILHO</t>
  </si>
  <si>
    <t>MAR ASSET MANAGEMENT GESTORA DE RECURSOS LTDA</t>
  </si>
  <si>
    <t>EDUARDO TADEU CARAPIA UTTEMBERG</t>
  </si>
  <si>
    <t>ANTONIO AGIZ FILHO</t>
  </si>
  <si>
    <t>JANTAR</t>
  </si>
  <si>
    <t>ROBERTO SERTA COSTA</t>
  </si>
  <si>
    <t>GABRIEL GUIMARAES GROH</t>
  </si>
  <si>
    <t>CONVIDADO</t>
  </si>
  <si>
    <t>CARGO DO CONVIDADO</t>
  </si>
  <si>
    <t xml:space="preserve">DESPESA DE REPRESENTAÇÃO - </t>
  </si>
  <si>
    <t xml:space="preserve"> (</t>
  </si>
  <si>
    <t>EVENTO</t>
  </si>
  <si>
    <t>LOCOMOÇÃO</t>
  </si>
  <si>
    <t>OUTROS</t>
  </si>
  <si>
    <t>GUILHERME ALVES DE PAULA</t>
  </si>
  <si>
    <t>RAFAEL SAMPAIO DE OLIVEIRA</t>
  </si>
  <si>
    <t>SEAN MADISON GREGORY</t>
  </si>
  <si>
    <t>ALINE FAUSTINI</t>
  </si>
  <si>
    <t>Segmento</t>
  </si>
  <si>
    <t>Nome</t>
  </si>
  <si>
    <t>ALEXANDRE C L ARAUJO DE SOUZA</t>
  </si>
  <si>
    <t>DANIEL COHN</t>
  </si>
  <si>
    <t>ITAU UNIBANCO S.A.</t>
  </si>
  <si>
    <t>ANTONIO CARLOS ALMEIDA COSTA</t>
  </si>
  <si>
    <t>ANDERSON SHIGUERU KATO</t>
  </si>
  <si>
    <t>ANTONIO SERGIO BIAGIOTTI FILHO</t>
  </si>
  <si>
    <t>STANDARD CHARTERED BANK (LONDRES)</t>
  </si>
  <si>
    <t>MATHEUS CRUZ FERNANDES</t>
  </si>
  <si>
    <t>AGUINELMARA DE O BRANDIAO</t>
  </si>
  <si>
    <t>FABIO LUIZ SALAS MARANHO</t>
  </si>
  <si>
    <t>GENOA CAPITAL GESTORA DE RECURSOS LTDA</t>
  </si>
  <si>
    <t>CESAR AUGUSTO DE O GONCALVES</t>
  </si>
  <si>
    <t>MONTE AZUL GESTAO DE RECURSOS LTDA</t>
  </si>
  <si>
    <t>LUCAS ORTIZ C NASCIMENTO</t>
  </si>
  <si>
    <t>MACQUARIE BANK LIMITED - SANTANDER</t>
  </si>
  <si>
    <t>CITIBANK BRAZILIAN ANNEX VI TRUST</t>
  </si>
  <si>
    <t>SANTANDER US CAPITAL MARKETS LLC</t>
  </si>
  <si>
    <t>MONGERAL AEGON RENDA VARIAVEL LTDA</t>
  </si>
  <si>
    <t>EDUARDO CORDEIRO</t>
  </si>
  <si>
    <t>PICPAY BANK BANCO MULTIPLO S.A.</t>
  </si>
  <si>
    <t>RICHARD CORREA</t>
  </si>
  <si>
    <t>Oracle</t>
  </si>
  <si>
    <t>Cabs and Hire Cars (Non-After Hours)(52410010)</t>
  </si>
  <si>
    <t>Air Tickets - Overseas(52410030)</t>
  </si>
  <si>
    <t>Meals Whilst Traveling(52410060)</t>
  </si>
  <si>
    <t>Client Entertainment(52420010)</t>
  </si>
  <si>
    <t>HOSPEDAGEM</t>
  </si>
  <si>
    <t>LIQUIDEZ-OTHER</t>
  </si>
  <si>
    <t>PAULO GUILHERME MENEZES FELIX</t>
  </si>
  <si>
    <t xml:space="preserve">ALUGUEL FLAT </t>
  </si>
  <si>
    <t>HOSPEDAGEM RADISSON BLU SAO PAULO</t>
  </si>
  <si>
    <t>AGENDA 36310</t>
  </si>
  <si>
    <t>JOSE ANTONIO DEZENE JUNIOR</t>
  </si>
  <si>
    <t>CONDOMINIO E IPTU - FLAT</t>
  </si>
  <si>
    <t>BRUNO CHIARADIA PERUCHI</t>
  </si>
  <si>
    <t>MAURICIO DA COSTA VELASCO</t>
  </si>
  <si>
    <t>GUSTAVO VASCONCELLOS</t>
  </si>
  <si>
    <t>NEWTON AKIHIRO IWAMURA</t>
  </si>
  <si>
    <t>FERNANDO BARTHOLOMEU]</t>
  </si>
  <si>
    <t>CAMAROTE NFL - SEGUNDA PARCELA</t>
  </si>
  <si>
    <t>AGENDA 38499</t>
  </si>
  <si>
    <t>2/4 PARCELA DO BOX DO RIO OPEN 2026</t>
  </si>
  <si>
    <t>1/4 PARCELA DO BOX DO RIO OPEN 2026</t>
  </si>
  <si>
    <t>30 CANECAS DE BRINDE PARA O RIO OPEN 2026</t>
  </si>
  <si>
    <t>AGENDA 39003</t>
  </si>
  <si>
    <t>AGENDA 38500</t>
  </si>
  <si>
    <t>174313-3688EC</t>
  </si>
  <si>
    <t>AGENDA 39567</t>
  </si>
  <si>
    <t>AGENDA 39569</t>
  </si>
  <si>
    <t>AGENDA 39573</t>
  </si>
  <si>
    <t>AGENDA 39574</t>
  </si>
  <si>
    <t>ALMOÇO</t>
  </si>
  <si>
    <t>102744-3688FP</t>
  </si>
  <si>
    <t>ALEXANDRE BRENO STEVENS</t>
  </si>
  <si>
    <t>143735-3688AS</t>
  </si>
  <si>
    <t>FELIPE GARCIA</t>
  </si>
  <si>
    <t>CLYBAS PINTO FERRAZ NETO</t>
  </si>
  <si>
    <t>124808-3688CN</t>
  </si>
  <si>
    <t>ODILON SWAN</t>
  </si>
  <si>
    <t>113715-3688CM</t>
  </si>
  <si>
    <t>DANIEL ZANIN DELAGO</t>
  </si>
  <si>
    <t>151651-3688AC</t>
  </si>
  <si>
    <t>JOÃO VICTOR GAVAZZA-CASADO</t>
  </si>
  <si>
    <t>JOSÉ VERGARA</t>
  </si>
  <si>
    <t>121206-3688JV</t>
  </si>
  <si>
    <t>FABIO EDUARDO ANDRADE</t>
  </si>
  <si>
    <t>163522-3688RR</t>
  </si>
  <si>
    <t>INGRESSOS CAMAROTE BAR BRAHMA 2026 (CARNAVAL)</t>
  </si>
  <si>
    <t>3/4 PARCELA DO BOX DO RIO OPEN 2026</t>
  </si>
  <si>
    <t>AGENDA 38501</t>
  </si>
  <si>
    <t>ALMOÇO MACRO NO VARANDA GRILL NO DIA 10/12</t>
  </si>
  <si>
    <t>AGENDA 39605</t>
  </si>
  <si>
    <t>SALES</t>
  </si>
  <si>
    <t>ACRESCIMO PASSAGEM SÃO PAULO X RIO DE JANEIRO</t>
  </si>
  <si>
    <t>AGENDA 39689</t>
  </si>
  <si>
    <t>DANIELA CAMARINHO</t>
  </si>
  <si>
    <t>ESPOSA</t>
  </si>
  <si>
    <t>ANDRE ALBUQUERQUE BAUM</t>
  </si>
  <si>
    <t>152835-3688FB</t>
  </si>
  <si>
    <t>FERNANDA CORVELLO BUTRICO</t>
  </si>
  <si>
    <t>170216-3688FB</t>
  </si>
  <si>
    <t>MARYLIA CARVALHO PONCE</t>
  </si>
  <si>
    <t>GUILHERME MANGILI</t>
  </si>
  <si>
    <t>103806-3688FC</t>
  </si>
  <si>
    <t>FRANCISCO JOSE DIAS CARVALHO</t>
  </si>
  <si>
    <t>VINICIUS PIOVESAN</t>
  </si>
  <si>
    <t>RODRIGO PENTAGNA</t>
  </si>
  <si>
    <t>110930-3688RP</t>
  </si>
  <si>
    <t>RODRIGO ASSIS</t>
  </si>
  <si>
    <t>HAPPY HOUR</t>
  </si>
  <si>
    <t>135856-3688RC</t>
  </si>
  <si>
    <t>KAUE GUIMARAES CHINELLATO</t>
  </si>
  <si>
    <t>ALMOÇOS, JANTARES, TRANSPORTES, HOTEL ENTRE OUTROS</t>
  </si>
  <si>
    <t>AGENDA 39751</t>
  </si>
  <si>
    <t>CEO</t>
  </si>
  <si>
    <t>ALMOÇO MACRO NO VARANDA GRILL NO DIA 16/12</t>
  </si>
  <si>
    <t>AGENDA 39604</t>
  </si>
  <si>
    <t>JANTAR COM DANIEL NARZETTI NO DIA 10/12</t>
  </si>
  <si>
    <t>AGENDA 39857</t>
  </si>
  <si>
    <t>PASSAGEM RIO DE JANEIRO X SÃO PAULO</t>
  </si>
  <si>
    <t>AGENDA 39661</t>
  </si>
  <si>
    <t>FREDERICO PADILHA</t>
  </si>
  <si>
    <t>131258-3688MP</t>
  </si>
  <si>
    <t>LEONARDO MACHADO</t>
  </si>
  <si>
    <t>135357-3688RP</t>
  </si>
  <si>
    <t>BENY</t>
  </si>
  <si>
    <t>AGENDA 39749</t>
  </si>
  <si>
    <t>FABIO SOARES PFAENDER</t>
  </si>
  <si>
    <t>115929-3688FP</t>
  </si>
  <si>
    <t>BRUNO CESAR MIRANDA CARDOSO</t>
  </si>
  <si>
    <t>AGENDA 39856</t>
  </si>
  <si>
    <t>MENSALIDADE DA ASSOCIAÇÃO AO WTC BUSSINESS CLUB</t>
  </si>
  <si>
    <t>AGENDA 39934</t>
  </si>
  <si>
    <t>FILIAÇÃO DO WTC BUSSINESS CLUB</t>
  </si>
  <si>
    <t>AGENDA 39979</t>
  </si>
  <si>
    <t>111937-3688FB</t>
  </si>
  <si>
    <t>ALMOÇO CLIENTE AZIMUT</t>
  </si>
  <si>
    <t>FELIPE FREITAS</t>
  </si>
  <si>
    <t>154031-3688DG</t>
  </si>
  <si>
    <t>THIAGO MARINHEIRO</t>
  </si>
  <si>
    <t>DANIEL TEIXEIRA SIQUEIRA GONÇALVES</t>
  </si>
  <si>
    <t>ROMULO MAGALHAES BRASIL</t>
  </si>
  <si>
    <t>112814-3688FB</t>
  </si>
  <si>
    <t>FELIPE MEIRELES RACCAH</t>
  </si>
  <si>
    <t>BRUNO DE MATTOS A DOS SANTOS</t>
  </si>
  <si>
    <t>171054-3688RP</t>
  </si>
  <si>
    <t>BRUNO SAVARIS</t>
  </si>
  <si>
    <t>141955-3688AC</t>
  </si>
  <si>
    <t>BRUNO PEREIRA GUEDES</t>
  </si>
  <si>
    <t>TAXI</t>
  </si>
  <si>
    <t>104706-3688FP</t>
  </si>
  <si>
    <t>VICTOR DE ABREU PINHEIRO MIRAN</t>
  </si>
  <si>
    <t>104414-3688FP</t>
  </si>
  <si>
    <t>133219-3688RU</t>
  </si>
  <si>
    <t>PEDRO ROMANO</t>
  </si>
  <si>
    <t>151000-3688AL</t>
  </si>
  <si>
    <t>DANIEL BARRETO</t>
  </si>
  <si>
    <t>152316-3688JV</t>
  </si>
  <si>
    <t>EVENTO ROLEX 6 HOURS SÃO PAULO</t>
  </si>
  <si>
    <t>BRUNO BUDANT PEROTTONI</t>
  </si>
  <si>
    <t>CONFRATERNIZAÇÃO MESA SPOT</t>
  </si>
  <si>
    <t>112852-3688JV</t>
  </si>
  <si>
    <t>RENAN REIS CRUVINEL</t>
  </si>
  <si>
    <t>CLAUDIA TAVARES FERNANDES</t>
  </si>
  <si>
    <t>PASSAGEM BRASILIA X RIO DE JANEIRO</t>
  </si>
  <si>
    <t>PASSAGEM RIO DE JANEIRO X BRASILIA</t>
  </si>
  <si>
    <t>PASSAGEM BRASILIA X SÃO PAULO</t>
  </si>
  <si>
    <t>AGENDA 39834</t>
  </si>
  <si>
    <t>AGENDA 40025</t>
  </si>
  <si>
    <t>AGENDA 39962</t>
  </si>
  <si>
    <t>PASSAGEM SÃO PAULO X MIAMI</t>
  </si>
  <si>
    <t>AGENDA 39961</t>
  </si>
  <si>
    <t>RAFAEL COSTA</t>
  </si>
  <si>
    <t>CORECON-SP</t>
  </si>
  <si>
    <t>AGENDA 40037</t>
  </si>
  <si>
    <t>ECONOMISTA</t>
  </si>
  <si>
    <t>164712-3688FP</t>
  </si>
  <si>
    <t>LEONARDO MASSAHIKO NAKAJIMA</t>
  </si>
  <si>
    <t>ALMOÇO COM CAIXA SEGURADORA</t>
  </si>
  <si>
    <t>172247-3688JL</t>
  </si>
  <si>
    <t>RAFAEL OLIVEIRA</t>
  </si>
  <si>
    <t>DANIEL LEAL</t>
  </si>
  <si>
    <t>BGC SEGUNDA VOLTA</t>
  </si>
  <si>
    <t>130620-3688RR</t>
  </si>
  <si>
    <t>130806-3688RR</t>
  </si>
  <si>
    <t>164432-3688FP</t>
  </si>
  <si>
    <t>164601-3688FP</t>
  </si>
  <si>
    <t>160458-3688FP</t>
  </si>
  <si>
    <t>160824-3688FP</t>
  </si>
  <si>
    <t>161216-3688FP</t>
  </si>
  <si>
    <t>ROGERIO PEREIRA</t>
  </si>
  <si>
    <t>093343-3688FP</t>
  </si>
  <si>
    <t>ANDREW WOODS</t>
  </si>
  <si>
    <t>161000-3688FP</t>
  </si>
  <si>
    <t>161622-3688FP</t>
  </si>
  <si>
    <t>ANDRE RADUAN</t>
  </si>
  <si>
    <t>160804-3688CB</t>
  </si>
  <si>
    <t>RICARDO MAZIERO</t>
  </si>
  <si>
    <t>NDF</t>
  </si>
  <si>
    <t>134120-3688EA</t>
  </si>
  <si>
    <t>VAGNER ALVES</t>
  </si>
  <si>
    <t>162423-3688CM</t>
  </si>
  <si>
    <t>ELLEN FLORENCIO</t>
  </si>
  <si>
    <t>KESLEY LEANDRO SILVA</t>
  </si>
  <si>
    <t>154353-3688EA</t>
  </si>
  <si>
    <t>140831-3688PF</t>
  </si>
  <si>
    <t>FERNANDO MONTEIRO</t>
  </si>
  <si>
    <t>GIOVANNE TELES</t>
  </si>
  <si>
    <t>142712-3688AM</t>
  </si>
  <si>
    <t>142933-3688AM</t>
  </si>
  <si>
    <t>FABIO GOMES</t>
  </si>
  <si>
    <t>HENRIQUE KASTEN PEINADO</t>
  </si>
  <si>
    <t>142456-3688AM</t>
  </si>
  <si>
    <t>CHURRASCO PARA RECPECIONAR OS GRINGOS DO LAKESIDE</t>
  </si>
  <si>
    <t>151426-3688DG</t>
  </si>
  <si>
    <t>115533-3688CM</t>
  </si>
  <si>
    <t>CESAR SCARAMBONE</t>
  </si>
  <si>
    <t>101544-3688FR</t>
  </si>
  <si>
    <t>163105-3688JL</t>
  </si>
  <si>
    <t>DIEGO PEREZ</t>
  </si>
  <si>
    <t>ALMOÇO COM ASSOCIAÇÃO BRASILEIRA DAS EMPRESAS FINTECH</t>
  </si>
  <si>
    <t>PRESIDENTE</t>
  </si>
  <si>
    <t>GESTOR</t>
  </si>
  <si>
    <t>ALAN BELO</t>
  </si>
  <si>
    <t>152846-3688JL</t>
  </si>
  <si>
    <t>ALMOÇO COM A ZURICH</t>
  </si>
  <si>
    <t>PASSAGEM SÃO PAULO X BRASILIA</t>
  </si>
  <si>
    <t>AGENDA 40020</t>
  </si>
  <si>
    <t>RICARDO ANDRE VASCONCELOS RAMOS</t>
  </si>
  <si>
    <t>FILHO DO ERMINIO</t>
  </si>
  <si>
    <t>AMIGO DO FILHO DO ERMINIO</t>
  </si>
  <si>
    <t>LUCAS BARROS</t>
  </si>
  <si>
    <t>JOÃO GROSSO</t>
  </si>
  <si>
    <t>JOAO BESSA</t>
  </si>
  <si>
    <t>NAMORADA DO JOAO BESSA</t>
  </si>
  <si>
    <t>FELIPE NOVAIS GARCIA</t>
  </si>
  <si>
    <t>MARCELO ORTEGA</t>
  </si>
  <si>
    <t>LUCIANA GARCIA</t>
  </si>
  <si>
    <t>JUAREZ JOAQUIM DE LACERDA</t>
  </si>
  <si>
    <t>GUSTAVO D ELBOUX FERRIELLO</t>
  </si>
  <si>
    <t>DIEGO MONT - STAR SEGURADORA</t>
  </si>
  <si>
    <t>ESPOSA DO DIEGO MONT - STAR SEGURADORA</t>
  </si>
  <si>
    <t>MARCOS DE CASTRO LOPEZ</t>
  </si>
  <si>
    <t>ESPOSA DO MARCOS DE CASTRO LOPEZ</t>
  </si>
  <si>
    <t>FILHO DO MARCOS DE CASTRO LOPEZ</t>
  </si>
  <si>
    <t>CESAR MARIANO SCARAMBONE MENEZES</t>
  </si>
  <si>
    <t>BRUNO PAULO</t>
  </si>
  <si>
    <t>FILHA DO BRUNO PAULO</t>
  </si>
  <si>
    <t>ALEXANDRE DA COSTA SOARES</t>
  </si>
  <si>
    <t>ESPOSA DO ANDRE LOBATO PINHEIRO</t>
  </si>
  <si>
    <t>ANTÔNIO MARTINS NETO</t>
  </si>
  <si>
    <t>FELIPE SANTANA DA SILVEIRA</t>
  </si>
  <si>
    <t>ESPOSA DO FELIPE SANTANA DA SILVEIRA</t>
  </si>
  <si>
    <t>GUSTAVO MORAIS SILVA</t>
  </si>
  <si>
    <t>FERNANDO SCARPA R LEITE</t>
  </si>
  <si>
    <t>FILHA DO FERNANDO SCARPA R LEITE</t>
  </si>
  <si>
    <t>FELIPE MEIRELLES RACCAH</t>
  </si>
  <si>
    <t>LUIZ ALBERTO BASQUEIRA</t>
  </si>
  <si>
    <t>RODRIGO FERREIRA</t>
  </si>
  <si>
    <t>ESPOSA RODRIGO FERREIRA</t>
  </si>
  <si>
    <t>FILHO DO ANDRE ACCIOLY</t>
  </si>
  <si>
    <t>ESPOSA DO ANDRE ACCIOLY</t>
  </si>
  <si>
    <t>ESPOSA DO JOSE MAURICIO GOMES TEIXEIRA</t>
  </si>
  <si>
    <t>LUAN VALENTE</t>
  </si>
  <si>
    <t>4/4 PARCELA DO BOX DO RIO OPEN 2026</t>
  </si>
  <si>
    <t>AGENDA 38502</t>
  </si>
  <si>
    <t>MARCO SILVA</t>
  </si>
  <si>
    <t>GABRIEL MARTONI</t>
  </si>
  <si>
    <t>RICARDO TEIXEIRA</t>
  </si>
  <si>
    <t>MIGUEL TEIXEIRA</t>
  </si>
  <si>
    <t>RAFAEL TENORIO CAVALCANTI</t>
  </si>
  <si>
    <t>ENRICO BORTPLUZO CASSIANO</t>
  </si>
  <si>
    <t>CLAUDIO DE SOUZA PACINI</t>
  </si>
  <si>
    <t>CARLOS JOSE SEPPE MILANI</t>
  </si>
  <si>
    <t>ERMINIO OLIVI LUCCI</t>
  </si>
  <si>
    <t>RAFAEL MARQUES MOREIRA DA COSTA</t>
  </si>
  <si>
    <t>REINALDO ANDRE URBANO FILHO</t>
  </si>
  <si>
    <t>EDRAS DURAES D ANUNCIACAO</t>
  </si>
  <si>
    <t>CONSULTORA</t>
  </si>
  <si>
    <t>CONSULTOR</t>
  </si>
  <si>
    <t>155512-3688FR</t>
  </si>
  <si>
    <t>134201-3688RU</t>
  </si>
  <si>
    <t>MARCELLE DA SILVEIRA GIL CADILHE</t>
  </si>
  <si>
    <t>UBER</t>
  </si>
  <si>
    <t>FRETE DOCUMENTAÇÃO</t>
  </si>
  <si>
    <t>E-MAIL 19/02/2025</t>
  </si>
  <si>
    <t>AGENDA 39781</t>
  </si>
  <si>
    <t>MELISSA LEITE FIGUEIREDO ROCHA</t>
  </si>
  <si>
    <t>BRUNO FERREIRA GOMES</t>
  </si>
  <si>
    <t>NAYANA IVO DE ALMEIDA</t>
  </si>
  <si>
    <t>RODRIGO MOURA MARQUES</t>
  </si>
  <si>
    <t xml:space="preserve">HOSPEDAGEM </t>
  </si>
  <si>
    <t>RODRIGO BETTI MARQUES</t>
  </si>
  <si>
    <t xml:space="preserve">ERMINIO OLIVER LUCCI </t>
  </si>
  <si>
    <t>ANDRE WATT VIANNA</t>
  </si>
  <si>
    <t>RODRIGO MAZZARELLA PINO</t>
  </si>
  <si>
    <t>RODRIGO ZARKO VITAL BRASIL</t>
  </si>
  <si>
    <t xml:space="preserve">ALMOÇO </t>
  </si>
  <si>
    <t>102527-3688FR</t>
  </si>
  <si>
    <t>RAFAEL PERES NABESHIMA</t>
  </si>
  <si>
    <t>103534-3688FR</t>
  </si>
  <si>
    <t>RODRIGO SANTANA FERREIRA</t>
  </si>
  <si>
    <t>103728-3688AA</t>
  </si>
  <si>
    <t>HENRIQUE TEIXEIRA CASTAGNET</t>
  </si>
  <si>
    <t>103235-3688AA</t>
  </si>
  <si>
    <t>MARCELO SCHOLZ ISSA</t>
  </si>
  <si>
    <t>162755-3688BG</t>
  </si>
  <si>
    <t>DANILO BASTOS GALVÃO</t>
  </si>
  <si>
    <t>140730-3688RP</t>
  </si>
  <si>
    <t>174940-3688MN</t>
  </si>
  <si>
    <t>LEONARDO AKIRA IZUKA</t>
  </si>
  <si>
    <t>180639-3688MN</t>
  </si>
  <si>
    <t>EDUARDO ROSSI MELLO NOGUEIRA</t>
  </si>
  <si>
    <t>154918-3688JT</t>
  </si>
  <si>
    <t>LUAN DE AGUIAR CORREIA</t>
  </si>
  <si>
    <t>JANTAR DE COMEMORAÇÃO DA CONQUISTA NA PERMANENCIA DE DEALER</t>
  </si>
  <si>
    <t>141905-3688RR</t>
  </si>
  <si>
    <t>105319-3688FP</t>
  </si>
  <si>
    <t>105112-3688FP</t>
  </si>
  <si>
    <t>155409-3688PF</t>
  </si>
  <si>
    <t>LEONARDO LOCATELLI</t>
  </si>
  <si>
    <t>142615-3688NA</t>
  </si>
  <si>
    <t>TATIANA LUCKE DELL AQUILA</t>
  </si>
  <si>
    <t>190140-3688AC</t>
  </si>
  <si>
    <t>112548-3688RM</t>
  </si>
  <si>
    <t>142118-3688JV</t>
  </si>
  <si>
    <t xml:space="preserve">MARCELO MACHADO </t>
  </si>
  <si>
    <t>140934-3688RP</t>
  </si>
  <si>
    <t>GUSTAVO MAZIERO</t>
  </si>
  <si>
    <t>140918-3688RP</t>
  </si>
  <si>
    <t>RENATO THEODORO</t>
  </si>
  <si>
    <t>170750-3688RU</t>
  </si>
  <si>
    <t>SERGIO GUIMARÃES</t>
  </si>
  <si>
    <t>180413-3688FP</t>
  </si>
  <si>
    <t>NORBERTO SUZIGAN FONSECA ALVES</t>
  </si>
  <si>
    <t>100354-3688FP</t>
  </si>
  <si>
    <t>RODRIGO NATALI</t>
  </si>
  <si>
    <t>152516-3688CM</t>
  </si>
  <si>
    <t>ALEXANDRE CALDAS</t>
  </si>
  <si>
    <t>162956-3688NA</t>
  </si>
  <si>
    <t>WILLIAM JUGEICK BUSSI</t>
  </si>
  <si>
    <t>180359-3688FB</t>
  </si>
  <si>
    <t xml:space="preserve">ALMOÇO TAG INVESTIMENTOS </t>
  </si>
  <si>
    <t>142238-3688GF</t>
  </si>
  <si>
    <t xml:space="preserve">GUSTAVO </t>
  </si>
  <si>
    <t>181853-3688PF</t>
  </si>
  <si>
    <t>MARCELO KISHIMOTO</t>
  </si>
  <si>
    <t>170158-3688RU</t>
  </si>
  <si>
    <t>FILIPE SANTOS</t>
  </si>
  <si>
    <t>105508-3688FC</t>
  </si>
  <si>
    <t>THIAGO BALLARDINI</t>
  </si>
  <si>
    <t>AGENDA 40420</t>
  </si>
  <si>
    <t>104210-3688FC</t>
  </si>
  <si>
    <t>105218-3688JL</t>
  </si>
  <si>
    <t>FABIO MAEDA</t>
  </si>
  <si>
    <t>DIRETOR DE OPERAÇÕES</t>
  </si>
  <si>
    <t>165507-3688DG</t>
  </si>
  <si>
    <t>LUIZ OTAVIO MARQUES CALOBA</t>
  </si>
  <si>
    <t>165918-3688DG</t>
  </si>
  <si>
    <t>THIAGO DIAS MARINHEIRO</t>
  </si>
  <si>
    <t>164251-3688RU</t>
  </si>
  <si>
    <t xml:space="preserve">MATHEUS BRITO </t>
  </si>
  <si>
    <t>164638-3688RU</t>
  </si>
  <si>
    <t>130406-3688EC</t>
  </si>
  <si>
    <t>THALITA SOARES</t>
  </si>
  <si>
    <t>AGENDA 40165</t>
  </si>
  <si>
    <t>ANDRE HALL ACCIOLY</t>
  </si>
  <si>
    <t>AGENDA 40163</t>
  </si>
  <si>
    <t>AGENDA 40042</t>
  </si>
  <si>
    <t>AGENDA 40280</t>
  </si>
  <si>
    <t>AGENDA 40318</t>
  </si>
  <si>
    <t xml:space="preserve">PASSAGEM SÃO PAULO X NOVA YORK </t>
  </si>
  <si>
    <t>AGENDA 40200</t>
  </si>
  <si>
    <t>PASSAGEM SÃO PAULO x MONTEVIDÉO</t>
  </si>
  <si>
    <t>AGENDA 40201</t>
  </si>
  <si>
    <t xml:space="preserve">HOSPEDAGEM NO RADISSON BLU SÃO PAULO </t>
  </si>
  <si>
    <t>AGENDA 40197</t>
  </si>
  <si>
    <t>AGENDA 40328</t>
  </si>
  <si>
    <t xml:space="preserve">HOSPEDAGEM FAIRMONT RIO DE JANEIRO </t>
  </si>
  <si>
    <t>AGENDA 40196</t>
  </si>
  <si>
    <t>PASSAGEM SÃO PAULO X RIO DE JANEIRO</t>
  </si>
  <si>
    <t>AGENDA 40178</t>
  </si>
  <si>
    <t xml:space="preserve">PASSAGEM GUARULHOS X NOVA YORK </t>
  </si>
  <si>
    <t xml:space="preserve">REEMBOLSO VALE TRANSPORTE COMPLEMENTAR </t>
  </si>
  <si>
    <t>AGENDA 40419</t>
  </si>
  <si>
    <t>AGENDA 40329</t>
  </si>
  <si>
    <t>AGENDA 40404</t>
  </si>
  <si>
    <t>AGENDA 40409</t>
  </si>
  <si>
    <t>AGENDA 40398</t>
  </si>
  <si>
    <t xml:space="preserve">LOCOMOÇÃO </t>
  </si>
  <si>
    <t xml:space="preserve">EVENTO </t>
  </si>
  <si>
    <t>MARIO VICTOR SOARES MIRANDA</t>
  </si>
  <si>
    <t>FELIPE DE SA TAVARES</t>
  </si>
  <si>
    <t>ROBERT HENDRIK SCHARRINGA</t>
  </si>
  <si>
    <t>ANDRE FERREIRA DOS SANTOS</t>
  </si>
  <si>
    <t>CAFÉ DA MANHÃ</t>
  </si>
  <si>
    <t>PAOLO FRANCA LIDA</t>
  </si>
  <si>
    <t>HOSPEDAGEM INDIGO NYC FINANCIAL DISTRICT</t>
  </si>
  <si>
    <t>AGENDA 40538</t>
  </si>
  <si>
    <t xml:space="preserve">HOSPEDAGEM RADISSON BLU SÃO PAULO </t>
  </si>
  <si>
    <t>AGENDA 40539</t>
  </si>
  <si>
    <t>AGENDA 40595</t>
  </si>
  <si>
    <t>AGENDA 40613</t>
  </si>
  <si>
    <t>120324-3688CM</t>
  </si>
  <si>
    <t>MAURO OKUMA LACERDA</t>
  </si>
  <si>
    <t>111847-3688RC</t>
  </si>
  <si>
    <t xml:space="preserve">CHIRAG GARG </t>
  </si>
  <si>
    <t xml:space="preserve">TRADER </t>
  </si>
  <si>
    <t>110546-3688RC</t>
  </si>
  <si>
    <t>RABINDER SIRA</t>
  </si>
  <si>
    <t>111451-3688RC</t>
  </si>
  <si>
    <t>IGNACIO ALDUNATE</t>
  </si>
  <si>
    <t>HOSPEDAGEM CLUB QUARTERS HOTEL NY</t>
  </si>
  <si>
    <t>AGENDA 40626</t>
  </si>
  <si>
    <t>112309-3688RC</t>
  </si>
  <si>
    <t>EDUARDO CASTRO</t>
  </si>
  <si>
    <t>104821-3688FP</t>
  </si>
  <si>
    <t>JOAO PEROLIN FREDERICO TRALLI</t>
  </si>
  <si>
    <t>114441-3688RC</t>
  </si>
  <si>
    <t>RUBENS SHIN</t>
  </si>
  <si>
    <t>100402-3688AF</t>
  </si>
  <si>
    <t>LUCAS JOSA</t>
  </si>
  <si>
    <t>AGENDA 40667</t>
  </si>
  <si>
    <t>CONDOMÍNIO E IPTU FLAT</t>
  </si>
  <si>
    <t>AGENDA 40669</t>
  </si>
  <si>
    <t>AGENDA 40688</t>
  </si>
  <si>
    <t xml:space="preserve">HOSPEDAGEM INN IPANEMA </t>
  </si>
  <si>
    <t>AGENDA 40700</t>
  </si>
  <si>
    <t>PASSAGEM SÃO PAULO X NOVA YORK</t>
  </si>
  <si>
    <t>110229-3688RC</t>
  </si>
  <si>
    <t>AGENDA 40726</t>
  </si>
  <si>
    <t>PASSAGEM SÃO PAULO X PORTO ALEGRE</t>
  </si>
  <si>
    <t>HOSPEDAGEM PORTO ALEGRE</t>
  </si>
  <si>
    <t>145713-3688EA</t>
  </si>
  <si>
    <t>141316-3688GF</t>
  </si>
  <si>
    <t>ROGERIO</t>
  </si>
  <si>
    <t xml:space="preserve">PASSAGEM SÃO PAULO X BRASÍLIA </t>
  </si>
  <si>
    <t>161152-3688JD</t>
  </si>
  <si>
    <t>172732-3688NA</t>
  </si>
  <si>
    <t>BRUNO PAULO FERREIRA</t>
  </si>
  <si>
    <t>155406-3688MP</t>
  </si>
  <si>
    <t>BRUNO MOURA</t>
  </si>
  <si>
    <t>MIDDLE</t>
  </si>
  <si>
    <t>132652-3688AA</t>
  </si>
  <si>
    <t>AGENDA 40766</t>
  </si>
  <si>
    <t>100802-3688AL</t>
  </si>
  <si>
    <t>CAIO VIEIRA</t>
  </si>
  <si>
    <t>093251-3688JV</t>
  </si>
  <si>
    <t>102924-3688AC</t>
  </si>
  <si>
    <t>161559-3688RP</t>
  </si>
  <si>
    <t>MAURO BAPTISTA</t>
  </si>
  <si>
    <t xml:space="preserve">HOSPEDAGEM NEW CITI ITAIM </t>
  </si>
  <si>
    <t>AGENDA 40789</t>
  </si>
  <si>
    <t>AGENDA 40802</t>
  </si>
  <si>
    <t>173110-3688FB</t>
  </si>
  <si>
    <t>ALMOÇOS COM CONTATOS NY FENICS MARKET DATA</t>
  </si>
  <si>
    <t>120602-3688RS</t>
  </si>
  <si>
    <t>164521-3688RS</t>
  </si>
  <si>
    <t>VALOR COMPLEMENTAR DAS DESPESAS DE ALIMENTAÇÃO</t>
  </si>
  <si>
    <t>173929-3688RS</t>
  </si>
  <si>
    <t>IOF CARTÃO DESPESAS VIAGEM NY</t>
  </si>
  <si>
    <t>174606-3688RS</t>
  </si>
  <si>
    <t xml:space="preserve">UBER VIAGEM NY FENICS MARKET DATA </t>
  </si>
  <si>
    <t>173240-3688RS</t>
  </si>
  <si>
    <t>121230-3688RS</t>
  </si>
  <si>
    <t>150248-3688EC</t>
  </si>
  <si>
    <t>LUCAS DE OLIVEIRA PEREIRA</t>
  </si>
  <si>
    <t>AGENDA 40829</t>
  </si>
  <si>
    <t>AGENDA 40830</t>
  </si>
  <si>
    <t>AGENDA 40852</t>
  </si>
  <si>
    <t>AGENDA 40854</t>
  </si>
  <si>
    <t>125644-3688RC</t>
  </si>
  <si>
    <t xml:space="preserve">LUCAS TERAMOSSI </t>
  </si>
  <si>
    <t>165947-3688AS</t>
  </si>
  <si>
    <t>141647-3688FC</t>
  </si>
  <si>
    <t>VINICIUS OLIVEIRA</t>
  </si>
  <si>
    <t>092158-3688BG</t>
  </si>
  <si>
    <t>JOSE VINICIUS PIMENTA COLETTO</t>
  </si>
  <si>
    <t>135911-3688BG</t>
  </si>
  <si>
    <t>RODRIGO JOLIG</t>
  </si>
  <si>
    <t>135733-3688BG</t>
  </si>
  <si>
    <t>ADRIANO MENEGUINE</t>
  </si>
  <si>
    <t>ALMOÇO COM TIVIO GESTORA</t>
  </si>
  <si>
    <t>150524-3688JL</t>
  </si>
  <si>
    <t>FRED DUART</t>
  </si>
  <si>
    <t>162540-3688RZ</t>
  </si>
  <si>
    <t>DANIEL NAMAN</t>
  </si>
  <si>
    <t>090944-3688FC</t>
  </si>
  <si>
    <t>080043-3688AS</t>
  </si>
  <si>
    <t>FERNANDO OSAKI</t>
  </si>
  <si>
    <t>142027-3688AS</t>
  </si>
  <si>
    <t>ANTONIO JOAQUIM DE M ANDRADE</t>
  </si>
  <si>
    <t>183405-3688AC</t>
  </si>
  <si>
    <t>DANIEL PICCOLI</t>
  </si>
  <si>
    <t>140635-3688EA</t>
  </si>
  <si>
    <t>145008-3688RU</t>
  </si>
  <si>
    <t>BERNARDO PARREIRA BRANDAO</t>
  </si>
  <si>
    <t>171419-3688MP</t>
  </si>
  <si>
    <t>141426-3688FC</t>
  </si>
  <si>
    <t xml:space="preserve">SERGIO ALMEIDA </t>
  </si>
  <si>
    <t>125515-3688CL</t>
  </si>
  <si>
    <t>PEDRO CARNEIRO</t>
  </si>
  <si>
    <t>151111-3688AC</t>
  </si>
  <si>
    <t>FERNANDO BARION BARTHOLOMEU</t>
  </si>
  <si>
    <t>AGENDA 40920</t>
  </si>
  <si>
    <t>HOSPEDAGEM GILD HALL</t>
  </si>
  <si>
    <t>AGENDA 40921</t>
  </si>
  <si>
    <t>HOSPEDAGEM BLUE TREE PREMIUM FARIA LIMA</t>
  </si>
  <si>
    <t>AGENDA 40922</t>
  </si>
  <si>
    <t>143257-3688CB</t>
  </si>
  <si>
    <t>MARCELO FELIPE</t>
  </si>
  <si>
    <t>172605-3688FP</t>
  </si>
  <si>
    <t>172742-3688FP</t>
  </si>
  <si>
    <t>172911-3688FP</t>
  </si>
  <si>
    <t>172411-3688FP</t>
  </si>
  <si>
    <t>VICTOR ABREU</t>
  </si>
  <si>
    <t>140910-3688NA</t>
  </si>
  <si>
    <t>CAIO CÉSAR ROSTIROLLA</t>
  </si>
  <si>
    <t>160115-3688AF</t>
  </si>
  <si>
    <t xml:space="preserve">CIRO DUARTE </t>
  </si>
  <si>
    <t>152929-3688AF</t>
  </si>
  <si>
    <t>GABRIEL ROOS</t>
  </si>
  <si>
    <t>ALMOÇO COM MIRAE ASSET</t>
  </si>
  <si>
    <t>143043-3688JL</t>
  </si>
  <si>
    <t xml:space="preserve">MIRAE ASSET </t>
  </si>
  <si>
    <t>085749-3688FB</t>
  </si>
  <si>
    <t>CAIO ROSTIRROLA</t>
  </si>
  <si>
    <t>132755-3688RU</t>
  </si>
  <si>
    <t>132631-3688RU</t>
  </si>
  <si>
    <t xml:space="preserve">TOMAS </t>
  </si>
  <si>
    <t>AGENDA 40951</t>
  </si>
  <si>
    <t>164552-3688AV</t>
  </si>
  <si>
    <t>132450-3688RP</t>
  </si>
  <si>
    <t xml:space="preserve">GUSTAVO MAZIERO </t>
  </si>
  <si>
    <t>142721-3688CB</t>
  </si>
  <si>
    <t>MAURO DEL CIAMPO</t>
  </si>
  <si>
    <t>AGENDA 40967</t>
  </si>
  <si>
    <t>ALEXANDRE MAZZETTI</t>
  </si>
  <si>
    <t>163651-3688RZ</t>
  </si>
  <si>
    <t>140153-3688AC</t>
  </si>
  <si>
    <t>JOAO CARVALHO</t>
  </si>
  <si>
    <t>105100-3688AA</t>
  </si>
  <si>
    <t>175653-3688FB</t>
  </si>
  <si>
    <t>JOAO GOMES</t>
  </si>
  <si>
    <t>121137-3688CM</t>
  </si>
  <si>
    <t>YURI BIALOKORSKI</t>
  </si>
  <si>
    <t>121242-3688RF</t>
  </si>
  <si>
    <t>MARCOS HORI</t>
  </si>
  <si>
    <t>150812-3688AS</t>
  </si>
  <si>
    <t>ANDRE PIMENTEL</t>
  </si>
  <si>
    <t>092056-3688AA</t>
  </si>
  <si>
    <t>MARCELO ISSA</t>
  </si>
  <si>
    <t>141743-3688FR</t>
  </si>
  <si>
    <t>161317-3688AM</t>
  </si>
  <si>
    <t>OTO SILVA</t>
  </si>
  <si>
    <t>162152-3688AM</t>
  </si>
  <si>
    <t>LUIS MOREIRA</t>
  </si>
  <si>
    <t>161523-3688AM</t>
  </si>
  <si>
    <t>161837-3688AM</t>
  </si>
  <si>
    <t>MATHIAS  CLERC</t>
  </si>
  <si>
    <t>CITY TAX E REFEIÇÕES NO EXTERIOR</t>
  </si>
  <si>
    <t>094839-3688RB</t>
  </si>
  <si>
    <t>TAXI E UBER VIAGEM NY</t>
  </si>
  <si>
    <t>085654-3688RB</t>
  </si>
  <si>
    <t>ALMOÇO COM GUILHERME CONTATO EM NY</t>
  </si>
  <si>
    <t>092025-3688RB</t>
  </si>
  <si>
    <t>093815-3688RB</t>
  </si>
  <si>
    <t>ROAMING INTERNET</t>
  </si>
  <si>
    <t>093311-3688RB</t>
  </si>
  <si>
    <t>092754-3688RB</t>
  </si>
  <si>
    <t>150542-3688AS</t>
  </si>
  <si>
    <t>FELIPE LOPES</t>
  </si>
  <si>
    <t>174614-3688AC</t>
  </si>
  <si>
    <t>GUILHERME PACHECO</t>
  </si>
  <si>
    <t>164901-3688AV</t>
  </si>
  <si>
    <t>GABRIEL MELLO</t>
  </si>
  <si>
    <t>TRASPORTE PARA VISITAS E AEROPORTOS</t>
  </si>
  <si>
    <t>162654-3688CB</t>
  </si>
  <si>
    <t>145802-3688CB</t>
  </si>
  <si>
    <t xml:space="preserve">LUCAS BALADI </t>
  </si>
  <si>
    <t>145516-3688CB</t>
  </si>
  <si>
    <t>GARY STEIN</t>
  </si>
  <si>
    <t>ARTUR GELUMBAUSKAS</t>
  </si>
  <si>
    <t>165506-3688CB</t>
  </si>
  <si>
    <t>AGENDA 41094</t>
  </si>
  <si>
    <t>085427-3688PI</t>
  </si>
  <si>
    <t>GUILHERME HARARI MONACO</t>
  </si>
  <si>
    <t>085054-3688PI</t>
  </si>
  <si>
    <t>084044-3688PI</t>
  </si>
  <si>
    <t>ALEXANDRE AUGUSTO NEVES</t>
  </si>
  <si>
    <t>175128-3688FB</t>
  </si>
  <si>
    <t xml:space="preserve">TASSIO TANKA </t>
  </si>
  <si>
    <t>ROBERT SCHARRINGA</t>
  </si>
  <si>
    <t>HOSPEDAGEM NO INDIGO NYC DOWNTOWN WALL STREET</t>
  </si>
  <si>
    <t>AGENDA 40434</t>
  </si>
  <si>
    <t>AGENDA 40248</t>
  </si>
  <si>
    <t>1/2 ALUGUEL - KART</t>
  </si>
  <si>
    <t>1/2 BUFFET AMP RESTAURANTE - KART</t>
  </si>
  <si>
    <t>AGENDA 40608</t>
  </si>
  <si>
    <t>AGENDA 40433</t>
  </si>
  <si>
    <t>AMERICAN AIRLINES ASSENTO CONFORTO</t>
  </si>
  <si>
    <t>PASSAGEM MIAMI X NEW YORK</t>
  </si>
  <si>
    <t>AGENDA 40594</t>
  </si>
  <si>
    <t>COMPRA DE REFRIGERANTES PARA PROFISSIONAIS DA FUTURA PESQUISA</t>
  </si>
  <si>
    <t>COMPRA DE ALMOÇOS EXECUTIVOS PARA PROFISSIONAIS DA FUTURA PESQUISA</t>
  </si>
  <si>
    <t>ALMOÇO COM CLIENTES NA CHURRASCARIA D'BRESCIA</t>
  </si>
  <si>
    <t>AGENDA 40274</t>
  </si>
  <si>
    <t>CARTÃO CORPORATIVO INTERNACIONAL</t>
  </si>
  <si>
    <t>CARTÃO CORPORATIVO NACIONAL</t>
  </si>
  <si>
    <t>DANIEL CARDOSO LEAL</t>
  </si>
  <si>
    <t>CAFE DA MANHÃ</t>
  </si>
  <si>
    <t>CAFÉ DA MANHÃ COM CAIADO REALIZADO NO DIA 09/02 NO LOUP</t>
  </si>
  <si>
    <t>AGENDA 40333</t>
  </si>
  <si>
    <t>PRESENTE PARA FILHO DO RUBENS MACHADO MILENIUM LATAM TRADER</t>
  </si>
  <si>
    <t>TAXI AEROPORTO DE GUARULHOS PARA BGC</t>
  </si>
  <si>
    <t>TRANSPORTE EXECUTIVO MENSAL DE JANEIRO</t>
  </si>
  <si>
    <t>AGENDA 40273</t>
  </si>
  <si>
    <t>BRENO MELLO DOS SANTOS</t>
  </si>
  <si>
    <t xml:space="preserve">INGRESSOS PARA O SHOW AC/DC </t>
  </si>
  <si>
    <t>093659-3688AS</t>
  </si>
  <si>
    <t>BERNARDO SALGADO</t>
  </si>
  <si>
    <t>ALEXANDRA BOKEL ESPOSA DO BERNARDO SALGADO</t>
  </si>
  <si>
    <t>CARTÃO CORPORATIVO VESTUARIO CF8 CONFECCO-CT TDA</t>
  </si>
  <si>
    <t>INGRID DE OLIVEIRA PINHEIRO</t>
  </si>
  <si>
    <t>180117-3688FC</t>
  </si>
  <si>
    <t>AGENDA 40266</t>
  </si>
  <si>
    <t>SINAL CAFÉ DA MANHÃ COM CAIADO NO DIA 09/02 NO LOUP</t>
  </si>
  <si>
    <t>AGENDA 40263</t>
  </si>
  <si>
    <t>DEVOLUÇÃO DO CARTÃO CORPORATIVO</t>
  </si>
  <si>
    <t>AGENDA 40421</t>
  </si>
  <si>
    <t>DEVOLUÇÃO DOS INGRESSOS DO BOX DO RIO OPEN 2026</t>
  </si>
  <si>
    <t>AGENDA 40417</t>
  </si>
  <si>
    <t>DEVOLUÇÃO DA HOSPEDAGEM NO FAIRMONT NO RIO DE JANEIRO</t>
  </si>
  <si>
    <t>AGENDA 40341</t>
  </si>
  <si>
    <t>REUNIÃO TRAUMANN &amp; SCHONFELD</t>
  </si>
  <si>
    <t>E-MAIL 06/03/2026</t>
  </si>
  <si>
    <t>CARLOS THADEU DE FREITAS GOMES FILHO</t>
  </si>
  <si>
    <t>E-MAIL 03/03/2026</t>
  </si>
  <si>
    <t>E-MAIL 20/05/2026</t>
  </si>
  <si>
    <t xml:space="preserve">CONSULTORA </t>
  </si>
  <si>
    <t>2/2 ALUGUEL - KART</t>
  </si>
  <si>
    <t>JANTAR COM CLIENTE ING BANK</t>
  </si>
  <si>
    <t>CARTÃO CORPORATIVO EVENTO MELISSA E JOTA</t>
  </si>
  <si>
    <t>CARTÃO CORPORATIVO COMPRA DE DONUTS</t>
  </si>
  <si>
    <t>CARTÃO CORPORATIVO COMPRA DOS LIVROS A PSICOLOGIA FINANCEIRA</t>
  </si>
  <si>
    <t>CARTÃO CORPORATIVO INTERNACIONAL PAGAMENTO DA  ZOOM.COM</t>
  </si>
  <si>
    <t>MACRO LUNCH NO LOUP POS DIVULGAÇÃO DO CUPOM</t>
  </si>
  <si>
    <t>ALMOÇO RUFINOS COM CLIENTES KAPITALO E CLAUDIA (POLITICA)</t>
  </si>
  <si>
    <t>SHOW HARRY SYLES - 2 INGRESSOS</t>
  </si>
  <si>
    <t>ALMOÇO COM A WARREN BRASIL GESTÃO</t>
  </si>
  <si>
    <t xml:space="preserve"> HAPPY HOUR COM A NORTE ASSET </t>
  </si>
  <si>
    <t xml:space="preserve">COROA DE FLORES PARA MÃE </t>
  </si>
  <si>
    <t>DRINKS COM CLIENTE</t>
  </si>
  <si>
    <t>HOSPEDAGEM NO GILD HALL NYC</t>
  </si>
  <si>
    <t>150046-3688CB</t>
  </si>
  <si>
    <t>AGENDA 40639</t>
  </si>
  <si>
    <t>DANILO MACARI</t>
  </si>
  <si>
    <t>VINICIUS MARTIGNON DA SILVA</t>
  </si>
  <si>
    <t>VICTORIA DE CASTRO MONTEIRO</t>
  </si>
  <si>
    <t>LUCAS MAGDALENA GRAÇA FATORI</t>
  </si>
  <si>
    <t>MARINA TELES FATORI</t>
  </si>
  <si>
    <t>TAXI RESISDENCIA X AEROPORTO</t>
  </si>
  <si>
    <t>COMPRA DE DOLARES NO AEROPORTO</t>
  </si>
  <si>
    <t>TAXI AEROPORTO X BGC</t>
  </si>
  <si>
    <t>TRANSPORTE EXECUTIVO MENSAL DE FEVEREIRO</t>
  </si>
  <si>
    <t>ALMOÇO COM MATHEUS NASCIF</t>
  </si>
  <si>
    <t>CAFE COM A MESA DO SPOT</t>
  </si>
  <si>
    <t>AGENDA 40803</t>
  </si>
  <si>
    <t xml:space="preserve">DEVOLUÇÃO CARTÃO CORPORATIVO </t>
  </si>
  <si>
    <t>GUILHERME RANZEIRO FERREIRA DA</t>
  </si>
  <si>
    <t>144959-3688CB</t>
  </si>
  <si>
    <t>ENRICO VENDRAME</t>
  </si>
  <si>
    <t>E-MAIL 09/04/2026</t>
  </si>
  <si>
    <t>AGENDA 39832</t>
  </si>
  <si>
    <t>REEMBOLSO ALMOÇO POLITICA EM 10/12 NO LOCALE PARA 10 PESSOAS</t>
  </si>
  <si>
    <t>AGENDA 39918</t>
  </si>
  <si>
    <t>AGENDA 40469</t>
  </si>
  <si>
    <t>HAMILTON DEL MONACO FILHO</t>
  </si>
  <si>
    <t>FELIPE DE ANDRADE BASILE</t>
  </si>
  <si>
    <t xml:space="preserve">MATHEUS DE MORAES NASCIMENTO </t>
  </si>
  <si>
    <t xml:space="preserve">OUTROS </t>
  </si>
  <si>
    <t>101017-3688RF</t>
  </si>
  <si>
    <t>YEONG TAE LEE</t>
  </si>
  <si>
    <t>ALMOÇO FILIPE SABARÁ E DANILO CAFFARO</t>
  </si>
  <si>
    <t>142203-3688FT</t>
  </si>
  <si>
    <t>DANILO CAFFARO</t>
  </si>
  <si>
    <t>141120-3688FT</t>
  </si>
  <si>
    <t>141813-3688FT</t>
  </si>
  <si>
    <t>ROGERIO MATTEDI FOLSTER</t>
  </si>
  <si>
    <t>PASSAGEM SÃO PAULO X BRASÍLIA</t>
  </si>
  <si>
    <t>AGENDA 41173</t>
  </si>
  <si>
    <t>PEDRO NUNES</t>
  </si>
  <si>
    <t>172658-3688CL</t>
  </si>
  <si>
    <t>174115-3688CL</t>
  </si>
  <si>
    <t>LUCAS CARRASCO</t>
  </si>
  <si>
    <t>133624-3688RU</t>
  </si>
  <si>
    <t>120157-3688RP</t>
  </si>
  <si>
    <t xml:space="preserve">BRUNO SAVARIS </t>
  </si>
  <si>
    <t>AGENDA 41221</t>
  </si>
  <si>
    <t>160922-3688MP</t>
  </si>
  <si>
    <t>BRUNA GUTIERREZ</t>
  </si>
  <si>
    <t>154108-3688RU</t>
  </si>
  <si>
    <t>CITIZENM MIAM BRICKELL HOTEL</t>
  </si>
  <si>
    <t>AGENDA  41258</t>
  </si>
  <si>
    <t>AGENDA 41265</t>
  </si>
  <si>
    <t>170438-3688CL</t>
  </si>
  <si>
    <t>BRUNO SILVA CARVALHO</t>
  </si>
  <si>
    <t>144822-3688RP</t>
  </si>
  <si>
    <t>NICOLE BENINNI</t>
  </si>
  <si>
    <t>105305-3688AA</t>
  </si>
  <si>
    <t>170805-3688EC</t>
  </si>
  <si>
    <t>JANTAR DAYCOVAL ASSET</t>
  </si>
  <si>
    <t>153421-3688RU</t>
  </si>
  <si>
    <t>PEDRO HENRIQUE FERREIRA FUNDOS</t>
  </si>
  <si>
    <t>ALMOÇO AB FINTECH</t>
  </si>
  <si>
    <t>163618-3688JL</t>
  </si>
  <si>
    <t>AGENDA 41309</t>
  </si>
  <si>
    <t>PASSAGEM SÃO PAULO AMSTERDAM</t>
  </si>
  <si>
    <t>AGENDA 41310</t>
  </si>
  <si>
    <t>170617-3688CL</t>
  </si>
  <si>
    <t>RICARDO SANTOS DE F NOVAES</t>
  </si>
  <si>
    <t>175811-3688MC</t>
  </si>
  <si>
    <t>090034-3688RR</t>
  </si>
  <si>
    <t>ALEXANDRE AUGUSTO B RODRIGUES</t>
  </si>
  <si>
    <t>084826-3688RR</t>
  </si>
  <si>
    <t>085619-3688RR</t>
  </si>
  <si>
    <t>085411-3688RR</t>
  </si>
  <si>
    <t>JOAO KHOURI</t>
  </si>
  <si>
    <t>084637-3688RR</t>
  </si>
  <si>
    <t xml:space="preserve">CAMISAS DO BRASIL PARA CLIENTES </t>
  </si>
  <si>
    <t>104520-3688RR</t>
  </si>
  <si>
    <t>155250-3688JV</t>
  </si>
  <si>
    <t xml:space="preserve">TATSUMI </t>
  </si>
  <si>
    <t>155522-3688JV</t>
  </si>
  <si>
    <t xml:space="preserve">ALYSSON LIMA </t>
  </si>
  <si>
    <t>153803-3688RU</t>
  </si>
  <si>
    <t>GABRIEL DEL</t>
  </si>
  <si>
    <t>145714-3688RR</t>
  </si>
  <si>
    <t>JANTAR TAG INVESTIMENTOS</t>
  </si>
  <si>
    <t>175741-3688GF</t>
  </si>
  <si>
    <t>GUSTAVO</t>
  </si>
  <si>
    <t>091647-3688FB</t>
  </si>
  <si>
    <t>110233-3688AC</t>
  </si>
  <si>
    <t>RODRIGO VILELA</t>
  </si>
  <si>
    <t>ALMOÇO COM HDI SEGUROS</t>
  </si>
  <si>
    <t>142009-3688JL</t>
  </si>
  <si>
    <t>FELIPE BORALLI</t>
  </si>
  <si>
    <t>140515-3688FB</t>
  </si>
  <si>
    <t>THOMAS CITRIN</t>
  </si>
  <si>
    <t>173406-3688CL</t>
  </si>
  <si>
    <t>GETULIO TURATTI OST</t>
  </si>
  <si>
    <t>145333-3688CL</t>
  </si>
  <si>
    <t xml:space="preserve">PASSAGEM </t>
  </si>
  <si>
    <t>AGENDA 41446</t>
  </si>
  <si>
    <t>110019-3688FC</t>
  </si>
  <si>
    <t>173733-3688GF</t>
  </si>
  <si>
    <t>174850-3688GF</t>
  </si>
  <si>
    <t>144305-3688RC</t>
  </si>
  <si>
    <t>SIDNEY YOSHIRO</t>
  </si>
  <si>
    <t>MARCO AZEVEDO</t>
  </si>
  <si>
    <t>160646-3688RC</t>
  </si>
  <si>
    <t xml:space="preserve">VICTOR MARTINS </t>
  </si>
  <si>
    <t>174201-3688MP</t>
  </si>
  <si>
    <t>ANTONIO RIBEIRO</t>
  </si>
  <si>
    <t>HAPPY HOUR STUDIO INVESTIMENTOS</t>
  </si>
  <si>
    <t>174654-3688MP</t>
  </si>
  <si>
    <t xml:space="preserve">LUIZ HENRIQUE MARTINS </t>
  </si>
  <si>
    <t>JANTAR TRUXT INVESTIMENTOS</t>
  </si>
  <si>
    <t>174519-3688MP</t>
  </si>
  <si>
    <t>MARCELLA FREITAS</t>
  </si>
  <si>
    <t xml:space="preserve">ALMOÇO SQUADRA INVESTIMENTOS </t>
  </si>
  <si>
    <t>174302-3688MP</t>
  </si>
  <si>
    <t>RAFAEL SOARES</t>
  </si>
  <si>
    <t>152119-3688FB</t>
  </si>
  <si>
    <t>AGENDA 41493</t>
  </si>
  <si>
    <t>AGENDA 41506</t>
  </si>
  <si>
    <t>095255-3688FR</t>
  </si>
  <si>
    <t>160109-3688AS</t>
  </si>
  <si>
    <t>145217-3688AS</t>
  </si>
  <si>
    <t>133111-3688AL</t>
  </si>
  <si>
    <t>REGINA CIQUEIRA</t>
  </si>
  <si>
    <t>153751-3688RC</t>
  </si>
  <si>
    <t>ALMOÇO COM FIPECQ-FUNDACAO</t>
  </si>
  <si>
    <t>115818-3688JL</t>
  </si>
  <si>
    <t xml:space="preserve">ESTACIONAMENTO VISITA CLIENTES BRASILIA </t>
  </si>
  <si>
    <t>120808-3688JL</t>
  </si>
  <si>
    <t>PESONALIZAÇÃO CAMISETAS DO BRASIL</t>
  </si>
  <si>
    <t>111714-3688PO</t>
  </si>
  <si>
    <t>100335-3688FB</t>
  </si>
  <si>
    <t>DOUGLAS DALBERTO</t>
  </si>
  <si>
    <t>093400-3688PI</t>
  </si>
  <si>
    <t>FILIPE CASTRO</t>
  </si>
  <si>
    <t>113306-3688AV</t>
  </si>
  <si>
    <t>LEONARDO BREDER</t>
  </si>
  <si>
    <t>113449-3688AV</t>
  </si>
  <si>
    <t>JANTAR VARANDA 23/02 COM KIKO CELEGUIM</t>
  </si>
  <si>
    <t>AGENDA 41529</t>
  </si>
  <si>
    <t>090737-3688RR</t>
  </si>
  <si>
    <t>HUGO ALVES</t>
  </si>
  <si>
    <t>ALMOÇO FUNDAÇÃO BANCO CENTRAL</t>
  </si>
  <si>
    <t>091053-3688RR</t>
  </si>
  <si>
    <t>DIEGO ALVES</t>
  </si>
  <si>
    <t>AGENDA 41541</t>
  </si>
  <si>
    <t>HOSPEDAGEM RADISSON BLU SÃO PAULO</t>
  </si>
  <si>
    <t>AGENDA 41542</t>
  </si>
  <si>
    <t xml:space="preserve">BROKER </t>
  </si>
  <si>
    <t xml:space="preserve">HOSPEDAGEM QUALITY HOTEL SUITES BRASILIA </t>
  </si>
  <si>
    <t>AGENDA 41543</t>
  </si>
  <si>
    <t>HOSPEDAGEM THE ALFRED</t>
  </si>
  <si>
    <t>100429-3688AM</t>
  </si>
  <si>
    <t>LUCAS FATORI</t>
  </si>
  <si>
    <t>100940-3688AM</t>
  </si>
  <si>
    <t xml:space="preserve">LUCAS </t>
  </si>
  <si>
    <t>101046-3688AM</t>
  </si>
  <si>
    <t>ROBERTO ELAYUI</t>
  </si>
  <si>
    <t>095043-3688MP</t>
  </si>
  <si>
    <t>VICTOR QUINTAL</t>
  </si>
  <si>
    <t>101959-3688AM</t>
  </si>
  <si>
    <t>101847-3688AM</t>
  </si>
  <si>
    <t xml:space="preserve">HENRIQUE PEINADO </t>
  </si>
  <si>
    <t>134126-3688FR</t>
  </si>
  <si>
    <t xml:space="preserve">RENAN REIMERMENDT </t>
  </si>
  <si>
    <t>174431-3688GF</t>
  </si>
  <si>
    <t xml:space="preserve">GETULIO </t>
  </si>
  <si>
    <t>152133-3688JT</t>
  </si>
  <si>
    <t xml:space="preserve">ANDRE FADUL </t>
  </si>
  <si>
    <t xml:space="preserve">ALMOÇO ALASKA </t>
  </si>
  <si>
    <t>152333-3688JT</t>
  </si>
  <si>
    <t>151936-3688JT</t>
  </si>
  <si>
    <t>150858-3688JT</t>
  </si>
  <si>
    <t>151201-3688JT</t>
  </si>
  <si>
    <t>IGOR MARQUES</t>
  </si>
  <si>
    <t>AGENDA 41643</t>
  </si>
  <si>
    <t>DESPESAS VIAGEM MIAMI E NY</t>
  </si>
  <si>
    <t>173313-3688DG</t>
  </si>
  <si>
    <t>082422-3688VP</t>
  </si>
  <si>
    <t>JOAO VICTOR RODRIGUES RAMALHO</t>
  </si>
  <si>
    <t>132145-3688RM</t>
  </si>
  <si>
    <t>153503-3688CB</t>
  </si>
  <si>
    <t>FILIPE FERREIRA</t>
  </si>
  <si>
    <t>122445-3688MP</t>
  </si>
  <si>
    <t>VITOR BALBACHEVSKY</t>
  </si>
  <si>
    <t>092129-3688AA</t>
  </si>
  <si>
    <t xml:space="preserve">FELIPE </t>
  </si>
  <si>
    <t>174553-3688FR</t>
  </si>
  <si>
    <t>LEONARDO TARALLO</t>
  </si>
  <si>
    <t>172003-3688GF</t>
  </si>
  <si>
    <t>RODOLFO FERRARI</t>
  </si>
  <si>
    <t>ALMOÇO COM CLIENTE VIVEST</t>
  </si>
  <si>
    <t>INGRESSOS SHOW "HISTÓRIAS SÃO PAULO" NO ALLIANZ PARQUE</t>
  </si>
  <si>
    <t>INGRESSOS PARA O MANIFESTO MUSICAL SÃO PAULO</t>
  </si>
  <si>
    <t>PASSAGEM SÃO PAULO X LONDRES</t>
  </si>
  <si>
    <t>PASSAGEM LONDRES X AMSTERDAM</t>
  </si>
  <si>
    <t>COMPRA DE ASSENTO VIAGEM PARA LONDRES</t>
  </si>
  <si>
    <t>HOSPEDAGEM NO HOTEL SOFITEL LONDON ST JAMES</t>
  </si>
  <si>
    <t>HOSPEDAGEM NO HOTEL THE ALFRED</t>
  </si>
  <si>
    <t>165814-3688JT</t>
  </si>
  <si>
    <t>DIRETOR</t>
  </si>
  <si>
    <t>ENTREGA DAS AMOSTRAS E RETIRADA DOS BONÉS E CAMISETAS - KART</t>
  </si>
  <si>
    <t>1/2 COMPRA DE BONÉS E CAMISETAS - KART</t>
  </si>
  <si>
    <t xml:space="preserve">COMPRA DE TROFÉUS E MEDALHAS - KART </t>
  </si>
  <si>
    <t>2/2 COMPRA DE BONÉS E CAMISETAS - KART</t>
  </si>
  <si>
    <t xml:space="preserve">COMPRA DE FOTOS POLAROID - KART </t>
  </si>
  <si>
    <t xml:space="preserve">1/2 COBERTURA FOTOGRÁFICA - KART </t>
  </si>
  <si>
    <t xml:space="preserve">LIBERAÇÃO E RETIRADA DAS AMOSTRAS DE CAMISETA - KART </t>
  </si>
  <si>
    <t>AGENDA 40407</t>
  </si>
  <si>
    <t>AGENDA 40444</t>
  </si>
  <si>
    <t>2/2 BUFFET AMP RESTAURANTE - KART</t>
  </si>
  <si>
    <t xml:space="preserve">2/2 COBERTURA FOTOGRÁFICA - KART </t>
  </si>
  <si>
    <t>EVENTO KAITAI NO OIZUMI SUSHI</t>
  </si>
  <si>
    <t>AGENDA 40896</t>
  </si>
  <si>
    <t>ALMOÇO NO ASSADOR COM ADOLFO SACHSIDA NO DIA 24/03</t>
  </si>
  <si>
    <t>AGENDA 41112</t>
  </si>
  <si>
    <t>PRESENTE DE ANIVERSARIO DA SECRETARIA ANNA TAPIAS</t>
  </si>
  <si>
    <t>AGENDA 41176</t>
  </si>
  <si>
    <t>ANNA CAROLINA ABRUNHOSA TAPIAS</t>
  </si>
  <si>
    <t>SECRETARIA</t>
  </si>
  <si>
    <t>AGENDA 41195</t>
  </si>
  <si>
    <t>AGENDA 41211</t>
  </si>
  <si>
    <t>AGENDA 41213</t>
  </si>
  <si>
    <t>AGENDA 41214</t>
  </si>
  <si>
    <t>HAPPY HOUR COM CLIENTES EM JOGO DA COPA NO D'BRESCIA 24/06</t>
  </si>
  <si>
    <t>AGENDA 41306</t>
  </si>
  <si>
    <t>CAFÉ DA TARDE</t>
  </si>
  <si>
    <t>CAFÉ DA TARDE COM CLIENTES NO LOUP EM 13/04</t>
  </si>
  <si>
    <t>AGENDA 41400</t>
  </si>
  <si>
    <t>AGENDA 41445</t>
  </si>
  <si>
    <t>AGENDA 41241</t>
  </si>
  <si>
    <t>HOSPEDAGEM NO HOTEL EM NOVA YORK</t>
  </si>
  <si>
    <t>TAXI RESIDENCIA X AEROPORTO DE GUARULHOS</t>
  </si>
  <si>
    <t>COMPRA DE DOLAR NO AEROPORTO</t>
  </si>
  <si>
    <t>TAXI AEROPORTO DE GUARULHOS X BGC</t>
  </si>
  <si>
    <t>TRANSPORTE EXECUTIVO MENSAL DE MARÇO</t>
  </si>
  <si>
    <t>CAFE DA MANHÃ COM MESA DE FX SPOT</t>
  </si>
  <si>
    <t>ALMOÇO COM MATHEUS NASSIF</t>
  </si>
  <si>
    <t>ALMOÇO COM MARCELO SANTOS</t>
  </si>
  <si>
    <t>ALMOÇO COM ANDRE ACCIOLY</t>
  </si>
  <si>
    <t>ALMOÇO COM ROBERT SCHARRINGA</t>
  </si>
  <si>
    <t>AGENDA 41298</t>
  </si>
  <si>
    <t>DEVOLUÇÃO CARTÃO CORPORATIVO - TAXIS FINAIS DE SEMANAS</t>
  </si>
  <si>
    <t>AGENDA 41308</t>
  </si>
  <si>
    <t>RECEPCIONISTA - KART</t>
  </si>
  <si>
    <t>AGENDA 41459</t>
  </si>
  <si>
    <t>ESTACIONAMENTO JK IGUATEMI</t>
  </si>
  <si>
    <t>175139-3688JD</t>
  </si>
  <si>
    <t>ESTACIONAMENTO INTERNATIONAL PLAZA</t>
  </si>
  <si>
    <t>175636-3688JD</t>
  </si>
  <si>
    <t>FERNANDO SILVEIRA</t>
  </si>
  <si>
    <t>TAXI PARA REUNIÃO COM CONSUL DE ISRAEL SOBRE A GUERRA NO IRA</t>
  </si>
  <si>
    <t>174143-3688JD</t>
  </si>
  <si>
    <t>ESTACIONAMENTO ED.COM.BARÃO DE SERRO AZUL NA AVENIDA PAULISTA</t>
  </si>
  <si>
    <t>174834-3688JD</t>
  </si>
  <si>
    <t>SIDNEY YOSHIRIHO</t>
  </si>
  <si>
    <t>ESTACIONAMENTO AEROPORTO DE CONGONHAS</t>
  </si>
  <si>
    <t>175359-3688JD</t>
  </si>
  <si>
    <t>172154-3688JD</t>
  </si>
  <si>
    <t>ESTACIONAMENTO AEROPORTO DE CONGONHAS ( REUNIÃO FUNDAÇÃO SÃO FRANCISCO)</t>
  </si>
  <si>
    <t>GIOVANNA</t>
  </si>
  <si>
    <t>173142-3688JD</t>
  </si>
  <si>
    <t>173920-3688JD</t>
  </si>
  <si>
    <t>EVENTO MIAMI COM DANIEL LEAL DO TESOURO NACIONAL</t>
  </si>
  <si>
    <t>114608-3688RR</t>
  </si>
  <si>
    <t>114142-3688RR</t>
  </si>
  <si>
    <t>114505-3688RR</t>
  </si>
  <si>
    <t>114011-3688RR</t>
  </si>
  <si>
    <t>113902-3688RR</t>
  </si>
  <si>
    <t>114745-3688RR</t>
  </si>
  <si>
    <t>115208-3688RR</t>
  </si>
  <si>
    <t>113242-3688RR</t>
  </si>
  <si>
    <t>115750-3688RR</t>
  </si>
  <si>
    <t>113743-3688RR</t>
  </si>
  <si>
    <t>113528-3688RR</t>
  </si>
  <si>
    <t>114302-3688RR</t>
  </si>
  <si>
    <t>115512-3688RR</t>
  </si>
  <si>
    <t>WESLEY MARQUES DA SILVA</t>
  </si>
  <si>
    <t>COMPRA DE 5 CAMISAS DO BRASIL PARA CLIENTES</t>
  </si>
  <si>
    <t>COMPRA DE 3 CAMISAS DO BRASIL PARA CLIENTES</t>
  </si>
  <si>
    <t>COMPRA DE 15 CAMISAS DO BRASIL PARA CLIENTES</t>
  </si>
  <si>
    <t>COMPRA DE 2 CAMISAS DO BRASIL PARA CLIENTES</t>
  </si>
  <si>
    <t>COMPRA DE 4 CAMISAS DO BRASIL PARA CLIENTES</t>
  </si>
  <si>
    <t>COMPRA DE 7 CAMISAS DO BRASIL PARA CLIENTES</t>
  </si>
  <si>
    <t>COMPRA DE 6 CAMISAS DO BRASIL PARA CLIENTES</t>
  </si>
  <si>
    <t>DUAS VANS - EVENTO KART</t>
  </si>
  <si>
    <t>AGENDA 41467</t>
  </si>
  <si>
    <t>AGENDA 41297</t>
  </si>
  <si>
    <t>115645-3688RR</t>
  </si>
  <si>
    <t>CAFÉ DA MANHÃ COM EDUARDO LEITE NO LOUP PARA 16 PESSOAS</t>
  </si>
  <si>
    <t>AGENDA 40767</t>
  </si>
  <si>
    <t>COBERTURA FOTOGRÁFICA KAITAI NO OIZUMI SUSHI</t>
  </si>
  <si>
    <t>CAFÉ DA TARDE COM ROMEU ZEMA NO DIA 17/03 NO LOUP</t>
  </si>
  <si>
    <t>AGENDA 40879</t>
  </si>
  <si>
    <t>REEMBOLSO REFERENTE AO SALDO DA COMPRA EM DOLAR</t>
  </si>
  <si>
    <t>AGENDA 40887</t>
  </si>
  <si>
    <t>AGENDA 41022</t>
  </si>
  <si>
    <t>AGENDA 41113</t>
  </si>
  <si>
    <t>JANTAR COM RENAN SANTOS E KIM KATAGUIRI NO DIA 09/04 NO LOUP</t>
  </si>
  <si>
    <t>E-MAIL 11/05/2026</t>
  </si>
  <si>
    <t xml:space="preserve">THE UNION HOTEL BRASILIA </t>
  </si>
  <si>
    <t>AGENDA 41649</t>
  </si>
  <si>
    <t xml:space="preserve">HAPPY HOUR </t>
  </si>
  <si>
    <t>141012-3688AC</t>
  </si>
  <si>
    <t>FREDERIC CAMPOS BROWN</t>
  </si>
  <si>
    <t>153602-3688BG</t>
  </si>
  <si>
    <t xml:space="preserve">RAFAEL ASSED </t>
  </si>
  <si>
    <t>093425-3688BG</t>
  </si>
  <si>
    <t>ALMOÇO COM O TESOURO NACIONAL</t>
  </si>
  <si>
    <t>083828-3688RR</t>
  </si>
  <si>
    <t>172703-3688JV</t>
  </si>
  <si>
    <t>BRUNO PEROTTONI</t>
  </si>
  <si>
    <t>155351-3688GF</t>
  </si>
  <si>
    <t>TAXI CENTRO APÓS ALMOÇO COM FUNDAÇÃO TELOS E IDA A HH IPANEMA</t>
  </si>
  <si>
    <t>174618-3688JL</t>
  </si>
  <si>
    <t>TAXI CENTRO X GALEÃO AEROPORTO EM VISITAS A FUNDOS DE PENSÃO RJ</t>
  </si>
  <si>
    <t>171431-3688JL</t>
  </si>
  <si>
    <t xml:space="preserve">TAXI VISITAS A FUNDO DE PENSÃO RJ </t>
  </si>
  <si>
    <t>155829-3688JL</t>
  </si>
  <si>
    <t xml:space="preserve">ESTACIONAMENTO EM VISITA A FUNDOS DE PENSÃO RJ </t>
  </si>
  <si>
    <t>153035-3688JL</t>
  </si>
  <si>
    <t>HAPPY HOUR COM FUNDAÇÃO REAL GRANDEZA</t>
  </si>
  <si>
    <t>173750-3688JL</t>
  </si>
  <si>
    <t>LEANDRO ANDREOLI</t>
  </si>
  <si>
    <t>GERENTE DE INVESTIMENTOS</t>
  </si>
  <si>
    <t>132152-3688RU</t>
  </si>
  <si>
    <t>SERGIO GUIMARAES</t>
  </si>
  <si>
    <t>132330-3688RU</t>
  </si>
  <si>
    <t xml:space="preserve">ALMOÇO  ANDBANK </t>
  </si>
  <si>
    <t>EWERTON</t>
  </si>
  <si>
    <t>094109-3688HM</t>
  </si>
  <si>
    <t>094520-3688HM</t>
  </si>
  <si>
    <t>093842-3688HM</t>
  </si>
  <si>
    <t>093711-3688HM</t>
  </si>
  <si>
    <t>094452-3688RP</t>
  </si>
  <si>
    <t>PASSAGEM SÃO PAULO X AMSTERDAM</t>
  </si>
  <si>
    <t>AGENDA 41721</t>
  </si>
  <si>
    <t>181857-3688FB</t>
  </si>
  <si>
    <t xml:space="preserve">JOP VAN BAARSEN </t>
  </si>
  <si>
    <t>140326-3688BG</t>
  </si>
  <si>
    <t>124135-3688AA</t>
  </si>
  <si>
    <t>173302-3688CL</t>
  </si>
  <si>
    <t>ANDRE FADUL</t>
  </si>
  <si>
    <t>163107-3688CB</t>
  </si>
  <si>
    <t>DANIEL SASSOON</t>
  </si>
  <si>
    <t>ALMOÇO FUNDAÇÃO TELOS</t>
  </si>
  <si>
    <t>150824-3688JL</t>
  </si>
  <si>
    <t xml:space="preserve">ANTONIO MIRAGAYA </t>
  </si>
  <si>
    <t>DIRETOR DE INVESTIMENTOS</t>
  </si>
  <si>
    <t>104920-3688JV</t>
  </si>
  <si>
    <t>093415-3688HM</t>
  </si>
  <si>
    <t>092733-3688HM</t>
  </si>
  <si>
    <t>151841-3688RZ</t>
  </si>
  <si>
    <t>142309-3688DG</t>
  </si>
  <si>
    <t>152446-3688FB</t>
  </si>
  <si>
    <t>EDUARDO SUN RIBEIRO</t>
  </si>
  <si>
    <t>093537-3688HM</t>
  </si>
  <si>
    <t>123600-3688AM</t>
  </si>
  <si>
    <t>124752-3688AM</t>
  </si>
  <si>
    <t>FERNANDO SANTIAGO</t>
  </si>
  <si>
    <t>HENRIQUE PEINARDO</t>
  </si>
  <si>
    <t>172348-3688FC</t>
  </si>
  <si>
    <t>122310-3688CN</t>
  </si>
  <si>
    <t>GABRIELA FEUER</t>
  </si>
  <si>
    <t>CARLA REGINA DE SOUZA CARREIRA</t>
  </si>
  <si>
    <t>100645-3688CC</t>
  </si>
  <si>
    <t>094613-3688HM</t>
  </si>
  <si>
    <t>JOAO SHARP</t>
  </si>
  <si>
    <t>140141-3688RR</t>
  </si>
  <si>
    <t>151817-3688RZ</t>
  </si>
  <si>
    <t>140639-3688RZ</t>
  </si>
  <si>
    <t>093646-3688RR</t>
  </si>
  <si>
    <t>AGENDA 41985</t>
  </si>
  <si>
    <t>135554-3688AS</t>
  </si>
  <si>
    <t>FERNANDO OZAKI</t>
  </si>
  <si>
    <t>ALMOÇO E TAXI</t>
  </si>
  <si>
    <t>121642-3688EC</t>
  </si>
  <si>
    <t>PAULO CETIN</t>
  </si>
  <si>
    <t>JOAO MARCELO F LOPES</t>
  </si>
  <si>
    <t>095419-3688CB</t>
  </si>
  <si>
    <t>152022-3688BG</t>
  </si>
  <si>
    <t>092636-3688BG</t>
  </si>
  <si>
    <t xml:space="preserve">RAFAEL BONNAS </t>
  </si>
  <si>
    <t>142126-3688RU</t>
  </si>
  <si>
    <t>141946-3688RU</t>
  </si>
  <si>
    <t xml:space="preserve">FERNANDO CAMILLO </t>
  </si>
  <si>
    <t>122141-3688AA</t>
  </si>
  <si>
    <t>AGENDA 41994</t>
  </si>
  <si>
    <t xml:space="preserve">JANTAR COM CEO TERRA </t>
  </si>
  <si>
    <t>TAXIS RESIDÊNCIA X BGC</t>
  </si>
  <si>
    <t>SNACKS BGCL</t>
  </si>
  <si>
    <t>ALMOÇO COM FELIPE GESTORA LATUS</t>
  </si>
  <si>
    <t>124051-3688GF</t>
  </si>
  <si>
    <t>124348-3688GF</t>
  </si>
  <si>
    <t>101524-3688AM</t>
  </si>
  <si>
    <t>LEONARDO PEIXOTO MACEDO</t>
  </si>
  <si>
    <t>153303-3688AS</t>
  </si>
  <si>
    <t>145021-3688AS</t>
  </si>
  <si>
    <t>161415-3688JT</t>
  </si>
  <si>
    <t>GUSTAVO VIEIRA</t>
  </si>
  <si>
    <t xml:space="preserve">ALMOÇO COM NOMAD GLOBAL </t>
  </si>
  <si>
    <t>145843-3688JL</t>
  </si>
  <si>
    <t>MURILO GOMES</t>
  </si>
  <si>
    <t>AGENDA 41781</t>
  </si>
  <si>
    <t>AGENDA 41993</t>
  </si>
  <si>
    <t>AGENDA 41889</t>
  </si>
  <si>
    <t>133604-3688JJ</t>
  </si>
  <si>
    <t>RONALDO SASAKI</t>
  </si>
  <si>
    <t>175634-3688CL</t>
  </si>
  <si>
    <t>180027-3688CL</t>
  </si>
  <si>
    <t>174846-3688CL</t>
  </si>
  <si>
    <t>175850-3688CL</t>
  </si>
  <si>
    <t>THOMAZ BOTTO</t>
  </si>
  <si>
    <t>115530-3688JV</t>
  </si>
  <si>
    <t>ALEXANDRE ARANTES DE S QUEIROZ</t>
  </si>
  <si>
    <t>122119-3688AV</t>
  </si>
  <si>
    <t>082753-3688EC</t>
  </si>
  <si>
    <t>083121-3688EC</t>
  </si>
  <si>
    <t>083628-3688EC</t>
  </si>
  <si>
    <t>083520-3688EC</t>
  </si>
  <si>
    <t>FUTEBOL E HAPPY HOUR</t>
  </si>
  <si>
    <t>083904-3688EC</t>
  </si>
  <si>
    <t>083736-3688EC</t>
  </si>
  <si>
    <t>082954-3688EC</t>
  </si>
  <si>
    <t>ALMOÇO COM OCEANA INVESTIMENTOS</t>
  </si>
  <si>
    <t xml:space="preserve">ANDRE BACHA </t>
  </si>
  <si>
    <t xml:space="preserve">LUIZ MOLNAR </t>
  </si>
  <si>
    <t xml:space="preserve">RICARDO ROCHA </t>
  </si>
  <si>
    <t>RODRIGO BRENDON NOGUEIRA</t>
  </si>
  <si>
    <t>PEDRO RISTOW</t>
  </si>
  <si>
    <t>GUSTAVO PISTILI</t>
  </si>
  <si>
    <t>FELIPE GARCEZ</t>
  </si>
  <si>
    <t xml:space="preserve">TRADUTOR SIMULTÂNEO REUNIÃO MICHEL TEMER </t>
  </si>
  <si>
    <t>122813-3688AC</t>
  </si>
  <si>
    <t xml:space="preserve">STRATFORD DENNIS </t>
  </si>
  <si>
    <t>150437-3688AS</t>
  </si>
  <si>
    <t>122539-3688EC</t>
  </si>
  <si>
    <t>INGRESSOS PARA XP EXPERT BROKERS</t>
  </si>
  <si>
    <t>090019-3688PI</t>
  </si>
  <si>
    <t>JOAO PEDRO BESSA LIMA OLIVEIRA</t>
  </si>
  <si>
    <t>165332-3688PI</t>
  </si>
  <si>
    <t>165134-3688PI</t>
  </si>
  <si>
    <t>GABRIEL CAMILO</t>
  </si>
  <si>
    <t>E-MAIL 22/05/2026</t>
  </si>
  <si>
    <t>155140-3688EA</t>
  </si>
  <si>
    <t>AGENDA 41789</t>
  </si>
  <si>
    <t>CONSULTORIA</t>
  </si>
  <si>
    <t>AGENDA 41792</t>
  </si>
  <si>
    <t>PASSAGEM SÃO PAULO X NY</t>
  </si>
  <si>
    <t>AGENDA 41793</t>
  </si>
  <si>
    <t>AGENDA 41955</t>
  </si>
  <si>
    <t>AGENDA 41954</t>
  </si>
  <si>
    <t>AGENDA 42030</t>
  </si>
  <si>
    <t>094655-3688AL</t>
  </si>
  <si>
    <t>180732-3688GF</t>
  </si>
  <si>
    <t>ALMOÇO COM CFO STARR SEGURADORA</t>
  </si>
  <si>
    <t>154507-3688JL</t>
  </si>
  <si>
    <t>DIEGO MIGLIACCIO</t>
  </si>
  <si>
    <t>CFO</t>
  </si>
  <si>
    <t>152001-3688RC</t>
  </si>
  <si>
    <t>164257-3688RU</t>
  </si>
  <si>
    <t>165052-3688RU</t>
  </si>
  <si>
    <t>LUIZ COTARELLI</t>
  </si>
  <si>
    <t>MATHEUS ROSSITO FRERI</t>
  </si>
  <si>
    <t>090655-3688AM</t>
  </si>
  <si>
    <t>155040-3688DG</t>
  </si>
  <si>
    <t>090443-3688AM</t>
  </si>
  <si>
    <t>MARCIO UEJIMA</t>
  </si>
  <si>
    <t>101058-3688AC</t>
  </si>
  <si>
    <t>MURILO LUZ</t>
  </si>
  <si>
    <t>151522-3688PI</t>
  </si>
  <si>
    <t>FILIPE DE CASTRO PESSOA</t>
  </si>
  <si>
    <t>151734-3688PI</t>
  </si>
  <si>
    <t>131349-3688PI</t>
  </si>
  <si>
    <t>GABRIEL GODOY CAMILO</t>
  </si>
  <si>
    <t>151319-3688RP</t>
  </si>
  <si>
    <t>CRISTIANO SOARES</t>
  </si>
  <si>
    <t>143750-3688JT</t>
  </si>
  <si>
    <t>LEONARDO DE AMORIM PESSOA</t>
  </si>
  <si>
    <t>160227-3688EC</t>
  </si>
  <si>
    <t>GUSTAVO FRANZENER</t>
  </si>
  <si>
    <t>UBER SÃO PAULO X VINHEDO</t>
  </si>
  <si>
    <t>102804-3688AA</t>
  </si>
  <si>
    <t>CAIO TADAYOSHI SATO</t>
  </si>
  <si>
    <t>092917-3688CB</t>
  </si>
  <si>
    <t>094333-3688CB</t>
  </si>
  <si>
    <t>RODRIGO NOVARETTI</t>
  </si>
  <si>
    <t>AGENDA 42052</t>
  </si>
  <si>
    <t>AGENDA 40247</t>
  </si>
  <si>
    <t>AGENDA 41776</t>
  </si>
  <si>
    <t>AGENDA 41880</t>
  </si>
  <si>
    <t>AGENDA 41778</t>
  </si>
  <si>
    <t>AGENDA 41803</t>
  </si>
  <si>
    <t>AGENDA 41920</t>
  </si>
  <si>
    <t>AGENDA  41904</t>
  </si>
  <si>
    <t>ALMOÇO LOUP 05/05</t>
  </si>
  <si>
    <t>AGENDA 41911</t>
  </si>
  <si>
    <t>AGENDA  42012</t>
  </si>
  <si>
    <t>TAXA DE CANCELAMENTO DE HOSPEDAGEM QUALITY HOTEL</t>
  </si>
  <si>
    <t>AGENDA 42153</t>
  </si>
  <si>
    <t xml:space="preserve">ESTACIONAMENTO AEROPORTO DE CONGONHAS  </t>
  </si>
  <si>
    <t>104251-3688JD</t>
  </si>
  <si>
    <t>ALMOÇO COM FUTURA</t>
  </si>
  <si>
    <t>103241-3688JD</t>
  </si>
  <si>
    <t>124336-3688MP</t>
  </si>
  <si>
    <t>BRUNO FORTUNA</t>
  </si>
  <si>
    <t xml:space="preserve">ALMOÇO  </t>
  </si>
  <si>
    <t>125909-3688MP</t>
  </si>
  <si>
    <t>151603-3688MP</t>
  </si>
  <si>
    <t>LUCAS STANQUEVITCHUS</t>
  </si>
  <si>
    <t>141434-3688AS</t>
  </si>
  <si>
    <t>CHRISTIANO CHACCUR CHADAD</t>
  </si>
  <si>
    <t>130027-3688FB</t>
  </si>
  <si>
    <t>TAXI REUNIÃO NO RIO DE JANEIRO</t>
  </si>
  <si>
    <t>102810-3688JD</t>
  </si>
  <si>
    <t xml:space="preserve">HAPPY HOUR   </t>
  </si>
  <si>
    <t>104438-3688RR</t>
  </si>
  <si>
    <t>141043-3688JT</t>
  </si>
  <si>
    <t>141744-3688JT</t>
  </si>
  <si>
    <t>THIAGO DI BLASI TEIXEIRA</t>
  </si>
  <si>
    <t>AGENDA 42273</t>
  </si>
  <si>
    <t>AGENDA 42275</t>
  </si>
  <si>
    <t>095419-3688RC</t>
  </si>
  <si>
    <t>094814-3688RC</t>
  </si>
  <si>
    <t xml:space="preserve">INGRESSOS PARA O JOGO DA COPA </t>
  </si>
  <si>
    <t>173514-3688AV</t>
  </si>
  <si>
    <t>173656-3688AV</t>
  </si>
  <si>
    <t>BRUNO MARQUES</t>
  </si>
  <si>
    <t>AGENDA 42337</t>
  </si>
  <si>
    <t>ALMOÇO RUBAYAT RJ 20/05 COM A FUTURA</t>
  </si>
  <si>
    <t>113801-3688GF</t>
  </si>
  <si>
    <t>173509-3688CL</t>
  </si>
  <si>
    <t>105805-3688RC</t>
  </si>
  <si>
    <t>AGENDA 42303</t>
  </si>
  <si>
    <t>AGENDA 42315</t>
  </si>
  <si>
    <t>170139-3688PI</t>
  </si>
  <si>
    <t>RAFAEL DEODATO</t>
  </si>
  <si>
    <t>173948-3688CL</t>
  </si>
  <si>
    <t>TAXI AEROPORTO</t>
  </si>
  <si>
    <t>171909-3688FT</t>
  </si>
  <si>
    <t>170744-3688FT</t>
  </si>
  <si>
    <t>EDUARDO</t>
  </si>
  <si>
    <t>170530-3688FT</t>
  </si>
  <si>
    <t>171247-3688FT</t>
  </si>
  <si>
    <t>DANIEL BARROS RODRIGUES COSTA</t>
  </si>
  <si>
    <t>170931-3688FT</t>
  </si>
  <si>
    <t>COPASA</t>
  </si>
  <si>
    <t>170335-3688FT</t>
  </si>
  <si>
    <t>JEFFERSON BITTENCOURT</t>
  </si>
  <si>
    <t>TAXI NY AEROPORTO X HOTEL</t>
  </si>
  <si>
    <t>171750-3688FT</t>
  </si>
  <si>
    <t>TAXI AEROPORTO NY</t>
  </si>
  <si>
    <t>171355-3688FT</t>
  </si>
  <si>
    <t>165935-3688FT</t>
  </si>
  <si>
    <t>173409-3688JV</t>
  </si>
  <si>
    <t>133146-3688MN</t>
  </si>
  <si>
    <t>133840-3688MN</t>
  </si>
  <si>
    <t>105249-3688RC</t>
  </si>
  <si>
    <t>110157-3688RC</t>
  </si>
  <si>
    <t>135828-3688AF</t>
  </si>
  <si>
    <t xml:space="preserve">FELIPE PERRELLA </t>
  </si>
  <si>
    <t xml:space="preserve">HOTEL EM NOVA YORK </t>
  </si>
  <si>
    <t>134208-3688RC</t>
  </si>
  <si>
    <t>133546-3688MN</t>
  </si>
  <si>
    <t>FREDERICO MASSOTE TRIZZI ALVES</t>
  </si>
  <si>
    <t>150817-3998PI</t>
  </si>
  <si>
    <t>ALEXSANDER KLAUS SANSONOWICZ</t>
  </si>
  <si>
    <t>150003-3688NA</t>
  </si>
  <si>
    <t>070135-3998PI</t>
  </si>
  <si>
    <t>145623-3998PI</t>
  </si>
  <si>
    <t>150658-3998PI</t>
  </si>
  <si>
    <t>144605-3998PI</t>
  </si>
  <si>
    <t>142859-3998PI</t>
  </si>
  <si>
    <t>143242-3998PI</t>
  </si>
  <si>
    <t>144249-3998PI</t>
  </si>
  <si>
    <t>PASSAGEM SÃO PAULO X NY IDA</t>
  </si>
  <si>
    <t>JANTAR ING BANK NY</t>
  </si>
  <si>
    <t>TAXI NY</t>
  </si>
  <si>
    <t xml:space="preserve">JANTAR NY </t>
  </si>
  <si>
    <t>VINICIUS SA</t>
  </si>
  <si>
    <t>145504-3998PI</t>
  </si>
  <si>
    <t>132947-3998RU</t>
  </si>
  <si>
    <t>EDUARDO KENJI AKIYAMA</t>
  </si>
  <si>
    <t>165813-3998CB</t>
  </si>
  <si>
    <t>174508-3688AC</t>
  </si>
  <si>
    <t>LUCAS WEBER</t>
  </si>
  <si>
    <t xml:space="preserve">TAXI IDA AEROPORTO GRU </t>
  </si>
  <si>
    <t>TAXI VOLTA AEROPORTO GRU</t>
  </si>
  <si>
    <t xml:space="preserve">TRANSPORTE EXECUTIVO MENSAL DE MAIO </t>
  </si>
  <si>
    <t>AGENDA 42453</t>
  </si>
  <si>
    <t>070704-3998PI</t>
  </si>
  <si>
    <t xml:space="preserve"> JANTAR NY</t>
  </si>
  <si>
    <t>134925-3998AL</t>
  </si>
  <si>
    <t>LUIZ GENOVA</t>
  </si>
  <si>
    <t>141552-3688AS</t>
  </si>
  <si>
    <t>FELIPE LOPES DE SOUZA</t>
  </si>
  <si>
    <t>140757-3688JT</t>
  </si>
  <si>
    <t>VITOR NUSIO</t>
  </si>
  <si>
    <t>VIAGEM NY</t>
  </si>
  <si>
    <t>143517-3998PI</t>
  </si>
  <si>
    <t>AGENDA 42481</t>
  </si>
  <si>
    <t>JOP VAN BAARSEN</t>
  </si>
  <si>
    <t>UBER EVENTO EM AMSTERDAN - FOW EUROPE 2026</t>
  </si>
  <si>
    <t>UBER E ALMOÇO EVENTO EM AMSTERDAM - FOW EUROPE 2026</t>
  </si>
  <si>
    <t xml:space="preserve">HOTEL PROMENADE PALLADIUM </t>
  </si>
  <si>
    <t>HOTEL RADISSON BLU SÃO PAULO</t>
  </si>
  <si>
    <t>HOTEL GILD HALL NOVA YORK</t>
  </si>
  <si>
    <t>ARENA LEME HOTEL RIO DE JANEIRO</t>
  </si>
  <si>
    <t>1/2 ALMOÇO MACRO AGRO COM PALESTRANTES PARA A MESA DE NTN-B</t>
  </si>
  <si>
    <t>2/2 ALMOÇO MACRO AGRO COM PALESTRANTES PARA A MESA DE NTN-B</t>
  </si>
  <si>
    <t>ESTACIONAMENTO DAS DUAS VANS - EVENTO KART</t>
  </si>
  <si>
    <t>EXTRA DE BEBIDAS ALCOOLICAS - EVENTO KART</t>
  </si>
  <si>
    <t>1/2 ALMOÇO COM A FUTURA NO LOUP 11/05</t>
  </si>
  <si>
    <t>2/2 ALMOÇO COM A FUTURA NO LOUP 11/05</t>
  </si>
  <si>
    <t>AGENDA 41949</t>
  </si>
  <si>
    <t>EVENTO MIAMI OPEN COM TESOURO NACIONAL</t>
  </si>
  <si>
    <t>AGENDA 42172</t>
  </si>
  <si>
    <t>E-MAIL 22/06/2026</t>
  </si>
  <si>
    <t>152705-3998RP</t>
  </si>
  <si>
    <t>154140-3998EC</t>
  </si>
  <si>
    <t>ALMOÇO COM WALPIRES</t>
  </si>
  <si>
    <t>FERNANDO</t>
  </si>
  <si>
    <t>154427-3998EC</t>
  </si>
  <si>
    <t>GEOGE MAIA</t>
  </si>
  <si>
    <t>154629-3998EC</t>
  </si>
  <si>
    <t xml:space="preserve">DANIEL CELANTE </t>
  </si>
  <si>
    <t>154930-3998EC</t>
  </si>
  <si>
    <t>MARCUS JUNQUEIRA</t>
  </si>
  <si>
    <t>160619-3998EC</t>
  </si>
  <si>
    <t>MARCELO BAHZUNI</t>
  </si>
  <si>
    <t>160038-3998EC</t>
  </si>
  <si>
    <t>GUILHERME GATTO</t>
  </si>
  <si>
    <t>160335-3998EC</t>
  </si>
  <si>
    <t>THIAGO</t>
  </si>
  <si>
    <t>155841-3998EC</t>
  </si>
  <si>
    <t>ALMOÇO COM CARTOR ASSET</t>
  </si>
  <si>
    <t>160435-3998EC</t>
  </si>
  <si>
    <t>LUIZ RAPYO</t>
  </si>
  <si>
    <t>160148-3998EC</t>
  </si>
  <si>
    <t>155542-3998EC</t>
  </si>
  <si>
    <t>RODRIGO BRENDON</t>
  </si>
  <si>
    <t>154749-3998EC</t>
  </si>
  <si>
    <t>JOSE PEDRO BONFIM</t>
  </si>
  <si>
    <t>155207-3998EC</t>
  </si>
  <si>
    <t>LUIZ ALVES</t>
  </si>
  <si>
    <t>085210-3998PI</t>
  </si>
  <si>
    <t>NORBERTO SILVA</t>
  </si>
  <si>
    <t>173751-3688AC</t>
  </si>
  <si>
    <t>RONALDO YUZO SASAKI</t>
  </si>
  <si>
    <t>164836-3998JL</t>
  </si>
  <si>
    <t>AMANDA BLUM</t>
  </si>
  <si>
    <t>DIRETORA</t>
  </si>
  <si>
    <t>ALMOÇO COM CROWN-BRVL</t>
  </si>
  <si>
    <t>185643-3998AC</t>
  </si>
  <si>
    <t>FAUSTO MARTINS</t>
  </si>
  <si>
    <t>DANIEL PICOLLI</t>
  </si>
  <si>
    <t>185510-3998AC</t>
  </si>
  <si>
    <t>102715-3998MP</t>
  </si>
  <si>
    <t>JOAO FELIPE SANTIAGO GOMES</t>
  </si>
  <si>
    <t xml:space="preserve">CARLOS BASILE </t>
  </si>
  <si>
    <t>153614-3998CB</t>
  </si>
  <si>
    <t>ARTHUR CHANG NOGUEIRA</t>
  </si>
  <si>
    <t>144710-3998AS</t>
  </si>
  <si>
    <t>112926-3998RC</t>
  </si>
  <si>
    <t>113328-3998RC</t>
  </si>
  <si>
    <t>113516-3998RC</t>
  </si>
  <si>
    <t>112729-3998RC</t>
  </si>
  <si>
    <t>113132-3998RC</t>
  </si>
  <si>
    <t>KEVIN MINN</t>
  </si>
  <si>
    <t>ANIT PRADHAN</t>
  </si>
  <si>
    <t>JANTAR COM NATIXIS</t>
  </si>
  <si>
    <t>BOSCO PULIDO</t>
  </si>
  <si>
    <t>141422-3998EC</t>
  </si>
  <si>
    <t>144419-3998RR</t>
  </si>
  <si>
    <t>150341-3998BG</t>
  </si>
  <si>
    <t>143714-3998FB</t>
  </si>
  <si>
    <t>TAXI VIAGEM NOVA YORK</t>
  </si>
  <si>
    <t>172230-3998PI</t>
  </si>
  <si>
    <t>172939-3998PI</t>
  </si>
  <si>
    <t>172733-3998PI</t>
  </si>
  <si>
    <t>172606-3998PI</t>
  </si>
  <si>
    <t>155109-3998AC</t>
  </si>
  <si>
    <t>LUIS GAGLIASSO</t>
  </si>
  <si>
    <t>HOTEL NA FILADELFIA</t>
  </si>
  <si>
    <t>170608-3998RC</t>
  </si>
  <si>
    <t>AGENDA 42571</t>
  </si>
  <si>
    <t>AGENDA 42596</t>
  </si>
  <si>
    <t xml:space="preserve">TARIFA HOTEL ATLANTICO COPACABANA </t>
  </si>
  <si>
    <t>AGENDA 42512</t>
  </si>
  <si>
    <t>AGENDA 42282</t>
  </si>
  <si>
    <t>AGENDA 42279</t>
  </si>
  <si>
    <t>2/2 - CAFÉ DA MANHÃ COM CLIENTES NO LOUP EM 15/06</t>
  </si>
  <si>
    <t>1/2 - CAFÉ DA MANHÃ COM CLIENTES NO LOUP EM 15/06</t>
  </si>
  <si>
    <t>AGENDA 42498</t>
  </si>
  <si>
    <t>165205-3688RU</t>
  </si>
  <si>
    <t>MICHEL TECLA MICHELUTTI</t>
  </si>
  <si>
    <t>164608-3688RU</t>
  </si>
  <si>
    <t>165313-3688RU</t>
  </si>
  <si>
    <t>FUTEBOL</t>
  </si>
  <si>
    <t>145946-3998FC</t>
  </si>
  <si>
    <t>144704-3998CB</t>
  </si>
  <si>
    <t>142222-3998RC</t>
  </si>
  <si>
    <t>BRUNO CINELLI</t>
  </si>
  <si>
    <t>172912-3688VP</t>
  </si>
  <si>
    <t>GUSTAVO MENDES</t>
  </si>
  <si>
    <t>155831-3998FR</t>
  </si>
  <si>
    <t>155719-3998FR</t>
  </si>
  <si>
    <t>160108-3998FR</t>
  </si>
  <si>
    <t>DANIEL ALMEIDA COSTA CORREA</t>
  </si>
  <si>
    <t>155505-3998FR</t>
  </si>
  <si>
    <t>092132-3998JJ</t>
  </si>
  <si>
    <t>INGRESSO EVENTO EXPERT EM SÃO PAULO DIA 23/07</t>
  </si>
  <si>
    <t>144642-3998JL</t>
  </si>
  <si>
    <t>135523-3998JT</t>
  </si>
  <si>
    <t>135355-3998JT</t>
  </si>
  <si>
    <t>GIOVANNI BIANCHI</t>
  </si>
  <si>
    <t>111826-3998CL</t>
  </si>
  <si>
    <t>GUILHERME SALVADOR VEIGA</t>
  </si>
  <si>
    <t>111649-3998CL</t>
  </si>
  <si>
    <t>112003-3998CL</t>
  </si>
  <si>
    <t>104320-3998AF</t>
  </si>
  <si>
    <t xml:space="preserve">ALMOÇO COM SOLANA </t>
  </si>
  <si>
    <t>RODRIGO FOGAGNOLO</t>
  </si>
  <si>
    <t>102817-3998AV</t>
  </si>
  <si>
    <t>101008-3998AV</t>
  </si>
  <si>
    <t>101524-3998AV</t>
  </si>
  <si>
    <t>101256-3998AV</t>
  </si>
  <si>
    <t>GABRIEL DA MOTTA MELLO</t>
  </si>
  <si>
    <t>ELCIO HIOSHI MURAMATSU</t>
  </si>
  <si>
    <t>AGENDA 42293</t>
  </si>
  <si>
    <t>AGENDA 42570</t>
  </si>
  <si>
    <t>JOGO DE CAMA - FLAT</t>
  </si>
  <si>
    <t>AGENDA 42648</t>
  </si>
  <si>
    <t>AGENDA 42649</t>
  </si>
  <si>
    <t>RODRIGO LAZZARIS FERNANDEZ</t>
  </si>
  <si>
    <t>AGENDA 42626</t>
  </si>
  <si>
    <t>THALES GASPAR</t>
  </si>
  <si>
    <t>AGENDA 42620</t>
  </si>
  <si>
    <t>EVENTO B HOTEL BRASÍLIA</t>
  </si>
  <si>
    <t>ARTHUR MACHADO</t>
  </si>
  <si>
    <t>ROMEU ZEMA</t>
  </si>
  <si>
    <t>POLÍTICO</t>
  </si>
  <si>
    <t>AGENCY</t>
  </si>
  <si>
    <t>ALMOÇO BLACK ROCK E ROMEU ZEMA</t>
  </si>
  <si>
    <t>JOSÉ BERARDO</t>
  </si>
  <si>
    <t>EITAN CHERNIZON</t>
  </si>
  <si>
    <t>PEDRO CURY</t>
  </si>
  <si>
    <t>ALMOÇO BREVA E ROMEU ZEMA</t>
  </si>
  <si>
    <t>JUAN PABLO</t>
  </si>
  <si>
    <t>GARRAFAS EVENTO THE MACALLAN</t>
  </si>
  <si>
    <t>RODRIGO SOARES TAKASAKI</t>
  </si>
  <si>
    <t>ALVARO LUIZ RICOTTA SOARES</t>
  </si>
  <si>
    <t>TOMAS FORTES SOARES QUIEZI</t>
  </si>
  <si>
    <t xml:space="preserve">INGRESSOS SHOW DO RUSH </t>
  </si>
  <si>
    <t>WELLINGTON DIAS PEREIRA</t>
  </si>
  <si>
    <t>REEMBOLSO REFERENTE AOS DOLARES COMPRADOS NO CARTÃO CORPORATIVO</t>
  </si>
  <si>
    <t>AGENDA 42594</t>
  </si>
  <si>
    <t>AGENDA 42482</t>
  </si>
  <si>
    <t>E-MAIL 01/07/2026</t>
  </si>
  <si>
    <t>EMAIL 03/07/2026</t>
  </si>
  <si>
    <t>RLIVIANU</t>
  </si>
  <si>
    <t>JRAMALHO</t>
  </si>
  <si>
    <t>AZ QUEST LOW VOL FIM</t>
  </si>
  <si>
    <t>JEAN MARCONDES SARRO</t>
  </si>
  <si>
    <t>YOLIVEIRA</t>
  </si>
  <si>
    <t>KAUE CHINELLATO</t>
  </si>
  <si>
    <t>MAKWON</t>
  </si>
  <si>
    <t>SSOARES</t>
  </si>
  <si>
    <t>BANCO HSBC S/A</t>
  </si>
  <si>
    <t>BEATRIZ BIDUTTE</t>
  </si>
  <si>
    <t>JOHN TANCREDI</t>
  </si>
  <si>
    <t>FILIPE CAVALCANTI</t>
  </si>
  <si>
    <t>BANCO SANTANDER S/A (HISPANO)</t>
  </si>
  <si>
    <t>ANTONIO PARDO GIL ALBERDI</t>
  </si>
  <si>
    <t>BANK OF CHINA (BRASIL) BANCO MULTIPLO S/A</t>
  </si>
  <si>
    <t>BANCO DA CHINA BRASIL S/A</t>
  </si>
  <si>
    <t>GTELES</t>
  </si>
  <si>
    <t>ICATU VANGUARDA GESTÃO DE RECURSOS LTDA</t>
  </si>
  <si>
    <t>ICATU VANGUARDA GESTAO DE RECURSOS LTDA</t>
  </si>
  <si>
    <t>MARCOS VINICIUS ARAUJO RECHTMA</t>
  </si>
  <si>
    <t>SCHELALA</t>
  </si>
  <si>
    <t>CAIEIRAS FIM IE CP</t>
  </si>
  <si>
    <t>JAMES MARCOS DE OLIVEIRA</t>
  </si>
  <si>
    <t>MARIA EDUARDA VIEIRA RANGEL</t>
  </si>
  <si>
    <t>TAMARA WAJNBERG</t>
  </si>
  <si>
    <t>BANCO BOCOM BBM S/A</t>
  </si>
  <si>
    <t>BERNARDO MACHADO URBAN</t>
  </si>
  <si>
    <t>RAFAEL ANDRADE</t>
  </si>
  <si>
    <t>GABRIEL ROTOLO NASCIMENTO</t>
  </si>
  <si>
    <t>FABIO BATISTA VEIGA</t>
  </si>
  <si>
    <t>BANCO CAIXA GERAL BRASIL S/A</t>
  </si>
  <si>
    <t>BANCO BS2 S.A.</t>
  </si>
  <si>
    <t>BSANTOS</t>
  </si>
  <si>
    <t>ALBERT DE ANDRADE MAS</t>
  </si>
  <si>
    <t>JULIANE ANDRADE</t>
  </si>
  <si>
    <t>ASHUTOSH KUMAR</t>
  </si>
  <si>
    <t>BANCO MUFG BRASIL S/A</t>
  </si>
  <si>
    <t>RUY BALIEIRO</t>
  </si>
  <si>
    <t>GLAUCO LUIZ DE SOUZA ALVES</t>
  </si>
  <si>
    <t>ALEX SANDRO BINATI VAZ CRUZ</t>
  </si>
  <si>
    <t>TRZ FIM CP RESPONSABILIDADE LIMITADA</t>
  </si>
  <si>
    <t>MHSANTOS</t>
  </si>
  <si>
    <t>BEATRIZ BIDUTTE DA SILVA</t>
  </si>
  <si>
    <t>MICHELANGELO FUNDO DE INVESTIMENTO MULT CP IE</t>
  </si>
  <si>
    <t>CMORATELLI</t>
  </si>
  <si>
    <t>MARIANA NEVES</t>
  </si>
  <si>
    <t>ASISH AGARWAL</t>
  </si>
  <si>
    <t>EMERALD GESTAO DE INVESTIMENTOS SOCIEDADE UNIPESSOAL LTDA</t>
  </si>
  <si>
    <t>VICTOR JUCA MARTINS</t>
  </si>
  <si>
    <t>CMAIA</t>
  </si>
  <si>
    <t>SAURAV HIMMATSINGKA</t>
  </si>
  <si>
    <t>BNP PARIBAS FINANCIAL MARKETS</t>
  </si>
  <si>
    <t>FLAVIO CORSINI</t>
  </si>
  <si>
    <t>BANCO GENIAL S/A</t>
  </si>
  <si>
    <t>WILIAN KENZO YOSHIHIRO</t>
  </si>
  <si>
    <t>SKOPOS CAPABLANCA MACRO FUNDO DE INVESTIMENTO MULTIMERCADO</t>
  </si>
  <si>
    <t>RODNATALI</t>
  </si>
  <si>
    <t>AEZEQUIEL</t>
  </si>
  <si>
    <t>MARCO VIEIRA</t>
  </si>
  <si>
    <t>SHIVAM DUBEY</t>
  </si>
  <si>
    <t>GABRIEL GODOY</t>
  </si>
  <si>
    <t>BANCO COOPERATIVO SICOOB S/A</t>
  </si>
  <si>
    <t>CLAUDIA ISABEL SOBRAL GIL</t>
  </si>
  <si>
    <t>ITAU UNIBANCO ASSET MANAGEMENT LTDA</t>
  </si>
  <si>
    <t>ITAU UNIBANCO ASSET - JANEIRO</t>
  </si>
  <si>
    <t>MATHEUS MENEZES ABUCHAIM</t>
  </si>
  <si>
    <t>NARENDRA KHANDELWAL</t>
  </si>
  <si>
    <t>DATATSUMI</t>
  </si>
  <si>
    <t>NU PAGAMENTOS SA - INSTITUIÇÃO DE PAGAMENTO</t>
  </si>
  <si>
    <t>NU PAGAMENTOS SOCIEDADE ANONIMA</t>
  </si>
  <si>
    <t>JOÃO ROCHA DA SILVA</t>
  </si>
  <si>
    <t>BGOMES</t>
  </si>
  <si>
    <t>FUNDO DE INVESTIMENTO FINANCEIRO AETHER TRADING DIGITAL</t>
  </si>
  <si>
    <t>AETHER</t>
  </si>
  <si>
    <t>MEHUL JALAN</t>
  </si>
  <si>
    <t>FELIPE SUZANO ALMEIDA MAGALHAE</t>
  </si>
  <si>
    <t>AETHER2</t>
  </si>
  <si>
    <t>ALFREDO BINNIE</t>
  </si>
  <si>
    <t>ITAU UNIBANCO ASSET - TACO</t>
  </si>
  <si>
    <t>HENRIQUE FARINELLI NETO</t>
  </si>
  <si>
    <t>NEO MULTIMERCADO GESTÃO DE RECURSOS LTDA</t>
  </si>
  <si>
    <t>NEO GESTÃO DE RECURSOS LTDA</t>
  </si>
  <si>
    <t>ANDERSON KAM</t>
  </si>
  <si>
    <t>MHD FIF FUNDO DE INVESTIMENTO FINANCEIRO MULTIMERCADO</t>
  </si>
  <si>
    <t>CARLO ADRIANO MORATELLI</t>
  </si>
  <si>
    <t>RFOLSTER</t>
  </si>
  <si>
    <t>REAL INVESTOR ASSET MANAGEMENT LTDA</t>
  </si>
  <si>
    <t>RODSANTOS</t>
  </si>
  <si>
    <t>TIAGO GUEDES OCANA</t>
  </si>
  <si>
    <t>UJAY CAPITAL INVESTIMENTOS LTDA</t>
  </si>
  <si>
    <t>CELSO GIL FERNANDEZ</t>
  </si>
  <si>
    <t>BANCO TRAVELEX S.A.</t>
  </si>
  <si>
    <t>TRAVELEX BANCO DE CAMBIO S/A</t>
  </si>
  <si>
    <t>BANCO XP S/A</t>
  </si>
  <si>
    <t>HCARRER</t>
  </si>
  <si>
    <t>WELLINGTON NAGAO</t>
  </si>
  <si>
    <t>BNP PARIBAS PROPRIETARIO CI MULT CP</t>
  </si>
  <si>
    <t>GABRIEL BAPTISTELA_16278</t>
  </si>
  <si>
    <t>CARLOS ALBERTO RODRIGUES JR</t>
  </si>
  <si>
    <t>GABRIEL BAPTISTELA_32624</t>
  </si>
  <si>
    <t>EBURY BANCO DE CAMBIO S/A</t>
  </si>
  <si>
    <t>ADRIANO TACKANO AMADIO</t>
  </si>
  <si>
    <t>GUILHERME MARCONDES MACHADO</t>
  </si>
  <si>
    <t>BANCO MIZUHO DO BRASIL S/A</t>
  </si>
  <si>
    <t>PAULO GUEDES</t>
  </si>
  <si>
    <t>ALUEDERS</t>
  </si>
  <si>
    <t>GUEPARDO INVESTIMENTOS LTDA</t>
  </si>
  <si>
    <t>SKOPOS BLUE BIRDS LONG ONLY FUNDO DE INVESTIMENTO DE ACOES</t>
  </si>
  <si>
    <t>PTORTORELI</t>
  </si>
  <si>
    <t>LEONARDO PAIXAO G DE SOUZA</t>
  </si>
  <si>
    <t>BANCO SUMITOMO MITSUI BRASILEIRO S/A</t>
  </si>
  <si>
    <t>SONATA GESTORA DE RECURSOS LTDA.</t>
  </si>
  <si>
    <t>CAMILA DE MAGALHAES SANDOVAL</t>
  </si>
  <si>
    <t>SHOVIT KUMAR</t>
  </si>
  <si>
    <t>GUSTAVO ALVES DE SOUZA</t>
  </si>
  <si>
    <t>JOAO VICTOR MASSA MARTINS</t>
  </si>
  <si>
    <t>MORE TOTAL RETURN FI FINANCEIRO MULTIMERCADO</t>
  </si>
  <si>
    <t>JBOMFIM</t>
  </si>
  <si>
    <t>PAULO GUEDES_33472</t>
  </si>
  <si>
    <t>ANVIEIRA</t>
  </si>
  <si>
    <t>DEUTSCHE BANK S/A BANCO ALEMÃO</t>
  </si>
  <si>
    <t>DEUTSCHE BANK S/A</t>
  </si>
  <si>
    <t>PARIKSHIT AGARWAL</t>
  </si>
  <si>
    <t>RAFAEL PIROLO MADI</t>
  </si>
  <si>
    <t>SQUAREPOINT ATLAS TRADING LLC</t>
  </si>
  <si>
    <t>LUIZ BEATRICE</t>
  </si>
  <si>
    <t>FREDERIC BROWN</t>
  </si>
  <si>
    <t>KUMAR ABHIJEET</t>
  </si>
  <si>
    <t>SAFRA ASSET CORRETORA DE TITULOS E VALORES MOBILIARIOS S.A.</t>
  </si>
  <si>
    <t>LUIS M MOREIRA DA COSTA</t>
  </si>
  <si>
    <t>ABLANCO</t>
  </si>
  <si>
    <t>THEOPHILONETO</t>
  </si>
  <si>
    <t>ASSET1 INVESTIMENTOS S.A.</t>
  </si>
  <si>
    <t>GLADIUS FIF MULTIMERCADO CREDITO PRIVADO IE</t>
  </si>
  <si>
    <t>MORADA CAPITAL LTDA</t>
  </si>
  <si>
    <t>ALEX BRUNO GONÇALVES</t>
  </si>
  <si>
    <t>RODRIGO MINEIRO DA COSTA</t>
  </si>
  <si>
    <t>UBS AG, LONDON BRANCH NOVO</t>
  </si>
  <si>
    <t>SURYA TRIPATHI</t>
  </si>
  <si>
    <t>MARCELO DREYER</t>
  </si>
  <si>
    <t>OURIBANK S.A. BANCO MULTIPLO</t>
  </si>
  <si>
    <t>DANIEL VITOR SALOMÃO</t>
  </si>
  <si>
    <t>HENRIQUE JOSE NOGUEIRA ROSSI</t>
  </si>
  <si>
    <t>GUILHERME SOARES DO NASCIMENTO</t>
  </si>
  <si>
    <t>VEREDAS FUNDO DE INVESTIMENTO MULTIMERCADO CRÉDITO PRIVADO</t>
  </si>
  <si>
    <t>FREDERICO MASSOTE T ALVES</t>
  </si>
  <si>
    <t>RODRIGO FERNANDEZ</t>
  </si>
  <si>
    <t>LUAN HUBNER</t>
  </si>
  <si>
    <t>ISABELA PAIVA RITZMANN</t>
  </si>
  <si>
    <t>BLUEWAY TRADING IMPORTAÇÃO E EXPORTAÇÃO S/A</t>
  </si>
  <si>
    <t>FABIOLA VARGAS</t>
  </si>
  <si>
    <t>AANDRADE</t>
  </si>
  <si>
    <t>FABIANO RIOS</t>
  </si>
  <si>
    <t>VINICIUS LOUCENCO DE OLIVEIRA</t>
  </si>
  <si>
    <t>CLARA STANZANI KLAPKA</t>
  </si>
  <si>
    <t>BRAM - BRADESCO ASSET MANAGEMENT S/A DTVM</t>
  </si>
  <si>
    <t>CONCORDIA GESTAO DE RECURSOS LTDA</t>
  </si>
  <si>
    <t>RROSA</t>
  </si>
  <si>
    <t>LCALOBA</t>
  </si>
  <si>
    <t>JOAO VICTOR GAVAZZA</t>
  </si>
  <si>
    <t>IGOR PERRUPATO MATTAR</t>
  </si>
  <si>
    <t>MARCIO ALBUQUERQUE</t>
  </si>
  <si>
    <t>VITOR BITTAR NUSSIO</t>
  </si>
  <si>
    <t>ANDRE LAWSON PEDRAL SAMPAIO</t>
  </si>
  <si>
    <t>BMARQUES</t>
  </si>
  <si>
    <t>RAFAEL FONSECA</t>
  </si>
  <si>
    <t>MRIGO</t>
  </si>
  <si>
    <t>PVASCONCELLOS</t>
  </si>
  <si>
    <t>IGOR CHIASSO MARQUES</t>
  </si>
  <si>
    <t>MARCEL SHIGUERU YAGUI</t>
  </si>
  <si>
    <t>GSLIMA</t>
  </si>
  <si>
    <t>RAFAEL MURBACK JORGE</t>
  </si>
  <si>
    <t>VINICIUS COLETTO</t>
  </si>
  <si>
    <t>RAPHAEL ALOE DE MACEDO</t>
  </si>
  <si>
    <t>MBERNARDO</t>
  </si>
  <si>
    <t>LUCAS BALADI CHOHFI</t>
  </si>
  <si>
    <t>BRUNO BIAGI MARCONDES_ASSET</t>
  </si>
  <si>
    <t>TOMAS TRUZZI</t>
  </si>
  <si>
    <t>RICARDO FIGUEIROA CATTARUZZI</t>
  </si>
  <si>
    <t>BRAIN PRÉ FIXADO FI FINANCEIRO CI RF CRED PRIV RL</t>
  </si>
  <si>
    <t>PEDRO SOARES DE SOUZA</t>
  </si>
  <si>
    <t>BANCO C6 S/A</t>
  </si>
  <si>
    <t>PEDRO DE FIGUEIREDO DORLHIAC</t>
  </si>
  <si>
    <t>RUOCOM</t>
  </si>
  <si>
    <t>ITAU UNIBANCO ASSET - OPTIMUS</t>
  </si>
  <si>
    <t>JOAO VITOR ARAUJO LUCENA</t>
  </si>
  <si>
    <t>BRUNO.GUEDES@BTGPACTUAL.COM</t>
  </si>
  <si>
    <t>LUIZ HENRIQUE SANTOS</t>
  </si>
  <si>
    <t>BR PARTNERS BANCO DE INVESTIMENTOS S/A</t>
  </si>
  <si>
    <t>RICARDO.CAIXETA@BTGPACTUAL.COM</t>
  </si>
  <si>
    <t>BANCO ABN AMRO CLEARING S.A.</t>
  </si>
  <si>
    <t>BANCO ABN AMRO S/A</t>
  </si>
  <si>
    <t>VIVIANE GONZALEZ UGEDA</t>
  </si>
  <si>
    <t>BSCHIAVINATO</t>
  </si>
  <si>
    <t>YFONTES</t>
  </si>
  <si>
    <t>DANIEL-C.MOTTA@BTGPACTUAL.COM</t>
  </si>
  <si>
    <t>THIAGO GUTEMBERG S DA ROCHA</t>
  </si>
  <si>
    <t>VINICIUS LOURENÇO DE OLIVEIRA</t>
  </si>
  <si>
    <t>RICARDO PEREIRA CAIXETA</t>
  </si>
  <si>
    <t>MICHEL VICTOR CARDOSO SA</t>
  </si>
  <si>
    <t>ROBERIO SOARES NUNES</t>
  </si>
  <si>
    <t>ODILON SWAN DE BEAUCLAIR</t>
  </si>
  <si>
    <t>RODRIGO HERNANDES RUIZ</t>
  </si>
  <si>
    <t>RUSSOV</t>
  </si>
  <si>
    <t>MARCO ANTONIO SOUZA CARVALHO</t>
  </si>
  <si>
    <t>PAULO DIEGO CETIN</t>
  </si>
  <si>
    <t>JLOBO</t>
  </si>
  <si>
    <t>LBASQUEIRA</t>
  </si>
  <si>
    <t>LMACEDO</t>
  </si>
  <si>
    <t>MMARQUES</t>
  </si>
  <si>
    <t>MATHEUS ANCONA</t>
  </si>
  <si>
    <t>GABRIEL DINI PECOLI</t>
  </si>
  <si>
    <t>THIAGO BARBOSA</t>
  </si>
  <si>
    <t>FTASCHETTO</t>
  </si>
  <si>
    <t>REACH CAPITAL INVESTIMENTOS LTDA</t>
  </si>
  <si>
    <t>LEANDRO M NASCIMENTO</t>
  </si>
  <si>
    <t>IBIUNA MACRO GESTÃO DE RECURSOS LTDA</t>
  </si>
  <si>
    <t>RCATTARUZZI</t>
  </si>
  <si>
    <t>EDUARDO DE FREITAS CAMPOS</t>
  </si>
  <si>
    <t>NU FINANCEIRA SA - SOCIEDADE DE CRÉDITO, FIN E INVESTIMENTO</t>
  </si>
  <si>
    <t>MARCO ANTONIO CARVALHO</t>
  </si>
  <si>
    <t>RUY LOPES FILHO</t>
  </si>
  <si>
    <t>BRUNNO KARPFENSTEIN NEVES</t>
  </si>
  <si>
    <t>MURILO LEITE DE OLIVEIRA</t>
  </si>
  <si>
    <t>FUNGER</t>
  </si>
  <si>
    <t>MATHEUS AUGUSTO PINTO</t>
  </si>
  <si>
    <t>GUSTAVO PORTO FLORIDO</t>
  </si>
  <si>
    <t>PAULO DE MACEDO SAMPAIO</t>
  </si>
  <si>
    <t>AETHER3</t>
  </si>
  <si>
    <t>PATRIA INVESTIMENTOS LTDA</t>
  </si>
  <si>
    <t>RICARDO BERNSTEIN</t>
  </si>
  <si>
    <t>RUTE PINHEIRO</t>
  </si>
  <si>
    <t>SANTANDER DISTRIBUIDORA DE TITULOS E VALORES MOBILIARIOS S/A</t>
  </si>
  <si>
    <t>THIAGOOORTMAN</t>
  </si>
  <si>
    <t>MCG FUNDO DE INVESTIMENTO FINANCEIRO MULTIMERCADO</t>
  </si>
  <si>
    <t>IVAN.KRAISER@GARININVESTIMENTOS.COM.BR</t>
  </si>
  <si>
    <t>BB GESTAO DE RECURSOS DTVM SA</t>
  </si>
  <si>
    <t>RT_F2398729</t>
  </si>
  <si>
    <t>DANIELLE FONTES</t>
  </si>
  <si>
    <t>PRAGMA GESTAO DE PATRIMONIO LTDA</t>
  </si>
  <si>
    <t>SFA INVESTIMENTOS LTDA</t>
  </si>
  <si>
    <t>CIRO ALIPERTI NETO</t>
  </si>
  <si>
    <t>RBRASIL</t>
  </si>
  <si>
    <t>WILLIAM.LEITE@PATRIA.COM</t>
  </si>
  <si>
    <t>LUCAS FAIA VASCONCELOS RAMOS</t>
  </si>
  <si>
    <t>RT_F6365525</t>
  </si>
  <si>
    <t>ALRODRIGUES</t>
  </si>
  <si>
    <t>DANIEL ZELV FREUND</t>
  </si>
  <si>
    <t>EBALBINO</t>
  </si>
  <si>
    <t>ADEMILSON CALVACANTI</t>
  </si>
  <si>
    <t>LFIUZA</t>
  </si>
  <si>
    <t>DANIEL COSTA</t>
  </si>
  <si>
    <t>VINICIUS OLIVEIRA A SANTOS</t>
  </si>
  <si>
    <t>JPMORGAN CHASE BANK NATIONAL ASS BANCO J.P. MORGA S.A</t>
  </si>
  <si>
    <t>BANCO SANTANDER S.A. LONDON BRANCH</t>
  </si>
  <si>
    <t>ANDRE CAPELLI FERREIRA</t>
  </si>
  <si>
    <t>FELIPE UNGER PIRES DA SILVA</t>
  </si>
  <si>
    <t>MBARRETO</t>
  </si>
  <si>
    <t>RODRIGO DE TOLEDO PEREIRA</t>
  </si>
  <si>
    <t>RALPH UZZAN</t>
  </si>
  <si>
    <t>RAFAEL FERNANDES AYRES FONSECA</t>
  </si>
  <si>
    <t>FERNANDA TOLAINI GOMES PEREIRA</t>
  </si>
  <si>
    <t>STEPHAN COOREMA N BARBOSA</t>
  </si>
  <si>
    <t>SOUZAPED</t>
  </si>
  <si>
    <t>BARCLAYS BANK PLC</t>
  </si>
  <si>
    <t>VIHUANG</t>
  </si>
  <si>
    <t>PNUNES</t>
  </si>
  <si>
    <t>ITAU UNIBANCO ASSET - HUNTER</t>
  </si>
  <si>
    <t>FELIPE VENTURI P DE ABREU</t>
  </si>
  <si>
    <t>RT_F3868576</t>
  </si>
  <si>
    <t>MACQUARIE BANK LIMITED</t>
  </si>
  <si>
    <t>EDUARDO GRECO GODOY SANTOS</t>
  </si>
  <si>
    <t>ANDRE NEUMAYER</t>
  </si>
  <si>
    <t>WILEITE</t>
  </si>
  <si>
    <t>CESAR KENZO NAKAGAWA KIMURA</t>
  </si>
  <si>
    <t>WILLY MOON CHO</t>
  </si>
  <si>
    <t>VINICIUS FERREIRA</t>
  </si>
  <si>
    <t>BERNARDO BARROSO GATTASS</t>
  </si>
  <si>
    <t>STEFANO HIDEO CATTANEO</t>
  </si>
  <si>
    <t>YURI AZEVEDO PINTO DOS REIS</t>
  </si>
  <si>
    <t>GUSTAVO T NISHIDA</t>
  </si>
  <si>
    <t>THIAGO GUTEMBERG</t>
  </si>
  <si>
    <t>MARCO RIGO</t>
  </si>
  <si>
    <t>HELOISE CARRER</t>
  </si>
  <si>
    <t>FERNANDO JUNQUEIRA A BURATTO</t>
  </si>
  <si>
    <t>RAPHAEL SANCHES DA C BARBOSA</t>
  </si>
  <si>
    <t>ANDRÉ PEREIRA DE SOUZA RADUAN</t>
  </si>
  <si>
    <t>CIBRIUS IMOB CLASSE DE INVESTIMENTO MULTIMERCADO CP RL</t>
  </si>
  <si>
    <t>CIBRIUS - INSTITUTO DE PREVIDENCIA COMPLEMENTAR</t>
  </si>
  <si>
    <t>JOSÉ CARLOS ALVES GRANGEIRO</t>
  </si>
  <si>
    <t>TDBLASI</t>
  </si>
  <si>
    <t>VINICIUS RIBEIRO</t>
  </si>
  <si>
    <t>ASILVA</t>
  </si>
  <si>
    <t>RIO BRAVO RENDA CORPORATIVA FII RL</t>
  </si>
  <si>
    <t>ANDERSON ANTONIO PEREIRA</t>
  </si>
  <si>
    <t>IGOR LEONARDO R O ZAHAN KLOOS</t>
  </si>
  <si>
    <t>JOÃO PEDRO PONCE DE LEON</t>
  </si>
  <si>
    <t>JOAO GABRIEL B MAGNER</t>
  </si>
  <si>
    <t>TIBURON FIF CLASSE DE INVESTIMENTO MULTIMERCADO CP RL</t>
  </si>
  <si>
    <t>ANDMAMED</t>
  </si>
  <si>
    <t>ALEXANDRE CALDAS DA CUNHA</t>
  </si>
  <si>
    <t>CARLOS ROBERTO FERRARI JR</t>
  </si>
  <si>
    <t>KONA FIM CP IE</t>
  </si>
  <si>
    <t>PEDRO PIZZANI JULIÃO</t>
  </si>
  <si>
    <t>SMACULAN</t>
  </si>
  <si>
    <t>FFURTADO</t>
  </si>
  <si>
    <t>PEDRO PEREIRA</t>
  </si>
  <si>
    <t>EDUAATS</t>
  </si>
  <si>
    <t>THIAGO BORGES B GURGEL CARMO</t>
  </si>
  <si>
    <t>BRADESCO PIONEIRO FI FINANCEIRO CI MULT CRED PRIV RL</t>
  </si>
  <si>
    <t>ALESSANDRO DEL DRAGO</t>
  </si>
  <si>
    <t>MARCIO DOUGLAS DE OLIVEIRA</t>
  </si>
  <si>
    <t>MAURICIO JUNCA BERNARDO</t>
  </si>
  <si>
    <t>VISTA CAPITAL GESTORA DE RECURSOS LTDA</t>
  </si>
  <si>
    <t>JOSE CARLOS DOS SANTOS VALENTE</t>
  </si>
  <si>
    <t>RAFAEL HESSE</t>
  </si>
  <si>
    <t>AKANKARIA</t>
  </si>
  <si>
    <t>DANIEL POSSIDONIO</t>
  </si>
  <si>
    <t>MARIANA AMARAL NEVES</t>
  </si>
  <si>
    <t>IGOR CESAR PALMISCIANO ALMEIDA</t>
  </si>
  <si>
    <t>DGALVAO</t>
  </si>
  <si>
    <t>LOGOS GESTAO DE RECURSOS LTDA.</t>
  </si>
  <si>
    <t>TRACK CAPITAL GESTAO DE RECURSOS LTDA</t>
  </si>
  <si>
    <t>JULSAMPAIO</t>
  </si>
  <si>
    <t>RPISTELLI</t>
  </si>
  <si>
    <t>SEBASTIEN MACULAN</t>
  </si>
  <si>
    <t>DMACARI</t>
  </si>
  <si>
    <t>GABRIEL PIMENTA MARTINS</t>
  </si>
  <si>
    <t>BRUNO ACETOZE SCHIAVINATO</t>
  </si>
  <si>
    <t>FELIPE.BEDIAGA@BTGPACTUAL.COM</t>
  </si>
  <si>
    <t>TRING</t>
  </si>
  <si>
    <t>ABAUM</t>
  </si>
  <si>
    <t>RUAN FERNANDES MACEDO DE ASSIS</t>
  </si>
  <si>
    <t>GABRIEL SELIM ELKODSI</t>
  </si>
  <si>
    <t>FSCARPA</t>
  </si>
  <si>
    <t>DANIEL NAMAN CARDOSO</t>
  </si>
  <si>
    <t>RAUL LESSA</t>
  </si>
  <si>
    <t>RALPH HAI UZZAN</t>
  </si>
  <si>
    <t>BNP PARIBAS EQD BRAZIL FUND CLASSE DE INVESTIMENTO MULTI CP</t>
  </si>
  <si>
    <t>MATHEUS MENDES DE OLIVEIRA</t>
  </si>
  <si>
    <t>LEANDRO SALEMI</t>
  </si>
  <si>
    <t>GILBERTO KFOURI JR</t>
  </si>
  <si>
    <t>RAFAEL ASSED DE CARVALHO</t>
  </si>
  <si>
    <t>INTER ASSET GESTAO DE RECURSOS LTDA</t>
  </si>
  <si>
    <t>IAN DANIEL LUIZ ALTINO DE LIMA</t>
  </si>
  <si>
    <t>RODOLFO RIBEIRO CORREA</t>
  </si>
  <si>
    <t>LUCAS GRASSIA MOURA</t>
  </si>
  <si>
    <t>JOAO MICHEL IL KHOURI</t>
  </si>
  <si>
    <t>ITAU CORRETORA DE VALORES S.A.</t>
  </si>
  <si>
    <t>ITAU CORRETORA DE VALORES S/A</t>
  </si>
  <si>
    <t>DFU</t>
  </si>
  <si>
    <t>FELIPE GUERRA</t>
  </si>
  <si>
    <t>ITAU UNIBANCO ASSET - LEGEND</t>
  </si>
  <si>
    <t>RT_F8711703</t>
  </si>
  <si>
    <t>RUBICON GLOBAL OPPORTUNITIES FIM CP IE</t>
  </si>
  <si>
    <t>LEANDRO S. F. F. LIMA</t>
  </si>
  <si>
    <t>DANIELA DE LIMA MACIEL LABLEUK</t>
  </si>
  <si>
    <t>GABRIEL ROSOLEM DE VASSIMON</t>
  </si>
  <si>
    <t>MARCELO ROCHA MACHADO</t>
  </si>
  <si>
    <t>ANA FLAVIA SOARES</t>
  </si>
  <si>
    <t>EDUARDO BERNARDES BRESSAN</t>
  </si>
  <si>
    <t>FABIO AUGUSTO BERNARDI NASSAR</t>
  </si>
  <si>
    <t>MARCELO REIS DREYER DE SOUZA</t>
  </si>
  <si>
    <t>PARAGON CAPITAL LTDA</t>
  </si>
  <si>
    <t>EDUARDO PIRES BACZYNSKI</t>
  </si>
  <si>
    <t>RAUL MOYSES NETO</t>
  </si>
  <si>
    <t>GABRIEL NASCIMENTO</t>
  </si>
  <si>
    <t>LUCAS BARBOSA</t>
  </si>
  <si>
    <t>SQUAREPOINT MASTER TRADING LLC</t>
  </si>
  <si>
    <t>SQUAREPOINT TRADING LLC</t>
  </si>
  <si>
    <t>ANDREW KOE</t>
  </si>
  <si>
    <t>CAIXA DISTRIBUIDORA DE TITULOS E VALORES MOBILIARIOS S/A</t>
  </si>
  <si>
    <t>RODRIGO CANDIDO</t>
  </si>
  <si>
    <t>LEANDRO CARDOSO OLEGARIO</t>
  </si>
  <si>
    <t>BRM CARBYNE GESTAO DE RECURSOS SA</t>
  </si>
  <si>
    <t>SILVAB@CARBYNEINVESTIMENTOS.COM</t>
  </si>
  <si>
    <t>ERISON RODRIGUES DE SOUZA</t>
  </si>
  <si>
    <t>ITAU UNIBANCO ASSET - GLOB DINA</t>
  </si>
  <si>
    <t>LEONARDO ERICK MULLER</t>
  </si>
  <si>
    <t>DANIEL CASTRO D DA SILVA</t>
  </si>
  <si>
    <t>ALPHAKEY CAPITAL MANAGEMENT INVESTIMENTOS LTDA</t>
  </si>
  <si>
    <t>ARSOARES</t>
  </si>
  <si>
    <t>SPRINGS CAPITAL LTDA</t>
  </si>
  <si>
    <t>MATHEUS.EFRAIN@SPRINGSCAPITAL.COM.BR</t>
  </si>
  <si>
    <t>ALCHAVEZ</t>
  </si>
  <si>
    <t>ARTHUR BARATA BRAGA</t>
  </si>
  <si>
    <t>PEDRO ALVES LIMA DOS SANTOS</t>
  </si>
  <si>
    <t>KRISTOPHER K HOMEM M ROBINSON</t>
  </si>
  <si>
    <t>ROBSOM ALVARENGA LIMA</t>
  </si>
  <si>
    <t>THOMAZ MEDRADO BOTTO DE BARROS</t>
  </si>
  <si>
    <t>FERNANDO RODRIGUES_ASSET</t>
  </si>
  <si>
    <t>WAGNER AKIO SHIMADA KAJIYA</t>
  </si>
  <si>
    <t>FILIPE LEONARDO S. FERREIRA</t>
  </si>
  <si>
    <t>LUIGI CAVALCANTI DEL TEDESCO</t>
  </si>
  <si>
    <t>FELIPE RUND</t>
  </si>
  <si>
    <t>JOAO VITOR NICOLETI</t>
  </si>
  <si>
    <t>NINA MYERS</t>
  </si>
  <si>
    <t>SERGIO.ALMEIDA@BTGPACTUAL.COM</t>
  </si>
  <si>
    <t>RT_F1693433</t>
  </si>
  <si>
    <t>RENATO THEODORO_16276</t>
  </si>
  <si>
    <t>VIBELMIRO</t>
  </si>
  <si>
    <t>DIEGO ARAUJO AZAMBUJA</t>
  </si>
  <si>
    <t>LUCAS PRADO DOS ANJOS</t>
  </si>
  <si>
    <t>STEFANO D AURIA POLITI</t>
  </si>
  <si>
    <t>BRUNO YOKOYA KUBA</t>
  </si>
  <si>
    <t>FABIO NASSAR</t>
  </si>
  <si>
    <t>PEDRO RIBEIRO CARVALHAES</t>
  </si>
  <si>
    <t>MARIO RUOCO</t>
  </si>
  <si>
    <t>VINCI SOLUÇÕES DE INVESTIMENTOS LTDA</t>
  </si>
  <si>
    <t>RENAN REIMERMENDT</t>
  </si>
  <si>
    <t>PEDRO DREUX</t>
  </si>
  <si>
    <t>THIAGO SHIONADA TORQUATO</t>
  </si>
  <si>
    <t>MARCUS VINICIUS MELLO BRAGANÇA</t>
  </si>
  <si>
    <t>THIAGO C. LEONARDO</t>
  </si>
  <si>
    <t>SERGIO LUIZ DA SILVA</t>
  </si>
  <si>
    <t>GABRIEL P BAPTISTELA_16721</t>
  </si>
  <si>
    <t>DANIEL BARBOSA VAZ</t>
  </si>
  <si>
    <t>PRISCILA ZANOTTI KAWABATA</t>
  </si>
  <si>
    <t>BFISCHER</t>
  </si>
  <si>
    <t>ALINE MACEDO FIGUEIREDO</t>
  </si>
  <si>
    <t>GUILHERME BARAN ALVES DO CABO</t>
  </si>
  <si>
    <t>ENZO CHIEZA DUMMER</t>
  </si>
  <si>
    <t>JOAO DE SIQUEIRA BARONE</t>
  </si>
  <si>
    <t>FREDERICO HUFNAGEL LEE</t>
  </si>
  <si>
    <t>FABDANTAS</t>
  </si>
  <si>
    <t>LUAN DE SOUZA VALENTE</t>
  </si>
  <si>
    <t>ALESSANDRO STECCA ORTENBLAD</t>
  </si>
  <si>
    <t>FERNANDO PEROBELLI</t>
  </si>
  <si>
    <t>VITOR DUTRA DE ANGELIS</t>
  </si>
  <si>
    <t>ISAAC DARWICHE</t>
  </si>
  <si>
    <t>ANDRE CORREA YOSHIKAWA</t>
  </si>
  <si>
    <t>PEDRO HENRIQUE DOS SANTOS</t>
  </si>
  <si>
    <t>GALLOWAY LATAM BONDS BRL FIM CP IE</t>
  </si>
  <si>
    <t>GALLOWAY CAPITAL GESTORA DE RECURSOS LTDA.</t>
  </si>
  <si>
    <t>JPLEON</t>
  </si>
  <si>
    <t>ABSOLUTE INVESTIMENTOS (MAURICIO PATINI)</t>
  </si>
  <si>
    <t>DSARAIVA</t>
  </si>
  <si>
    <t>LUCIANO LIPPI</t>
  </si>
  <si>
    <t>UBS PROPRIO FIF MULTIMERCADO CREDITO PRIVADO</t>
  </si>
  <si>
    <t>BANCO DE INVESTIMENTOS UBS (BRASIL) S.A.</t>
  </si>
  <si>
    <t>MCRUZ</t>
  </si>
  <si>
    <t>GUILHERME ALI ABSALLAH BASSINI</t>
  </si>
  <si>
    <t>JOSE PEDRO BOMFIM B SANTOS</t>
  </si>
  <si>
    <t>RODRIGO TEIXEIRA LIVIANU</t>
  </si>
  <si>
    <t>ISABELLA ATAIDE</t>
  </si>
  <si>
    <t>RSPILBERG</t>
  </si>
  <si>
    <t>WAGNER GREGORIO</t>
  </si>
  <si>
    <t>CLOSING POSITION</t>
  </si>
  <si>
    <t>ELETROS ITAÚNA FUNDO DE INVESTIMENTO EM AÇÕES</t>
  </si>
  <si>
    <t>FUNDACAO ELETROBRAS DE SEGURIDADE SOCIAL ELETROS</t>
  </si>
  <si>
    <t>VINICIUS LOURENCO DE OLIVEIRA</t>
  </si>
  <si>
    <t>FELIPE GRIGOROVSKI</t>
  </si>
  <si>
    <t>RAPHAEL ANDRADE DIAS ARAUJO</t>
  </si>
  <si>
    <t>ZARABATANA FUNDO DE INVESTIMENTO FINANCEIRO MULT CP RL</t>
  </si>
  <si>
    <t>FRANKLIN TEMPLETON BRASIL LTDA</t>
  </si>
  <si>
    <t>DANIEL MARCONDES CAMPANINI</t>
  </si>
  <si>
    <t>ERIC SILVA NASCIMENTO</t>
  </si>
  <si>
    <t>JULIO CESAR KAIRALLA</t>
  </si>
  <si>
    <t>BSERRA</t>
  </si>
  <si>
    <t>RODRIGO CESAR DE CARVALHO</t>
  </si>
  <si>
    <t>ABEL RIBEIRO</t>
  </si>
  <si>
    <t>ANTONIO LUIZ TAQUECHEL ROCHA</t>
  </si>
  <si>
    <t>SUSQUEHANNA FINANCIAL GROUP LLLP</t>
  </si>
  <si>
    <t>JEFFREY ZHANG</t>
  </si>
  <si>
    <t>VICTOR KOPROWSKI L JACOB</t>
  </si>
  <si>
    <t>PEDRO NIGRO NOVELLO</t>
  </si>
  <si>
    <t>FELIPE MOTTA SABINO</t>
  </si>
  <si>
    <t>FEBE FUNDO DE INVESTIMENTO FINANCEIRO ACOES - RL</t>
  </si>
  <si>
    <t>RICARDO RETZ DE CARVALHO</t>
  </si>
  <si>
    <t>RICARDO DE CAMPOS</t>
  </si>
  <si>
    <t>ALFIO ALVES DA SILVA JUNIOR</t>
  </si>
  <si>
    <t>TRANSMARKET SINGULAR LLC</t>
  </si>
  <si>
    <t>PATRICK JIA</t>
  </si>
  <si>
    <t>SAMUEL VLADIMIR FERREIRA</t>
  </si>
  <si>
    <t>TRSANTOS</t>
  </si>
  <si>
    <t>FELIPE FRAGOSO PIRES ADÃO</t>
  </si>
  <si>
    <t>FERNANDO FURTADO DE OLIVEIRA</t>
  </si>
  <si>
    <t>RODOLFO LUIZ MOURA M FERRARI</t>
  </si>
  <si>
    <t>MARCO ANTONIO AZEVEDO</t>
  </si>
  <si>
    <t>MSCHMIDT</t>
  </si>
  <si>
    <t>EDUARDO YASUDA IRIE</t>
  </si>
  <si>
    <t>BRUNO STEPHANO MANFRIM HOSODA</t>
  </si>
  <si>
    <t>ALEC MACDONALD</t>
  </si>
  <si>
    <t>ANDRE LUCAS DA MATA CARLETTI</t>
  </si>
  <si>
    <t>CAIO VIANA DANTAS</t>
  </si>
  <si>
    <t>GEORGE MIYA WATANABE</t>
  </si>
  <si>
    <t>JOAO VITOR LUCENA</t>
  </si>
  <si>
    <t>THIAGO YUZO KADOBAYASHI</t>
  </si>
  <si>
    <t>TYUZO</t>
  </si>
  <si>
    <t>CAMENEZES</t>
  </si>
  <si>
    <t>GABRIEL LEITE B DA SILVA</t>
  </si>
  <si>
    <t>RAFAEL FELLIPO BAMBINO</t>
  </si>
  <si>
    <t>PAULO VITOR DINIZ FAZOLLI</t>
  </si>
  <si>
    <t>VINICIUS SANTOS</t>
  </si>
  <si>
    <t>RICARDO.BERNSTEIN@PATRIA.COM</t>
  </si>
  <si>
    <t>FUTURE LEGACY FUNDO DE INVESTIMENTO FINANCEIRO</t>
  </si>
  <si>
    <t>IVAN KRAISER</t>
  </si>
  <si>
    <t>MARIA BEATRIZ RODRIGUES</t>
  </si>
  <si>
    <t>DANIEL NAMAM CARDOSO</t>
  </si>
  <si>
    <t>TFURUKAWA</t>
  </si>
  <si>
    <t>BERNARDO OTTONI DE V SALGADO</t>
  </si>
  <si>
    <t>VICTOR HOSSNI R DO VALLE</t>
  </si>
  <si>
    <t>CDANTAS</t>
  </si>
  <si>
    <t>RFERRARI</t>
  </si>
  <si>
    <t>RENAN R G REIMERMENDT - ASSET</t>
  </si>
  <si>
    <t>MARCELLO SINISCALCHI</t>
  </si>
  <si>
    <t>RAFAEL GAMA</t>
  </si>
  <si>
    <t>RENAN RENIE G REIMERMENDT</t>
  </si>
  <si>
    <t>ANDRÉ FREIRE MAMED</t>
  </si>
  <si>
    <t>FELOPES</t>
  </si>
  <si>
    <t>APALMA</t>
  </si>
  <si>
    <t>MARCIO TAVARES BITENCOURT</t>
  </si>
  <si>
    <t>FUNDO DE INVESTIMENTO FINANCEIRO MULTIMERCADO LS</t>
  </si>
  <si>
    <t>APINHEIRO</t>
  </si>
  <si>
    <t>TFREIRE</t>
  </si>
  <si>
    <t>ELISSON ALBERTO TAVARES ARAUJO</t>
  </si>
  <si>
    <t>TARPON GESTORA DE RECURSOS LTDA</t>
  </si>
  <si>
    <t>MARTIM FRANCISCO ANDRADA</t>
  </si>
  <si>
    <t>PEDRO HENRIQUE ARAUJO NUNES</t>
  </si>
  <si>
    <t>JOAO GOMES SOMMER</t>
  </si>
  <si>
    <t>LARISSA BATISTA GARCEZ</t>
  </si>
  <si>
    <t>RICHARD BESSA DYRGALLA</t>
  </si>
  <si>
    <t>JOAO PEDRO RABAIOLI RAMA</t>
  </si>
  <si>
    <t>IGOR GRIFO RIBEIRO</t>
  </si>
  <si>
    <t>ARTHUR MESSER</t>
  </si>
  <si>
    <t>ANDRE GARCIA NEUMAYER</t>
  </si>
  <si>
    <t>FELIPE  P GUERRA DE CARVALHO</t>
  </si>
  <si>
    <t>PEDRO CADENA</t>
  </si>
  <si>
    <t>PABLO SALGADO</t>
  </si>
  <si>
    <t>SERGIO CRUZ DE ALMEIDA</t>
  </si>
  <si>
    <t>BTG PACTUAL US CAPITAL LLC</t>
  </si>
  <si>
    <t>PACT_BGC</t>
  </si>
  <si>
    <t>BOTELHOR@APEXPARTNERS.COM.BR</t>
  </si>
  <si>
    <t>ANDRE MAMED</t>
  </si>
  <si>
    <t>RAPHAELA MATTOS GONZALES SPILB</t>
  </si>
  <si>
    <t>BRUNO CARDOSO</t>
  </si>
  <si>
    <t>DSTRUZBERG</t>
  </si>
  <si>
    <t>MATEUS ARAUJO</t>
  </si>
  <si>
    <t>CENTRUS -FUNDAÇÃO BANCO CENTRAL DE PREVIDENCIA PRIVADA</t>
  </si>
  <si>
    <t>DIEGO DE SOUZA MARQUES</t>
  </si>
  <si>
    <t>MAURICIO PIESCO</t>
  </si>
  <si>
    <t>JOACHIM STIG CEDERGREN</t>
  </si>
  <si>
    <t>BRUNO MARTINS</t>
  </si>
  <si>
    <t>DOUG FARMER</t>
  </si>
  <si>
    <t>CLAUDIO TAKESHI FUJISHIGE</t>
  </si>
  <si>
    <t>CAIXA CVP GESTÃO ATIVA FIM CP</t>
  </si>
  <si>
    <t>CAIXA VIDA E PREVIDÊNCIA S/A</t>
  </si>
  <si>
    <t>LUCAS BALDONI BASSIANO</t>
  </si>
  <si>
    <t>NU CRYPTO LTDA.</t>
  </si>
  <si>
    <t>MORE LEVERAGE FUNDO DE INVESTIMENTO FINANCEIRO EM AÇÕES</t>
  </si>
  <si>
    <t>MAKSIM HRISTOV MURTAZOV</t>
  </si>
  <si>
    <t>MATTEDI</t>
  </si>
  <si>
    <t>CAIO GOMES DE MENEZES</t>
  </si>
  <si>
    <t>ANDRE CORREA YOSHIKAWA - TES</t>
  </si>
  <si>
    <t>DANIEL VITOR N SALOMÃO</t>
  </si>
  <si>
    <t>ELLIS MURLEY-BREEN</t>
  </si>
  <si>
    <t>LUIGI TEDESCO</t>
  </si>
  <si>
    <t>YARDS JUROS E MOEDAS FIF MM - RL</t>
  </si>
  <si>
    <t>YARDS ASSET GESTAO DE RECURSOS LTDA</t>
  </si>
  <si>
    <t>RENATO MAGALHAES DAVID</t>
  </si>
  <si>
    <t>JEAN SAYEGH</t>
  </si>
  <si>
    <t>ANDREW ANTHONY SCHUCH - ASSET</t>
  </si>
  <si>
    <t>RAFAEL MELO DE CAMPOS</t>
  </si>
  <si>
    <t>ANA FLAVIA SOARES DOS SANTOS</t>
  </si>
  <si>
    <t>BRENO MARCHETTI FORTUNA</t>
  </si>
  <si>
    <t>AUGUSTO LANGE VIEIRA</t>
  </si>
  <si>
    <t>YURI DE OLIVEIRA BIALOSKORSKI</t>
  </si>
  <si>
    <t>ROBERTO GARCIA MESTANZA</t>
  </si>
  <si>
    <t>JOAO STUDNITZ</t>
  </si>
  <si>
    <t>LINK-MARCELLO C. M. DE BARROS</t>
  </si>
  <si>
    <t>FQUEIROZ</t>
  </si>
  <si>
    <t>MARCIO D DE O MATIAS FILHO TES</t>
  </si>
  <si>
    <t>JAMES ANDERSON CUNHA</t>
  </si>
  <si>
    <t>MORE</t>
  </si>
  <si>
    <t>DIOGO SCUTA FAGLIARI</t>
  </si>
  <si>
    <t>GUILHERME EDUARDO SEGREDO</t>
  </si>
  <si>
    <t>BRUNO FORESTI</t>
  </si>
  <si>
    <t>ITAU UNIBANCO ASSET - HIGH   ALPHA</t>
  </si>
  <si>
    <t>MARIANA ALVAREZ GUARINO DREUX</t>
  </si>
  <si>
    <t>BERNARDO BARROSO GATTAS</t>
  </si>
  <si>
    <t>GUSTAVO.NASCIMENTO@BRAZABANK.COM.BR</t>
  </si>
  <si>
    <t>BPEROTTONI</t>
  </si>
  <si>
    <t>LEO.VAINZOF@BTGPACTUAL.COM</t>
  </si>
  <si>
    <t>VINICIUS SILVA DINIZ</t>
  </si>
  <si>
    <t>LUCAS WEBER DE CARVALHO</t>
  </si>
  <si>
    <t>LUIZ GUSTAVO C FURLANI</t>
  </si>
  <si>
    <t>BRUNO@BRAZABANK.COM.BR</t>
  </si>
  <si>
    <t>ARTUR MARAMBAIA DE SOUZA SANTA</t>
  </si>
  <si>
    <t>GUILHERME MAZZILLI PEREIRA</t>
  </si>
  <si>
    <t>DDAMASIO</t>
  </si>
  <si>
    <t>KAIO ALMEIDA KUDSI SARTORI C</t>
  </si>
  <si>
    <t>PICPAY BANK BANCO MULTIPLO S/A</t>
  </si>
  <si>
    <t>THIAGO CALLEGARI DE SOUZA</t>
  </si>
  <si>
    <t>ALAN JONES THOMAZ</t>
  </si>
  <si>
    <t>DANIEL ZANIN DELAGO - TES</t>
  </si>
  <si>
    <t>DEBORAH ZILBERMAN MACRET</t>
  </si>
  <si>
    <t>DAVID LANFRANQUI JÚNIOR</t>
  </si>
  <si>
    <t>LTRECHAU</t>
  </si>
  <si>
    <t>RIZA GESTORA DE RECURSOS LTDA.</t>
  </si>
  <si>
    <t>RIZA GESTORA DE RECURSOS LTDA</t>
  </si>
  <si>
    <t>GEORGE HSU DE A. MAIS</t>
  </si>
  <si>
    <t>RGAZE</t>
  </si>
  <si>
    <t>RT_F4497779</t>
  </si>
  <si>
    <t>MARIO AUGUSTO FIGUEIRA MURO</t>
  </si>
  <si>
    <t>GUSTAVO JORIO BROTTO</t>
  </si>
  <si>
    <t>PECOLI</t>
  </si>
  <si>
    <t>RICARDO DA CRUZ GOUVEIA VIEIRA</t>
  </si>
  <si>
    <t>ELETROS ACOES FUNDO DE INVESTIMENTO EM COTAS DE FIA</t>
  </si>
  <si>
    <t>LUIZ GUILHERME DE FRANÇA NOBRE</t>
  </si>
  <si>
    <t>GWATANABE</t>
  </si>
  <si>
    <t>KAPITALO ZETA MERIDIA MASTER FIF MULT</t>
  </si>
  <si>
    <t>BRUNO FERNANDEZ BORSOS</t>
  </si>
  <si>
    <t>GABRIEL TUBINO ROOS</t>
  </si>
  <si>
    <t>ATILA BRANDAO DE ARAUJO</t>
  </si>
  <si>
    <t>RODRIGO AZEVEDO</t>
  </si>
  <si>
    <t>JULIO PEREIRA DE MELO</t>
  </si>
  <si>
    <t>RODRIGO RIBEIRO DE SOUZA CRUZ</t>
  </si>
  <si>
    <t>MARCOS TADEU GOMES</t>
  </si>
  <si>
    <t>VICENTE MELLO</t>
  </si>
  <si>
    <t>IVAN MEDINA</t>
  </si>
  <si>
    <t>RODRIGO MAGALHAES MACEDO PAIM</t>
  </si>
  <si>
    <t>VICTOR HOSSNI RIBEIRO DO VALLE</t>
  </si>
  <si>
    <t>IVAN DUMIT DA JUSTA MORAES</t>
  </si>
  <si>
    <t>RNASCIMENTO</t>
  </si>
  <si>
    <t>RAFAEL FERNANDES A FONSECA</t>
  </si>
  <si>
    <t>THIAGO TAVARES LEMOS</t>
  </si>
  <si>
    <t>GABRIELA MOLINA FEUER</t>
  </si>
  <si>
    <t>SCHONFELD IR MASTER FUND PTE. LTD.</t>
  </si>
  <si>
    <t>SCHONFELD STRATEGIC ADVISORS BRAZIL LTDA.</t>
  </si>
  <si>
    <t>VICTOR K LULIA JACOB</t>
  </si>
  <si>
    <t>ANDRE LAPORT</t>
  </si>
  <si>
    <t>CAETANO RUFINO</t>
  </si>
  <si>
    <t>JOAO PAULO GOIS SPECK</t>
  </si>
  <si>
    <t>UBS BRASIL ADMINISTRADORA DE VALORES MOBILIARIOS LTDA</t>
  </si>
  <si>
    <t>ANDRE BANNWART</t>
  </si>
  <si>
    <t>REGINALDO LIMA</t>
  </si>
  <si>
    <t>RAFAEL PIROLO MADI_32623</t>
  </si>
  <si>
    <t>IGOR BRUNO DE SOUZA C FREITAS</t>
  </si>
  <si>
    <t>LUDMILA DINIZ TRECHAU</t>
  </si>
  <si>
    <t>ISABELLA ATAIDE_33472</t>
  </si>
  <si>
    <t>LUIZ SOARES DE R NETO_ASSET</t>
  </si>
  <si>
    <t>RODOLFO CAVALHEIRO</t>
  </si>
  <si>
    <t>TOBAJAA</t>
  </si>
  <si>
    <t>PEDRO ALVES</t>
  </si>
  <si>
    <t>LUCAS CARVALHO CARRASCO</t>
  </si>
  <si>
    <t>ANGUIMARAES</t>
  </si>
  <si>
    <t>DANIEL DE ARAUJO SANTAMARINHA</t>
  </si>
  <si>
    <t>JOAO MICHEL EL KHOURI JUNIOR</t>
  </si>
  <si>
    <t>LUIZ GUSTAVO LOUREIRO</t>
  </si>
  <si>
    <t>EDUARDO VALANDRO MOUTINHO</t>
  </si>
  <si>
    <t>SERGIO NASCIMENTO SILVA</t>
  </si>
  <si>
    <t>PEDRO ANTONIO SILVA REIS</t>
  </si>
  <si>
    <t>SAFRA DISTRIBUIDORA DE TITULOS E VALORES MOBILIARIOS LTDA.</t>
  </si>
  <si>
    <t>LUCAS MAGDALENA G FATORI_ASSET</t>
  </si>
  <si>
    <t>BRUNO PEREIRA GUEDES (BMF)</t>
  </si>
  <si>
    <t>RENATA CASSEB REIS RAMOS</t>
  </si>
  <si>
    <t>MATHEUS VIANA</t>
  </si>
  <si>
    <t>VINISA</t>
  </si>
  <si>
    <t>ANTONIO COUTINHO CORREA</t>
  </si>
  <si>
    <t>ALEXANDRO RICARDO MONTEIRO</t>
  </si>
  <si>
    <t>TIVIO CAPITAL DISTRIBUIDORA DE TITULOS E VALORES MOBILIARIOS</t>
  </si>
  <si>
    <t>MARCELO IDE</t>
  </si>
  <si>
    <t>ANDERSON COSTA SOARES SILVA</t>
  </si>
  <si>
    <t>FGOMES</t>
  </si>
  <si>
    <t>DFARM</t>
  </si>
  <si>
    <t>HENRIQUE DO VALLE GREPPE</t>
  </si>
  <si>
    <t>MILTON TEIXEIRA ROCHA JÚNIOR</t>
  </si>
  <si>
    <t>JUAZEREDO</t>
  </si>
  <si>
    <t>VINICIUS.CARVALHO@BTGPACTUAL.COM</t>
  </si>
  <si>
    <t>OTHMAN ZIZI</t>
  </si>
  <si>
    <t>LEONARDO BARROS MOTA</t>
  </si>
  <si>
    <t>THBORK</t>
  </si>
  <si>
    <t>RT_F3163469</t>
  </si>
  <si>
    <t>ROBERTO COSTA ELAIUY</t>
  </si>
  <si>
    <t>CONNEX GESTORA DE RECURSOS LTDA</t>
  </si>
  <si>
    <t>RAMIRO GABRIOTTI WEY</t>
  </si>
  <si>
    <t>RAFAEL PILNIK PORTELA</t>
  </si>
  <si>
    <t>DANIEL.SPILBERG@BTGPACTUAL.COM</t>
  </si>
  <si>
    <t>MSOUZA@RYOASSET.COM.BR</t>
  </si>
  <si>
    <t>BAHIA AM LTDA</t>
  </si>
  <si>
    <t>MOYSES DA SILVA P FERREIRA</t>
  </si>
  <si>
    <t>FILIPE L SALGADO FERREIRA</t>
  </si>
  <si>
    <t>VITOR HENRIQUE FERRO</t>
  </si>
  <si>
    <t>JAZZ CAPITAL LTDA (NOVA PERENNE)</t>
  </si>
  <si>
    <t>JOAO SOUZA FERNANDES</t>
  </si>
  <si>
    <t>WAGNER KAJIYA</t>
  </si>
  <si>
    <t>FELIPE BOZONI</t>
  </si>
  <si>
    <t>ALEXANDRE FAVARO</t>
  </si>
  <si>
    <t>VITOR THEOPHILO BARBARULO</t>
  </si>
  <si>
    <t>ANDRE LUIS PICOLO ZANONI</t>
  </si>
  <si>
    <t>JOÃO PEDRO ALVES</t>
  </si>
  <si>
    <t>ANUSHKA PODDAR</t>
  </si>
  <si>
    <t>MARCELO AUGUSTO C DA SILVEIRA</t>
  </si>
  <si>
    <t>LUCAS MONTEIRO BARBOSA</t>
  </si>
  <si>
    <t>SICREDI ASSET MANAGEMENT LTDA</t>
  </si>
  <si>
    <t>ANDRÉ DA ROCHA TRIERVEILER</t>
  </si>
  <si>
    <t>BERNARDO MARQUES DUARTE</t>
  </si>
  <si>
    <t>CARLOS DE G MASCARENHAS FILHO</t>
  </si>
  <si>
    <t>PSAMP</t>
  </si>
  <si>
    <t>MARCO BRIL</t>
  </si>
  <si>
    <t>FELIPE BEDIAGA OLIVEIRA (BMF)</t>
  </si>
  <si>
    <t>ISABELLA ATAIDE_44685</t>
  </si>
  <si>
    <t>CAIO.FONTES@BTGPACTUAL.COM</t>
  </si>
  <si>
    <t>ISABELLA ATAIDE_12431</t>
  </si>
  <si>
    <t>BERNARDO BARCELLO MACHADO</t>
  </si>
  <si>
    <t>ISABELLA ATAIDE_33830</t>
  </si>
  <si>
    <t>JOAO JABBOUR</t>
  </si>
  <si>
    <t>VICTOR EMANUEL SANTIAGO GOMES</t>
  </si>
  <si>
    <t>ALEXANDER DIMITRI STEPHANIDES</t>
  </si>
  <si>
    <t>LAURENT JEROME VACCA</t>
  </si>
  <si>
    <t>ELI ROMERO GONORETZKY</t>
  </si>
  <si>
    <t>GABRIEL YAZIGI CONTE BRAGA</t>
  </si>
  <si>
    <t>MARCIO GEORGETTI</t>
  </si>
  <si>
    <t>DIMITRI BERNARD</t>
  </si>
  <si>
    <t>RAFAEL DE CASTRO SALGADO</t>
  </si>
  <si>
    <t>IVAN JABUR ZEMELLA</t>
  </si>
  <si>
    <t>MB FUNDO DE INVESTIMENTO FINANCEIRO MULTIMERCADO</t>
  </si>
  <si>
    <t>JOSÉ PEDRO BOMFIM B SANTOS</t>
  </si>
  <si>
    <t>MORE RENDA FIXA ATIVO FI DE IF INFRAESTRUTA RENDA FIXA</t>
  </si>
  <si>
    <t>JOSÉ PEDRO BOMFIM BORGES SANTO</t>
  </si>
  <si>
    <t>THIAGO RIBEIRO SANTOS</t>
  </si>
  <si>
    <t>UGORITO</t>
  </si>
  <si>
    <t>RLIMA</t>
  </si>
  <si>
    <t>MAUGUSTO</t>
  </si>
  <si>
    <t>FPFQ SAIRA FIC DE FI MULTIMERCADO PREVIDENCIARIO</t>
  </si>
  <si>
    <t>FUNDACAO DE ASSISTENCIA E PREVIDENCIA SOCIAL DO BNDES FAPES</t>
  </si>
  <si>
    <t>ALEXANDRE DE TOLEDO VIEIRA</t>
  </si>
  <si>
    <t>FABIO BICHMACHER</t>
  </si>
  <si>
    <t>JMATOS</t>
  </si>
  <si>
    <t>THOMAS KALAWAY</t>
  </si>
  <si>
    <t>BRUNO DE SOUZA NASCIMENTO</t>
  </si>
  <si>
    <t>ARTHUR UGRINOWITSCH LAZARETTI</t>
  </si>
  <si>
    <t>LUCAS SELLE DA SILVA</t>
  </si>
  <si>
    <t>GUSTAVO BEVILACQUA NASCIMENTO</t>
  </si>
  <si>
    <t>GABRIEL PRATA RAMIREZ</t>
  </si>
  <si>
    <t>RFONSECA</t>
  </si>
  <si>
    <t>MICHAEL WEISS</t>
  </si>
  <si>
    <t>BERNARDO GOMES</t>
  </si>
  <si>
    <t>GUEPARDO GUEPARDO (RICARDO CARVALHO)</t>
  </si>
  <si>
    <t>IRB ASSET RV &amp; RF 2 (BERNARDO ROQUE)</t>
  </si>
  <si>
    <t>BRUNO GUEDES</t>
  </si>
  <si>
    <t>JANICE LUCIANE WITHOEFT</t>
  </si>
  <si>
    <t>BRUNO FERREIRA AGNE</t>
  </si>
  <si>
    <t>BRUNO SERRA FERNANDES</t>
  </si>
  <si>
    <t>ANA CRISTINA UTSUMI</t>
  </si>
  <si>
    <t>THEOFILO NETO</t>
  </si>
  <si>
    <t>BIANCA ALVES CAMPOS</t>
  </si>
  <si>
    <t>RICARDO MARCONDES CORDEIRO</t>
  </si>
  <si>
    <t>VAGNER ENRICO CASTILHO ALVES</t>
  </si>
  <si>
    <t>GABRIEL SOUZA LIMA</t>
  </si>
  <si>
    <t>MATHEUS KWON</t>
  </si>
  <si>
    <t>DANIEL MADASCHI PICCOLI</t>
  </si>
  <si>
    <t>MARCELO MARQUES DA SILVA</t>
  </si>
  <si>
    <t>MATHEUS EFRAIN</t>
  </si>
  <si>
    <t>TALES LIMA FREIRE</t>
  </si>
  <si>
    <t>THIAGO OORTMAN</t>
  </si>
  <si>
    <t>MAURICIO PATINI</t>
  </si>
  <si>
    <t>DANILO GALVAO</t>
  </si>
  <si>
    <t>HUMBERTO HAROLDO DUTRA PERES</t>
  </si>
  <si>
    <t>BARNEY CORREA DA SILVA</t>
  </si>
  <si>
    <t>JOSE HENRIQUE MATOS DA SILVA</t>
  </si>
  <si>
    <t>DIEGO ARAÚJO AZAMBUJA</t>
  </si>
  <si>
    <t>THIAGO RICCIOLI BORK</t>
  </si>
  <si>
    <t>FABIO TEGOSHI</t>
  </si>
  <si>
    <t>PABLO HECTOR SEUANEZ SALGADO</t>
  </si>
  <si>
    <t>MATHEUS DE AZEVEDO SOUZA</t>
  </si>
  <si>
    <t>GUILHERME QUINTINO</t>
  </si>
  <si>
    <t>JESSE DE CAMPOS SILVEIRA FILHO</t>
  </si>
  <si>
    <t>BERNARDO ROQUE PEREIRA</t>
  </si>
  <si>
    <t>FELIPE RIBEIRO P GRIGOROVSKI</t>
  </si>
  <si>
    <t>DANIEL SARAIVA</t>
  </si>
  <si>
    <t>ALISSON AUGUSTO NAGANO</t>
  </si>
  <si>
    <t>DANIEL PORTES</t>
  </si>
  <si>
    <t>RODRIGO MOREIRA DE ASSIS</t>
  </si>
  <si>
    <t>ALEXANDRE PALMAS</t>
  </si>
  <si>
    <t>VGOMES</t>
  </si>
  <si>
    <t>HAPPY HOUR COM NOMURA</t>
  </si>
  <si>
    <t>APEX VESSEL FUNDO DE INVESTIMENTO MULTIMERCADO</t>
  </si>
  <si>
    <t>174431-3998FC</t>
  </si>
  <si>
    <t>102151-3998RP</t>
  </si>
  <si>
    <t>155939-3998RU</t>
  </si>
  <si>
    <t>154442-3998RU</t>
  </si>
  <si>
    <t>160420-3998RU</t>
  </si>
  <si>
    <t>RICARDO ESPINDOLA</t>
  </si>
  <si>
    <t>105906-3998JV</t>
  </si>
  <si>
    <t>112011-3998JV</t>
  </si>
  <si>
    <t>155018-3998DG</t>
  </si>
  <si>
    <t>183217-3998PI</t>
  </si>
  <si>
    <t>180857-3998PI</t>
  </si>
  <si>
    <t>PHYDIAS BIANCHI PEREIRA</t>
  </si>
  <si>
    <t>PEDRO JULIAO</t>
  </si>
  <si>
    <t>121403-3688PB</t>
  </si>
  <si>
    <t>171936-3998EC</t>
  </si>
  <si>
    <t>TIAGO DAER</t>
  </si>
  <si>
    <t>142226-3688JT</t>
  </si>
  <si>
    <t>1/2 - ALMOÇO COM CLIENTES NO LOUP EM 23/06</t>
  </si>
  <si>
    <t>2/2 - ALMOÇO COM CLIENTES NO LOUP EM 23/06</t>
  </si>
  <si>
    <t>AGENDA 42865</t>
  </si>
  <si>
    <t xml:space="preserve">ALMOÇO EM BRASÍLIA MARIE COUSINE </t>
  </si>
  <si>
    <t>JANTAR EM BRASÍLIA RUBAIYAT</t>
  </si>
  <si>
    <t>ALMOÇO EM BRASÍLIA FOGO DE CHÃO</t>
  </si>
  <si>
    <t>AGENDA 42872</t>
  </si>
  <si>
    <t xml:space="preserve">JOÃO NOBRE </t>
  </si>
  <si>
    <t>DOUTOR LUIZINHO</t>
  </si>
  <si>
    <t>ISNALDO BULHÕES</t>
  </si>
  <si>
    <t>DEPUTADO</t>
  </si>
  <si>
    <t>154518-3998JD</t>
  </si>
  <si>
    <t>TAXI PARA REUNIÃO</t>
  </si>
  <si>
    <t>154901-3998JD</t>
  </si>
  <si>
    <t>ITAU UNIBANCO ASSET - ARTAX</t>
  </si>
  <si>
    <t>RIO PARTNERS BV</t>
  </si>
  <si>
    <t>ITAIM FUNDO DE INVESTIMENTO MULTIMERCADO</t>
  </si>
  <si>
    <t>REAL INVESTOR ALOCAÇÃO FIF MULT RL</t>
  </si>
  <si>
    <t>GARIN SPECIAL FIF MULT</t>
  </si>
  <si>
    <t>ITAU UNIBANCO ASSET - MOMENTO</t>
  </si>
  <si>
    <t>FERUCCE FUNDO DE INVESTIMENTO MULTIMERCADO</t>
  </si>
  <si>
    <t>GIRASSOL CLASSE DE INVESTIMENTO MULTIMERCADO CRÉDITO PRIVADO</t>
  </si>
  <si>
    <t>MIRNO CLASSE DE INVESTIMENTO MULTIMERCADO CRÉDITO PRIVADO -</t>
  </si>
  <si>
    <t>BWS SELECAO BONDS FIM CP IE</t>
  </si>
  <si>
    <t>BANCO DE INVESTIMENTO CREDIT SUISSE (BRASIL) S/A</t>
  </si>
  <si>
    <t>FALX FIF MULT CP IE</t>
  </si>
  <si>
    <t>PLANO INSTITUIDO CENTRUSPREV</t>
  </si>
  <si>
    <t>PLANO DE BENEFICIO DEFINIDO CENTRUS</t>
  </si>
  <si>
    <t>LOUIS DREYFUS COMPANY SUCOS S/A (ANTIGO LDC AGROINDUSTRIAL</t>
  </si>
  <si>
    <t>CLASSE UNICA DO AGATA FIF MULT CP LONGO PRAZO</t>
  </si>
  <si>
    <t>BANK OF AMERICA N.A (BANA)</t>
  </si>
  <si>
    <t>BANK J. SAFRA SARASIN LTD</t>
  </si>
  <si>
    <t>BANQUE J. SAFRA SARASIN (LUXEMBOURG) S.A.</t>
  </si>
  <si>
    <t>SKOPOS VANGUARDA ASSET ALLOCATION FUNDO DE INVESTIMENTO MULT</t>
  </si>
  <si>
    <t>BANCOSEGURO S.A.</t>
  </si>
  <si>
    <t>YARDS MULTIESTRATÉGIA FIF MULT RL</t>
  </si>
  <si>
    <t>RAFAEL YUJI PRADO IFUKI</t>
  </si>
  <si>
    <t>RAFAEL PELEGRINI</t>
  </si>
  <si>
    <t>GABRIEL MARTONI ANDRADE</t>
  </si>
  <si>
    <t>YGOR QUINHONI FONTES</t>
  </si>
  <si>
    <t>LIVIA MARQUES FERREIRA</t>
  </si>
  <si>
    <t>ALEXANDRE AUGUSTO NEVES_56608</t>
  </si>
  <si>
    <t>ANDRÉ CAMPOS VILLANUEVA BLANCO</t>
  </si>
  <si>
    <t>RAQUEL DE SENNA PEREIRA MENEZE</t>
  </si>
  <si>
    <t>ANDRÉ MAMED</t>
  </si>
  <si>
    <t>ANDRE F LOURETTI</t>
  </si>
  <si>
    <t>FELIPE  P GUERRA DE   CARVALHO</t>
  </si>
  <si>
    <t>BAHIA AM RENDA VARIAVEL LTDA  (ANTIGO BBM I)</t>
  </si>
  <si>
    <t>DIEGO RODRIGUES DE CARVALHO</t>
  </si>
  <si>
    <t>UBIRATAN SANT'ANNA DE OLIVEIRA</t>
  </si>
  <si>
    <t>THOMAZ AKIRA FURUKAWA</t>
  </si>
  <si>
    <t>MAURO LUIZ MARTINS DE FARIA</t>
  </si>
  <si>
    <t>PAULO DIEGO CETIN_36427</t>
  </si>
  <si>
    <t>FREDERICO ANDREOTTI S. QUEIROZ</t>
  </si>
  <si>
    <t>ALEXANDRE AUGUSTO NEVES_56606</t>
  </si>
  <si>
    <t>GUSTAVO BIANCHINI FIGUEIREDO</t>
  </si>
  <si>
    <t>HENRIQUE VIDEIRA SILVA DINIZ</t>
  </si>
  <si>
    <t>DANIELA FRANCISCA SUCUPIRA</t>
  </si>
  <si>
    <t>JOÃO VICTOR SASSARON PANDINI</t>
  </si>
  <si>
    <t>FELIPE FUNTOWICZ</t>
  </si>
  <si>
    <t>GUEPARDO LYRA FIF CLASSE DE INVESTIMENTO EM ACOES RL</t>
  </si>
  <si>
    <t>RODRIGO COELHO NETTO GAZE</t>
  </si>
  <si>
    <t>LUCAS LEITE BAPTISTA SILVA</t>
  </si>
  <si>
    <t>GABRIELA DE A NUNES FRANCKINI</t>
  </si>
  <si>
    <t>LUCIANO DIAS</t>
  </si>
  <si>
    <t xml:space="preserve">CONSULTOR </t>
  </si>
  <si>
    <t>155431-3998JD</t>
  </si>
  <si>
    <t>ESTACIONAMENTO INTERNACIONAL PLAZA REUNIÃO BRAM</t>
  </si>
  <si>
    <t>155240-3998JD</t>
  </si>
  <si>
    <t>153903-3998JD</t>
  </si>
  <si>
    <t>TAXI PARA REUNIÃO COM SECRETÁRIO DE POLÍTICA ECONÔMICA DO MF</t>
  </si>
  <si>
    <t>155806-3998JD</t>
  </si>
  <si>
    <t>155636-3998JD</t>
  </si>
  <si>
    <t xml:space="preserve">DANIEL WEEKS </t>
  </si>
  <si>
    <t>154701-3998JD</t>
  </si>
  <si>
    <t>150610-3998RP</t>
  </si>
  <si>
    <t>145933-3998CM</t>
  </si>
  <si>
    <t>095819-3998MC</t>
  </si>
  <si>
    <t>094754-3998MC</t>
  </si>
  <si>
    <t>TAXI PARA REUNIÃO NO RIO DE JANEIRO</t>
  </si>
  <si>
    <t>094948-3998MC</t>
  </si>
  <si>
    <t>112454-3998FP</t>
  </si>
  <si>
    <t>TÁXI LONDRES</t>
  </si>
  <si>
    <t>HOTEL EM LONDRES</t>
  </si>
  <si>
    <t>HOTEL EM PARIS</t>
  </si>
  <si>
    <t>TÁXI EM PARIS</t>
  </si>
  <si>
    <t xml:space="preserve">TAXI AEROPORTO PARA RESIDENCIA </t>
  </si>
  <si>
    <t>TRANSPORTE EXECUTIVO MENSAL DE JUNHO</t>
  </si>
  <si>
    <t>AGENDA 42904</t>
  </si>
  <si>
    <t>111328-3998AL</t>
  </si>
  <si>
    <t xml:space="preserve">FELIPE TANAKA </t>
  </si>
  <si>
    <t>143717-3998FC</t>
  </si>
  <si>
    <t>142142-3998AS</t>
  </si>
  <si>
    <t xml:space="preserve">ANTONIO ANDRADE </t>
  </si>
  <si>
    <t>093105-3998AA</t>
  </si>
  <si>
    <t>141743-3998AC</t>
  </si>
  <si>
    <t>JOAO VITOR CAIRES</t>
  </si>
  <si>
    <t>125522-3998FB</t>
  </si>
  <si>
    <t>GUSTAVO BASCHIETO</t>
  </si>
  <si>
    <t>153519-3998JT</t>
  </si>
  <si>
    <t>153333-3998JT</t>
  </si>
  <si>
    <t xml:space="preserve">PASSAGEM SÃO PAULO X RIO DE JANEIRO </t>
  </si>
  <si>
    <t>AGENDA 42636</t>
  </si>
  <si>
    <t>AGENDA 42638</t>
  </si>
  <si>
    <t>AGENDA 42770</t>
  </si>
  <si>
    <t>153947-3998RU</t>
  </si>
  <si>
    <t>171951-3998RU</t>
  </si>
  <si>
    <t>084257-3998PI</t>
  </si>
  <si>
    <t>124133-3998FB</t>
  </si>
  <si>
    <t>101328-3688PI</t>
  </si>
  <si>
    <t>INGRESSOS PARA O JOGO DA COPA COM CLIENTE ING BANK</t>
  </si>
  <si>
    <t>FELIPE GOMES BASILE</t>
  </si>
  <si>
    <t>ALMOÇO COM ROMEU ZEMA</t>
  </si>
  <si>
    <t xml:space="preserve"> ALMOÇO</t>
  </si>
  <si>
    <t>1/2 - BUFFET EVENTO DE RELOGIOS PENERAI</t>
  </si>
  <si>
    <t>2/2 - BUFFET EVENTO DE RELOGIOS PENERAI</t>
  </si>
  <si>
    <t>REEMBOLSO INGRESSO WIMBLEDON DE 2025</t>
  </si>
  <si>
    <t>PASSAGEM SÃO PAULO X VITÓRIA</t>
  </si>
  <si>
    <t>AGENDA 42794</t>
  </si>
  <si>
    <t>PASSAGEM SÃO PAULO X CURITIBA</t>
  </si>
  <si>
    <t>PASSAGEM SÃO PAULO X BELO HORIZONTE</t>
  </si>
  <si>
    <t>AGENDA 42831</t>
  </si>
  <si>
    <t>AGENDA 42925</t>
  </si>
  <si>
    <t>155515-3998DG</t>
  </si>
  <si>
    <t>155945-3998JV</t>
  </si>
  <si>
    <t>144852-3998FB</t>
  </si>
  <si>
    <t>SAMUEL ALVES</t>
  </si>
  <si>
    <t>ALMOÇO COM ABFINTECH</t>
  </si>
  <si>
    <t>153549-3998JL</t>
  </si>
  <si>
    <t>084254-3998PI</t>
  </si>
  <si>
    <t xml:space="preserve">HOTEL GRAND BITTAR EM BRASÍLIA </t>
  </si>
  <si>
    <t>AGENDA 42979</t>
  </si>
  <si>
    <t>AGENDA 43038</t>
  </si>
  <si>
    <t>AGENDA 42582</t>
  </si>
  <si>
    <t>ALMOÇO COM A FUTURA E CLIENTES NO RJ</t>
  </si>
  <si>
    <t>AGENDA 42864</t>
  </si>
  <si>
    <t>MARCOS RETCHMAN</t>
  </si>
  <si>
    <t>AGENDA 43037</t>
  </si>
  <si>
    <t>172402-3998FB</t>
  </si>
  <si>
    <t>FELIPE OLIVARES</t>
  </si>
  <si>
    <t>135704-3998JL</t>
  </si>
  <si>
    <t>DANIEL YUITI</t>
  </si>
  <si>
    <t>ESTACIONAMENTO EM VISITA AO BANESTES</t>
  </si>
  <si>
    <t>101653-3998JL</t>
  </si>
  <si>
    <t>ALMOÇO COM BANESTES</t>
  </si>
  <si>
    <t>100739-3998JL</t>
  </si>
  <si>
    <t>MARCOS AMARAL VARGAS</t>
  </si>
  <si>
    <t>101311-3998JL</t>
  </si>
  <si>
    <t>CAFÉ DA MANHÃ COM BANESTES</t>
  </si>
  <si>
    <t>FLAVIA GOMES</t>
  </si>
  <si>
    <t xml:space="preserve">GERENTE </t>
  </si>
  <si>
    <t>130716-3998MP</t>
  </si>
  <si>
    <t>175940-3998EA</t>
  </si>
  <si>
    <t>143226-3998EA</t>
  </si>
  <si>
    <t>174846-3998AV</t>
  </si>
  <si>
    <t>RODRIGO NASCIMENTO</t>
  </si>
  <si>
    <t>174507-3998AV</t>
  </si>
  <si>
    <t>083956-3998PI</t>
  </si>
  <si>
    <t>180135-3998FP</t>
  </si>
  <si>
    <t>151500-3998JV</t>
  </si>
  <si>
    <t>135956-3998AC</t>
  </si>
  <si>
    <t>124306-3998CB</t>
  </si>
  <si>
    <t>155122-3998MP</t>
  </si>
  <si>
    <t>113103-3998RP</t>
  </si>
  <si>
    <t>151426-3998AS</t>
  </si>
  <si>
    <t>145718-3998FB</t>
  </si>
  <si>
    <t>104527-3998FR</t>
  </si>
  <si>
    <t>110455-3998FC</t>
  </si>
  <si>
    <t>094351-3998AA</t>
  </si>
  <si>
    <t>CAFÉS DA MANHÃS/ALMOÇOS COM FENICS MARKET DATA</t>
  </si>
  <si>
    <t>102700-3998RS</t>
  </si>
  <si>
    <t>143829-3998AM</t>
  </si>
  <si>
    <t>151805-3998AM</t>
  </si>
  <si>
    <t>LUCAS MAGDALENA G FATORI</t>
  </si>
  <si>
    <t>151948-3998AM</t>
  </si>
  <si>
    <t>145909-3998AM</t>
  </si>
  <si>
    <t>AGENDA 43074</t>
  </si>
  <si>
    <t>MATHEUS DE MORAES NASCIMENTO</t>
  </si>
  <si>
    <t>HOTEL TIVOLI SÃO PAULO</t>
  </si>
  <si>
    <t>AGENDA 43126</t>
  </si>
  <si>
    <t>AGENDA 43127</t>
  </si>
  <si>
    <t xml:space="preserve">PASSAGEM CAMPINAS X BRASÍLIA </t>
  </si>
  <si>
    <t>INGRESSOS EVENTO EXPERT XP INVESTIMENTOS</t>
  </si>
  <si>
    <t>104730-3998EA</t>
  </si>
  <si>
    <t>125404-3998BG</t>
  </si>
  <si>
    <t>TRANSPORTE PARA VISITAS COM CLIENTES DA FENICS</t>
  </si>
  <si>
    <t>103241-3998RS</t>
  </si>
  <si>
    <t>AGENDA 42452</t>
  </si>
  <si>
    <t>AGENDA 42449</t>
  </si>
  <si>
    <t>AGENDA 42448</t>
  </si>
  <si>
    <t>HOTEL RADISSON RED CAMPINAS</t>
  </si>
  <si>
    <t>AGENDA 43217</t>
  </si>
  <si>
    <t>PASSAGEM BRASÍLIA X SÃO PAULO</t>
  </si>
  <si>
    <t>AGENDA 43218</t>
  </si>
  <si>
    <t>164011-3998PI</t>
  </si>
  <si>
    <t>095304-3998EC</t>
  </si>
  <si>
    <t>105829-3998EA</t>
  </si>
  <si>
    <t>140457-3998EC</t>
  </si>
  <si>
    <t>YAN FALCO</t>
  </si>
  <si>
    <t>145408-3998AS</t>
  </si>
  <si>
    <t>165823-3998RU</t>
  </si>
  <si>
    <t xml:space="preserve">ALMOÇO COM BANCO DA AMAZONIA </t>
  </si>
  <si>
    <t>NADSON</t>
  </si>
  <si>
    <t>171759-3998RU</t>
  </si>
  <si>
    <t>ROGER</t>
  </si>
  <si>
    <t>171552-3998RU</t>
  </si>
  <si>
    <t>170800-3998RU</t>
  </si>
  <si>
    <t>152000-3998RU</t>
  </si>
  <si>
    <t>132011-3998RZ</t>
  </si>
  <si>
    <t>145103-3998RZ</t>
  </si>
  <si>
    <t>172451-3998GF</t>
  </si>
  <si>
    <t>104504-3998AV</t>
  </si>
  <si>
    <t>151313-3998CB</t>
  </si>
  <si>
    <t>INGRESSOS PARA O JOGO ROLAND GARROS</t>
  </si>
  <si>
    <t>EMAIL 04/08/2026</t>
  </si>
  <si>
    <t>HOTEL PROMENADE PALLADIUM</t>
  </si>
  <si>
    <t>AGENDA 43374</t>
  </si>
  <si>
    <t>ERIC CHA-HUA</t>
  </si>
  <si>
    <t>FINNIAN THORNTON</t>
  </si>
  <si>
    <t>082255-3998PI</t>
  </si>
  <si>
    <t>082155-3998PI</t>
  </si>
  <si>
    <t>122130-3998CL</t>
  </si>
  <si>
    <t>170741-3998AS</t>
  </si>
  <si>
    <t>173708-3998RP</t>
  </si>
  <si>
    <t>082921-3998FR</t>
  </si>
  <si>
    <t>131039-3998FB</t>
  </si>
  <si>
    <t>101600-3998BG</t>
  </si>
  <si>
    <t>143555-3998MP</t>
  </si>
  <si>
    <t>094808-3998AA</t>
  </si>
  <si>
    <t>A</t>
  </si>
  <si>
    <t>134447-3998AV</t>
  </si>
  <si>
    <t>185522-3998FB</t>
  </si>
  <si>
    <t>091727-3998JV</t>
  </si>
  <si>
    <t>082658-3998PI</t>
  </si>
  <si>
    <t>150656-3998FR</t>
  </si>
  <si>
    <t>093154-3998CC</t>
  </si>
  <si>
    <t>FERNANDO SALES</t>
  </si>
  <si>
    <t>145822-3998NA</t>
  </si>
  <si>
    <t>132843-3998RC</t>
  </si>
  <si>
    <t>110049-3998RC</t>
  </si>
  <si>
    <t>170257-3998PI</t>
  </si>
  <si>
    <t>171349-3998MR</t>
  </si>
  <si>
    <t>CARLOS NEPOMUCENO</t>
  </si>
  <si>
    <t>115454-3998FB</t>
  </si>
  <si>
    <t>LUIZ ROGERIO MOLNAR</t>
  </si>
  <si>
    <t>100511-3998RC</t>
  </si>
  <si>
    <t xml:space="preserve">SERVIÇO DE TRANSPORTE PARA CLIENTES DURANTE ROADSHOW EM BRASÍLIA </t>
  </si>
  <si>
    <t>AGENDA 42961</t>
  </si>
  <si>
    <t>CURSO TESOURO DIRETO SAINT PAUL</t>
  </si>
  <si>
    <t>AGENDA 43070</t>
  </si>
  <si>
    <t>DEVOLUÇÃO DEPÓSITO DE GARANTIA DO FLAT</t>
  </si>
  <si>
    <t>AGENDA 43256</t>
  </si>
  <si>
    <t>AGENDA 43595</t>
  </si>
  <si>
    <t>FABIO DELACQUA</t>
  </si>
  <si>
    <t>SÓCIO</t>
  </si>
  <si>
    <t>TRANSPORTE EXECUTIVO MENSAL DE JULHO</t>
  </si>
  <si>
    <t>AGENDA 43388</t>
  </si>
  <si>
    <t xml:space="preserve">HOSPEDAGEM PROMENADE PALLADIUM </t>
  </si>
  <si>
    <t>AGENDA 43537</t>
  </si>
  <si>
    <t>AGENDA 43355</t>
  </si>
  <si>
    <t>095513-3998AA</t>
  </si>
  <si>
    <t>ESTACIONAMENTO JK IGUATEMI APRESENTAÇÃO POLÍTICA</t>
  </si>
  <si>
    <t>151113-3998JD</t>
  </si>
  <si>
    <t>125419-3998PI</t>
  </si>
  <si>
    <t>ESTACIONAMENTO SP CORPORATE TOWERS APRESENTAÇÃO PRESIDENTE PARTIDO NOVO</t>
  </si>
  <si>
    <t>150309-3998JD</t>
  </si>
  <si>
    <t>162712-3998BG</t>
  </si>
  <si>
    <t>AGENDA 43371</t>
  </si>
  <si>
    <t>122517-3998CL</t>
  </si>
  <si>
    <t>145932-3998MP</t>
  </si>
  <si>
    <t>152437-3998AS</t>
  </si>
  <si>
    <t>144032-3998FC</t>
  </si>
  <si>
    <t>150706-3998FB</t>
  </si>
  <si>
    <t>150636-3998JD</t>
  </si>
  <si>
    <t>ALEXANDRE FERRAZ</t>
  </si>
  <si>
    <t>AGENDA 43519</t>
  </si>
  <si>
    <t>REEMBOLSO REFERENTE AOS INGRESSOS DO JOGO ROLAND GARROS QUE FOI COMPRADO NO CARTÃO CORPORATIVO EM JUNHO E FORAM CANCELADOS</t>
  </si>
  <si>
    <t>AGENDA 43594</t>
  </si>
  <si>
    <t>JANTAR COM O TESOURO NACIONAL NO LOCALE</t>
  </si>
  <si>
    <t xml:space="preserve">JANTAR COM O TESOURO NACIONAL NO RUFINOS </t>
  </si>
  <si>
    <t xml:space="preserve">ALMOÇO NO LOUP COM KIKO CELEGUIM </t>
  </si>
  <si>
    <t>ALMOÇO NO LOUP COM MANOEL FERNANDES</t>
  </si>
  <si>
    <t>ALMOÇO NO LOUP COM DANIELLA MARQUES</t>
  </si>
  <si>
    <t>ALMOÇO NO LOUP COM GUILHERME BOULOS</t>
  </si>
  <si>
    <t>AGENDA 43728</t>
  </si>
  <si>
    <t>ALMOÇO NO LOUP COM BALEIA ROSSI</t>
  </si>
  <si>
    <t>ROADSHOW COM O PRESIDENTE DO PARTIDO NOVO</t>
  </si>
  <si>
    <t>143516-3998NA</t>
  </si>
  <si>
    <t>175806-3998FB</t>
  </si>
  <si>
    <t>153425-3998CL</t>
  </si>
  <si>
    <t>151231-3998JV</t>
  </si>
  <si>
    <t>101109-3998AS</t>
  </si>
  <si>
    <t>103913-3998AS</t>
  </si>
  <si>
    <t>172056-4120MP</t>
  </si>
  <si>
    <t>FELIPE SERENO</t>
  </si>
  <si>
    <t>153753-3998AS</t>
  </si>
  <si>
    <t>101531-3998DG</t>
  </si>
  <si>
    <t>144929-4120CB</t>
  </si>
  <si>
    <t>HOTEL PROMENADE APART RIO DE JANEIR0</t>
  </si>
  <si>
    <t>AGENDA 43620</t>
  </si>
  <si>
    <t>AGENDA 43645</t>
  </si>
  <si>
    <t>AGENDA 43647</t>
  </si>
  <si>
    <t>AGENDA 43701</t>
  </si>
  <si>
    <t xml:space="preserve">JANTAR </t>
  </si>
  <si>
    <t>114232-4120AL</t>
  </si>
  <si>
    <t>084535-4120FC</t>
  </si>
  <si>
    <t>090911-4120AA</t>
  </si>
  <si>
    <t>155226-4120AS</t>
  </si>
  <si>
    <t xml:space="preserve">HOTEL LAGHETTO VIVERONE </t>
  </si>
  <si>
    <t>AGENDA 43764</t>
  </si>
  <si>
    <t xml:space="preserve">ALMOÇO COM OBY CAPITAL </t>
  </si>
  <si>
    <t>170901-3998JL</t>
  </si>
  <si>
    <t>CAMILLO REIS</t>
  </si>
  <si>
    <t>161309-3998EC</t>
  </si>
  <si>
    <t>173714-4120RP</t>
  </si>
  <si>
    <t>171150-4120EC</t>
  </si>
  <si>
    <t>ALMOÇO COM LIFETIME</t>
  </si>
  <si>
    <t>GABRIEL SILVA</t>
  </si>
  <si>
    <t>111912-4120JD</t>
  </si>
  <si>
    <t>IZAK BENADERET</t>
  </si>
  <si>
    <t>151122-3998EC</t>
  </si>
  <si>
    <t>FERNANDO TINOCO</t>
  </si>
  <si>
    <t>ESTACIONAMENTOS</t>
  </si>
  <si>
    <t>111409-4120JD</t>
  </si>
  <si>
    <t>162331-3998JL</t>
  </si>
  <si>
    <t>ALMOÇO COM STARR COMPANIES</t>
  </si>
  <si>
    <t>DIEGO MONT'SERRATH</t>
  </si>
  <si>
    <t>180217-4120FC</t>
  </si>
  <si>
    <t>MAURICIO FINKEL</t>
  </si>
  <si>
    <t xml:space="preserve">FUTEBOL E HAPPY HOUR </t>
  </si>
  <si>
    <t>170153-4120EC</t>
  </si>
  <si>
    <t>AGENDA 43318</t>
  </si>
  <si>
    <t>2/2 EVENTO KAITAI NO OIZUMI SUSHI</t>
  </si>
  <si>
    <t>AGENDA 43856</t>
  </si>
  <si>
    <t>CARLOS NAPOMUCENO</t>
  </si>
  <si>
    <t>150819-3998JD</t>
  </si>
  <si>
    <t>APRESENTAÇÃO EVENTO QUANLITATIVAS NO LOUP</t>
  </si>
  <si>
    <t>173524-4120NA</t>
  </si>
  <si>
    <t>HOTEL LAGHETTO MOINHOS PORTO ALEGRE</t>
  </si>
  <si>
    <t>075156-3998EC</t>
  </si>
  <si>
    <t>162104-3688FB</t>
  </si>
  <si>
    <t>ACESSOR</t>
  </si>
  <si>
    <t>EVENTO KAITAI NO OIZUMI SUSHI 1/2</t>
  </si>
  <si>
    <t xml:space="preserve"> - </t>
  </si>
  <si>
    <t>AJUSTE REFERENTE AOS INGRESSOS PARA O JOGO ROLAND GARROS (DEBITAR DOS BROKERS)</t>
  </si>
  <si>
    <t>EVENTO KAITAI COMPRA DE 26 GARRAFAS DE SAQUE JUNMAI GINJO DE 720ML VIA MERCADO LIVRE</t>
  </si>
  <si>
    <t>ALUGUEL DE ESPAÇO NO LOCALE PARA JANTAR COM TIME DO TESOURO NACIONAL</t>
  </si>
  <si>
    <t xml:space="preserve">EMAIL </t>
  </si>
  <si>
    <t>EMAIL 03/09/2026</t>
  </si>
  <si>
    <t>TRANSPORTE DE NOTEBOOK</t>
  </si>
  <si>
    <t>AGENDA 43536</t>
  </si>
  <si>
    <t>SERVIÇO DE ENTREGA E RETIRADA</t>
  </si>
  <si>
    <t>AGENDA 43781</t>
  </si>
  <si>
    <t>AGENDA 43761</t>
  </si>
  <si>
    <t>AGENDA 43762</t>
  </si>
  <si>
    <t>175411-4120PI</t>
  </si>
  <si>
    <t>AGENDA 43845</t>
  </si>
  <si>
    <t>175624-4120PI</t>
  </si>
  <si>
    <t>175727-4120FB</t>
  </si>
  <si>
    <t>171220-4120EC</t>
  </si>
  <si>
    <t>JOÃO AGUIAR</t>
  </si>
  <si>
    <t>183709-4120FT</t>
  </si>
  <si>
    <t>CHRISTIAN FARICELLI</t>
  </si>
  <si>
    <t>173355-4120FT</t>
  </si>
  <si>
    <t>PEDRO FLORES</t>
  </si>
  <si>
    <t>181701-4120FT</t>
  </si>
  <si>
    <t>RODRIGO MELLO</t>
  </si>
  <si>
    <t>UBER VISITA CLIENTES APRESENTAÇÃO ECONOMISTA</t>
  </si>
  <si>
    <t>112748-4120CF</t>
  </si>
  <si>
    <t>182331-4120FT</t>
  </si>
  <si>
    <t>LOURENÇO BASTOS TIGRE</t>
  </si>
  <si>
    <t>ALMOÇO COM YVY CAPITAL</t>
  </si>
  <si>
    <t>145658-4120CM</t>
  </si>
  <si>
    <t>174024-4120FT</t>
  </si>
  <si>
    <t>145826-4120CM</t>
  </si>
  <si>
    <t>182540-4120FT</t>
  </si>
  <si>
    <t>MATHEUS BERLOFA</t>
  </si>
  <si>
    <t>095208-4120AV</t>
  </si>
  <si>
    <t>181417-4120FT</t>
  </si>
  <si>
    <t>182750-4120FT</t>
  </si>
  <si>
    <t>MAURICIO DELGADO</t>
  </si>
  <si>
    <t>124148-4120CM</t>
  </si>
  <si>
    <t>183831-4120FT</t>
  </si>
  <si>
    <t>143749-4120EA</t>
  </si>
  <si>
    <t>TAXI REUNIÃO DEALERS</t>
  </si>
  <si>
    <t>181848-4120FT</t>
  </si>
  <si>
    <t>182936-4120FT</t>
  </si>
  <si>
    <t>094903-4120AV</t>
  </si>
  <si>
    <t>183201-4120FT</t>
  </si>
  <si>
    <t>TAXI EVENTOS</t>
  </si>
  <si>
    <t>182028-4120FT</t>
  </si>
  <si>
    <t>102019-4120RP</t>
  </si>
  <si>
    <t>NICOLE BELLINI</t>
  </si>
  <si>
    <t>183548-4120FT</t>
  </si>
  <si>
    <t>144059-4120EA</t>
  </si>
  <si>
    <t>183419-4120FT</t>
  </si>
  <si>
    <t>160833-4120JL</t>
  </si>
  <si>
    <t>091449-4120AA</t>
  </si>
  <si>
    <t>100229-4120EC</t>
  </si>
  <si>
    <t>ALEXANDRE SOUSA</t>
  </si>
  <si>
    <t>120557-4120JL</t>
  </si>
  <si>
    <t>GUSTAVO ZUPO</t>
  </si>
  <si>
    <t>101847-4120GF</t>
  </si>
  <si>
    <t>ALMOÇO COM TAG INVESTIMENTOS</t>
  </si>
  <si>
    <t>181737-4120AS</t>
  </si>
  <si>
    <t>UBER E TAXI SÃO PAULO</t>
  </si>
  <si>
    <t>123353-4120CM</t>
  </si>
  <si>
    <t>082325-4120CB</t>
  </si>
  <si>
    <t>PEDRO BRANDAO COUTINHO</t>
  </si>
  <si>
    <t>140951-4120PI</t>
  </si>
  <si>
    <t>ALEXANDRE DE CARVALHO GALHARDO</t>
  </si>
  <si>
    <t>ANDRE DE MARI FIUZA</t>
  </si>
  <si>
    <t>ANDRE LUIZ MARQUES MATTOS</t>
  </si>
  <si>
    <t>BRUNO CARVALHO SANTINI</t>
  </si>
  <si>
    <t>CARLO MALTA</t>
  </si>
  <si>
    <t>DANIELA VODOVOZ</t>
  </si>
  <si>
    <t>FABIANO BONIZZONI</t>
  </si>
  <si>
    <t>FERNANDO FERREIRA FEITOSA</t>
  </si>
  <si>
    <t>GUSTAVO BURMAS CARVALHO</t>
  </si>
  <si>
    <t>GUSTAVO TAKASHI SHIMOKAWA</t>
  </si>
  <si>
    <t>GUSTAVO VALERIO FERREIRA DE ALBUQUERQUE</t>
  </si>
  <si>
    <t>HUGO BIANCHI RIBEIRO</t>
  </si>
  <si>
    <t>JOAO RODRIGUES DOS SANTOS E JUNQUEIRA</t>
  </si>
  <si>
    <t>JOSEPH MICHAAN</t>
  </si>
  <si>
    <t>KAUE DOS ANJOS RODRIGUES JACOB</t>
  </si>
  <si>
    <t>LEONARDO ANTONIO DE BRITO SAVIANO</t>
  </si>
  <si>
    <t>LUCCA AFONSO</t>
  </si>
  <si>
    <t>MATHEUS NACIF NESRALLAH</t>
  </si>
  <si>
    <t xml:space="preserve">NICOLAS KINOSHITA LESSA </t>
  </si>
  <si>
    <t>OFFSHORE LISTED</t>
  </si>
  <si>
    <t>OTTAVIO PICA DE LUCA</t>
  </si>
  <si>
    <t>PAULO VINICIUS RIBEIRO SILVA</t>
  </si>
  <si>
    <t>PEDRO AIZEMBERG</t>
  </si>
  <si>
    <t>PEDRO HENRIQUE ORTEGA BERNARDES</t>
  </si>
  <si>
    <t>RAFAEL FERREIRA DE MAGALHAES</t>
  </si>
  <si>
    <t>RAFFAELE SCURTI NETTO</t>
  </si>
  <si>
    <t>RAPHAEL GRIZANTE DA SILVA</t>
  </si>
  <si>
    <t>VICTOR FRANCISCO DOS SANTOS PRETO</t>
  </si>
  <si>
    <t>VINICIUS AMARAL DE MOURA</t>
  </si>
  <si>
    <t>Broker</t>
  </si>
  <si>
    <t>165833-4120JT</t>
  </si>
  <si>
    <t>142909-4120FP</t>
  </si>
  <si>
    <t>170132-4120JT</t>
  </si>
  <si>
    <t>171836-4120JT</t>
  </si>
  <si>
    <t>172528-4120CL</t>
  </si>
  <si>
    <t>155806-4120JL</t>
  </si>
  <si>
    <t xml:space="preserve">ALMOÇO COM ZURICH </t>
  </si>
  <si>
    <t>101801-4120JV</t>
  </si>
  <si>
    <t>084100-4120RR</t>
  </si>
  <si>
    <t>HOTEL INNSIDE SÃO PAULO</t>
  </si>
  <si>
    <t>AGENDA 43929</t>
  </si>
  <si>
    <t>AGENDA 43930</t>
  </si>
  <si>
    <t>142948-4120RR</t>
  </si>
  <si>
    <t>FERNANDA CRIVELENTI</t>
  </si>
  <si>
    <t>143228-4120BG</t>
  </si>
  <si>
    <t>123353-4120CF</t>
  </si>
  <si>
    <t>123151-4120CF</t>
  </si>
  <si>
    <t>123051- 4120DG</t>
  </si>
  <si>
    <t>153948-4120PI</t>
  </si>
  <si>
    <t>VAN PARA ROADSHOW EM BRASÍLIA</t>
  </si>
  <si>
    <t>164224-4120MC</t>
  </si>
  <si>
    <t>RAFAEL MORILHA DUARTE</t>
  </si>
  <si>
    <t>083438-4120VP</t>
  </si>
  <si>
    <t>080830-4120PI</t>
  </si>
  <si>
    <t>FX FUTURES</t>
  </si>
  <si>
    <t>BOVESPA EQUITIES</t>
  </si>
  <si>
    <t>NDF OFFSHORE</t>
  </si>
  <si>
    <t>FX SPOT</t>
  </si>
  <si>
    <t>BGC LIQUIDEZ LATAM EQUITIES</t>
  </si>
  <si>
    <t>DI FUTURES</t>
  </si>
  <si>
    <t>FRONT OFFICE ADMIN &amp; SUPPORT</t>
  </si>
  <si>
    <t>VOLATILITY FX</t>
  </si>
  <si>
    <t>FINANCIAL SERVICES BROKING MANAGEMENT - AMERICAS</t>
  </si>
  <si>
    <t>INFLATION BONDS</t>
  </si>
  <si>
    <t>CORPORATE BONDS</t>
  </si>
  <si>
    <t>OFFSHORE LISTED PRODUCTS</t>
  </si>
  <si>
    <t>PUBLIC BONDS</t>
  </si>
  <si>
    <t>GLOBAL STRATEGY</t>
  </si>
  <si>
    <t>VOLATILITY IDI</t>
  </si>
  <si>
    <t>STOCK LENDING &amp; BORROW</t>
  </si>
  <si>
    <t>GFI -  BRAZIL NDF</t>
  </si>
  <si>
    <t>BGCL FICC &amp; EQUITY SALES</t>
  </si>
  <si>
    <t>MARKET DATA</t>
  </si>
  <si>
    <t>ALI MOHAMAD KANSAOU</t>
  </si>
  <si>
    <t>Cargo</t>
  </si>
  <si>
    <t>1/2 EVENTO KAITAI NO OIZUMI SUSHI</t>
  </si>
  <si>
    <t>AGENDA 44081</t>
  </si>
  <si>
    <t>AGENDA 44121</t>
  </si>
  <si>
    <t>ALMOÇO NO LOUP COM SIMONE TEBET</t>
  </si>
  <si>
    <t>AGENDA 43944</t>
  </si>
  <si>
    <t>AGENDA 44078</t>
  </si>
  <si>
    <t>ESTACIONAMENTO</t>
  </si>
  <si>
    <t>131759-4185RS</t>
  </si>
  <si>
    <t>131122-4185RS</t>
  </si>
  <si>
    <t>ALMOÇOS COM CLIENTES</t>
  </si>
  <si>
    <t>132208-4185RS</t>
  </si>
  <si>
    <t>101308-4185GF</t>
  </si>
  <si>
    <t>100626-4185GF</t>
  </si>
  <si>
    <t>163110-4185EC</t>
  </si>
  <si>
    <t>GUILHERME NOGUEIRA</t>
  </si>
  <si>
    <t>091054-4185PI</t>
  </si>
  <si>
    <t>173143-4185EC</t>
  </si>
  <si>
    <t>ALMOÇO COM WARREN BRASIL</t>
  </si>
  <si>
    <t>GABRIEL KRAUSS</t>
  </si>
  <si>
    <t>135940-4185JT</t>
  </si>
  <si>
    <t>143538-4185RR</t>
  </si>
  <si>
    <t>124518-4185JV</t>
  </si>
  <si>
    <t>124459-4185RC</t>
  </si>
  <si>
    <t>LUCAS TERAMOSSI</t>
  </si>
  <si>
    <t>083907-4120VP</t>
  </si>
  <si>
    <t>143129-4120RR</t>
  </si>
  <si>
    <t>LEONARDO</t>
  </si>
  <si>
    <t>093815-4120MP</t>
  </si>
  <si>
    <t>PEDRO REIS</t>
  </si>
  <si>
    <t>170510-4185AS</t>
  </si>
  <si>
    <t>162247-4120RU</t>
  </si>
  <si>
    <t>RENAN</t>
  </si>
  <si>
    <t>162450-4120RU</t>
  </si>
  <si>
    <t>090803-4185PI</t>
  </si>
  <si>
    <t>100306-4120RC</t>
  </si>
  <si>
    <t>105111-4120FC</t>
  </si>
  <si>
    <t>162930-4120RU</t>
  </si>
  <si>
    <t>162620-4120RU</t>
  </si>
  <si>
    <t>142721-4120GF</t>
  </si>
  <si>
    <t>093325-4120RC</t>
  </si>
  <si>
    <t>093506-4120RC</t>
  </si>
  <si>
    <t>AGENDA 44042</t>
  </si>
  <si>
    <t>AGENDA 44043</t>
  </si>
  <si>
    <t>164847-3688RU</t>
  </si>
  <si>
    <t>172127-3998RU</t>
  </si>
  <si>
    <t>AGENDA 44216</t>
  </si>
  <si>
    <t>PASSAGEM MIAMI X NOVA YORK</t>
  </si>
  <si>
    <t>TAXI CASA X AEROPORTO</t>
  </si>
  <si>
    <t>TAXI AEROPORTO X CASA</t>
  </si>
  <si>
    <t>AGENDA 43970</t>
  </si>
  <si>
    <t>AGENDA 44209</t>
  </si>
  <si>
    <t>AGENDA 44185</t>
  </si>
  <si>
    <t>AGENDA 44186</t>
  </si>
  <si>
    <t>HOTEL EM CURITIBA BRISTOL CENTRO CIVICO</t>
  </si>
  <si>
    <t>110502-4185MP</t>
  </si>
  <si>
    <t>PEDRO BOHANA</t>
  </si>
  <si>
    <t>164040-4185AM</t>
  </si>
  <si>
    <t>095707-4185RR</t>
  </si>
  <si>
    <t xml:space="preserve">ALMOÇO COM POSSÍVEIS CONTRATAÇÕES </t>
  </si>
  <si>
    <t>175804-4185MP</t>
  </si>
  <si>
    <t>170323-4185AM</t>
  </si>
  <si>
    <t>165719-4185AM</t>
  </si>
  <si>
    <t>141240-4185DG</t>
  </si>
  <si>
    <t>ALMOÇO COM CLIENTE POLIGONO</t>
  </si>
  <si>
    <t>GUILHERME RIBEIRO</t>
  </si>
  <si>
    <t>095759-4185AA</t>
  </si>
  <si>
    <t>152822-4185RM</t>
  </si>
  <si>
    <t>ALMOÇO COM RJI</t>
  </si>
  <si>
    <t>MARIANA SOARES</t>
  </si>
  <si>
    <t>165958-4185AM</t>
  </si>
  <si>
    <t>MATHIAS CLERC</t>
  </si>
  <si>
    <t>135933-4185EC</t>
  </si>
  <si>
    <t>RICARDO LEOPOLDO</t>
  </si>
  <si>
    <t>3 INGRESSOS PARA SHOW DO SEAL EM 28/11</t>
  </si>
  <si>
    <t>081223-4185PI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</si>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</sst>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&quot;R$&quot;* #,##0.00_-;\-&quot;R$&quot;* #,##0.00_-;_-&quot;R$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5" applyNumberFormat="0" applyAlignment="0" applyProtection="0"/>
    <xf numFmtId="0" fontId="16" fillId="8" borderId="6" applyNumberFormat="0" applyAlignment="0" applyProtection="0"/>
    <xf numFmtId="0" fontId="17" fillId="8" borderId="5" applyNumberFormat="0" applyAlignment="0" applyProtection="0"/>
    <xf numFmtId="0" fontId="18" fillId="0" borderId="7" applyNumberFormat="0" applyFill="0" applyAlignment="0" applyProtection="0"/>
    <xf numFmtId="0" fontId="19" fillId="9" borderId="8" applyNumberFormat="0" applyAlignment="0" applyProtection="0"/>
    <xf numFmtId="0" fontId="7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165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1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14" fontId="3" fillId="3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164" fontId="2" fillId="0" borderId="0" xfId="1" applyFont="1" applyFill="1"/>
    <xf numFmtId="164" fontId="2" fillId="0" borderId="0" xfId="1" applyFont="1" applyFill="1" applyAlignment="1">
      <alignment horizontal="center"/>
    </xf>
    <xf numFmtId="0" fontId="6" fillId="0" borderId="0" xfId="0" applyFont="1" applyAlignment="1">
      <alignment vertical="center"/>
    </xf>
    <xf numFmtId="0" fontId="3" fillId="3" borderId="0" xfId="0" applyFont="1" applyFill="1" applyAlignment="1">
      <alignment horizontal="left"/>
    </xf>
    <xf numFmtId="164" fontId="2" fillId="0" borderId="0" xfId="1" applyFont="1" applyAlignment="1">
      <alignment vertical="center"/>
    </xf>
    <xf numFmtId="164" fontId="2" fillId="0" borderId="0" xfId="1" applyFont="1" applyFill="1" applyBorder="1"/>
    <xf numFmtId="164" fontId="0" fillId="0" borderId="0" xfId="1" applyFont="1"/>
    <xf numFmtId="164" fontId="3" fillId="3" borderId="0" xfId="1" applyFont="1" applyFill="1" applyAlignment="1">
      <alignment vertical="center"/>
    </xf>
    <xf numFmtId="164" fontId="0" fillId="0" borderId="0" xfId="1" applyFont="1" applyFill="1"/>
    <xf numFmtId="43" fontId="0" fillId="0" borderId="0" xfId="0" applyNumberFormat="1"/>
    <xf numFmtId="0" fontId="2" fillId="35" borderId="0" xfId="0" applyFont="1" applyFill="1" applyAlignment="1">
      <alignment vertical="center"/>
    </xf>
    <xf numFmtId="14" fontId="2" fillId="35" borderId="0" xfId="0" applyNumberFormat="1" applyFont="1" applyFill="1" applyAlignment="1">
      <alignment horizontal="center" vertical="center"/>
    </xf>
    <xf numFmtId="0" fontId="2" fillId="35" borderId="0" xfId="0" applyFont="1" applyFill="1"/>
    <xf numFmtId="164" fontId="2" fillId="35" borderId="0" xfId="1" applyFont="1" applyFill="1"/>
    <xf numFmtId="14" fontId="2" fillId="35" borderId="0" xfId="0" applyNumberFormat="1" applyFont="1" applyFill="1" applyAlignment="1">
      <alignment vertical="center"/>
    </xf>
    <xf numFmtId="14" fontId="2" fillId="35" borderId="0" xfId="0" applyNumberFormat="1" applyFont="1" applyFill="1"/>
    <xf numFmtId="0" fontId="2" fillId="35" borderId="0" xfId="0" applyFont="1" applyFill="1" applyAlignment="1">
      <alignment horizontal="left"/>
    </xf>
    <xf numFmtId="0" fontId="2" fillId="35" borderId="0" xfId="0" applyFont="1" applyFill="1" applyAlignment="1">
      <alignment horizontal="left" vertical="center"/>
    </xf>
    <xf numFmtId="0" fontId="0" fillId="35" borderId="0" xfId="0" applyFill="1"/>
    <xf numFmtId="164" fontId="2" fillId="36" borderId="0" xfId="1" applyFont="1" applyFill="1"/>
    <xf numFmtId="0" fontId="6" fillId="35" borderId="0" xfId="0" applyFont="1" applyFill="1" applyAlignment="1">
      <alignment vertical="center"/>
    </xf>
    <xf numFmtId="0" fontId="24" fillId="0" borderId="0" xfId="0" applyFont="1"/>
    <xf numFmtId="44" fontId="2" fillId="0" borderId="0" xfId="47" applyFont="1" applyFill="1" applyAlignment="1">
      <alignment vertical="center"/>
    </xf>
    <xf numFmtId="164" fontId="2" fillId="0" borderId="0" xfId="1" applyFont="1"/>
    <xf numFmtId="0" fontId="25" fillId="0" borderId="0" xfId="48"/>
    <xf numFmtId="0" fontId="2" fillId="37" borderId="0" xfId="0" applyFont="1" applyFill="1"/>
    <xf numFmtId="164" fontId="2" fillId="37" borderId="0" xfId="1" applyFont="1" applyFill="1"/>
    <xf numFmtId="14" fontId="2" fillId="37" borderId="0" xfId="0" applyNumberFormat="1" applyFont="1" applyFill="1" applyAlignment="1">
      <alignment vertical="center"/>
    </xf>
    <xf numFmtId="14" fontId="2" fillId="37" borderId="0" xfId="0" applyNumberFormat="1" applyFont="1" applyFill="1"/>
    <xf numFmtId="0" fontId="2" fillId="37" borderId="0" xfId="0" applyFont="1" applyFill="1" applyAlignment="1">
      <alignment horizontal="left"/>
    </xf>
    <xf numFmtId="0" fontId="2" fillId="37" borderId="0" xfId="0" applyFont="1" applyFill="1" applyAlignment="1">
      <alignment vertical="center"/>
    </xf>
    <xf numFmtId="0" fontId="2" fillId="37" borderId="0" xfId="0" applyFont="1" applyFill="1" applyAlignment="1">
      <alignment horizontal="left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EDCDA0AF-E354-4DA8-9A99-DB555014FD6B}"/>
    <cellStyle name="Currency" xfId="47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8" builtinId="8"/>
    <cellStyle name="Input" xfId="10" builtinId="20" customBuiltin="1"/>
    <cellStyle name="Linked Cell" xfId="13" builtinId="24" customBuiltin="1"/>
    <cellStyle name="Moeda 2" xfId="45" xr:uid="{D9097C38-A780-432E-BE24-1F073CEE99DF}"/>
    <cellStyle name="Neutral" xfId="9" builtinId="28" customBuiltin="1"/>
    <cellStyle name="Normal" xfId="0" builtinId="0"/>
    <cellStyle name="Normal 2" xfId="44" xr:uid="{62E21C16-AF6D-49CC-AB5D-55E5494A2934}"/>
    <cellStyle name="Normal 2 4" xfId="46" xr:uid="{77F7514B-CD20-4A68-B897-25E64B786BA7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1" defaultTableStyle="TableStyleMedium2" defaultPivotStyle="PivotStyleLight16">
    <tableStyle name="Invisible" pivot="0" table="0" count="0" xr9:uid="{F51CECE4-D5DD-4EE2-B71D-5AF736E2E501}"/>
  </tableStyles>
  <colors>
    <mruColors>
      <color rgb="FFCCECFF"/>
      <color rgb="FFFF99CC"/>
      <color rgb="FFCCFFFF"/>
      <color rgb="FFCCFFCC"/>
      <color rgb="FFFFFFCC"/>
      <color rgb="FFCCCCFF"/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iversos/Cadastro/BROKERS/2026/Matriz%20de%20Brokers.xlsx" TargetMode="External"/><Relationship Id="rId2" Type="http://schemas.openxmlformats.org/officeDocument/2006/relationships/externalLinkPath" Target="file:///X:\Gerencial\Diversos\Cadastro\BROKERS\2026\Matriz%20de%20Brokers.xlsx" TargetMode="External"/><Relationship Id="rId1" Type="http://schemas.openxmlformats.org/officeDocument/2006/relationships/externalLinkPath" Target="/Gerencial/Diversos/Cadastro/BROKERS/2026/Matriz%20de%20Brok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triz Brokers"/>
      <sheetName val="Desligados"/>
    </sheetNames>
    <sheetDataSet>
      <sheetData sheetId="0">
        <row r="1">
          <cell r="C1" t="str">
            <v xml:space="preserve">BROKERS X DESK </v>
          </cell>
        </row>
        <row r="2">
          <cell r="C2" t="str">
            <v>BROKER</v>
          </cell>
        </row>
        <row r="3">
          <cell r="C3" t="str">
            <v>ALEXANDRE BRENO STEVENS</v>
          </cell>
        </row>
        <row r="4">
          <cell r="C4" t="str">
            <v>ALEXANDRE DA COSTA SOARES</v>
          </cell>
        </row>
        <row r="5">
          <cell r="C5" t="str">
            <v>ALEXANDRE DE CARVALHO GALHARDO</v>
          </cell>
        </row>
        <row r="6">
          <cell r="C6" t="str">
            <v>ALI MOHAMAD KANSAOU</v>
          </cell>
        </row>
        <row r="7">
          <cell r="C7" t="str">
            <v>ALINE FAUSTINI</v>
          </cell>
        </row>
        <row r="8">
          <cell r="C8" t="str">
            <v>ALVARO LUIZ RICOTTA SOARES</v>
          </cell>
        </row>
        <row r="9">
          <cell r="C9" t="str">
            <v>ANDRE DE MARI FIUZA</v>
          </cell>
        </row>
        <row r="10">
          <cell r="C10" t="str">
            <v>ANDRE FERREIRA DOS SANTOS</v>
          </cell>
        </row>
        <row r="11">
          <cell r="C11" t="str">
            <v>ANDRE HALL ACCIOLY</v>
          </cell>
        </row>
        <row r="12">
          <cell r="C12" t="str">
            <v>ANDRE LUIZ MARQUES MATTOS</v>
          </cell>
        </row>
        <row r="13">
          <cell r="C13" t="str">
            <v>ANDRE WATT VIANNA</v>
          </cell>
        </row>
        <row r="14">
          <cell r="C14" t="str">
            <v>ANDREA LICASSIA ALMEIDA SANTOS</v>
          </cell>
        </row>
        <row r="15">
          <cell r="C15" t="str">
            <v>ANNA CAROLINA ABRUNHOSA TAPIAS</v>
          </cell>
        </row>
        <row r="16">
          <cell r="C16" t="str">
            <v>ANTONIO AGIZ FILHO</v>
          </cell>
        </row>
        <row r="17">
          <cell r="C17" t="str">
            <v>ANTONIO AUGUSTO DAS CHAGAS CARVALHO</v>
          </cell>
        </row>
        <row r="18">
          <cell r="C18" t="str">
            <v>ANTÔNIO MARTINS NETO</v>
          </cell>
        </row>
        <row r="19">
          <cell r="C19" t="str">
            <v>BRENO MELLO DOS SANTOS</v>
          </cell>
        </row>
        <row r="20">
          <cell r="C20" t="str">
            <v>BRUNO CARVALHO SANTINI</v>
          </cell>
        </row>
        <row r="21">
          <cell r="C21" t="str">
            <v>BRUNO FERREIRA GOMES</v>
          </cell>
        </row>
        <row r="22">
          <cell r="C22" t="str">
            <v>CARLA REGINA DE SOUZA CARREIRA</v>
          </cell>
        </row>
        <row r="23">
          <cell r="C23" t="str">
            <v>CARLO MALTA</v>
          </cell>
        </row>
        <row r="24">
          <cell r="C24" t="str">
            <v>CARLOS BASILE</v>
          </cell>
        </row>
        <row r="25">
          <cell r="C25" t="str">
            <v>CARLOS JOSE SEPPE MILANI</v>
          </cell>
        </row>
        <row r="26">
          <cell r="C26" t="str">
            <v>CARLOS THADEU DE FREITAS GOMES FILHO</v>
          </cell>
        </row>
        <row r="27">
          <cell r="C27" t="str">
            <v>CESAR MARIANO SCARAMBONE MENEZES</v>
          </cell>
        </row>
        <row r="28">
          <cell r="C28" t="str">
            <v>CHRISTIANO MARCONDES DE BARROS LIMA</v>
          </cell>
        </row>
        <row r="29">
          <cell r="C29" t="str">
            <v>CLAUDIO DE SOUZA PACINI</v>
          </cell>
        </row>
        <row r="30">
          <cell r="C30" t="str">
            <v>CLYBAS PINTO FERRAZ NETO</v>
          </cell>
        </row>
        <row r="31">
          <cell r="C31" t="str">
            <v>DANIEL TEIXEIRA SIQUEIRA GONÇALVES</v>
          </cell>
        </row>
        <row r="32">
          <cell r="C32" t="str">
            <v>DANIELA VODOVOZ</v>
          </cell>
        </row>
        <row r="33">
          <cell r="C33" t="str">
            <v>EDRAS DURAES D ANUNCIACAO</v>
          </cell>
        </row>
        <row r="34">
          <cell r="C34" t="str">
            <v>EDUARDO TADEU CARAPIA UTTEMBERG</v>
          </cell>
        </row>
        <row r="35">
          <cell r="C35" t="str">
            <v>ENRICO BORTPLUZO CASSIANO</v>
          </cell>
        </row>
        <row r="36">
          <cell r="C36" t="str">
            <v>ERMINIO OLIVI LUCCI</v>
          </cell>
        </row>
        <row r="37">
          <cell r="C37" t="str">
            <v>FABIANO BONIZZONI</v>
          </cell>
        </row>
        <row r="38">
          <cell r="C38" t="str">
            <v>FABIO SOARES PFAENDER</v>
          </cell>
        </row>
        <row r="39">
          <cell r="C39" t="str">
            <v>FELIPE DE ANDRADE BASILE</v>
          </cell>
        </row>
        <row r="40">
          <cell r="C40" t="str">
            <v>FELIPE DE SA TAVARES</v>
          </cell>
        </row>
        <row r="41">
          <cell r="C41" t="str">
            <v>FELIPE GOMES BASILE</v>
          </cell>
        </row>
        <row r="42">
          <cell r="C42" t="str">
            <v>FELIPE MEIRELLES RACCAH</v>
          </cell>
        </row>
        <row r="43">
          <cell r="C43" t="str">
            <v>FERNANDA CORVELLO BUTRICO</v>
          </cell>
        </row>
        <row r="44">
          <cell r="C44" t="str">
            <v>FERNANDO FERREIRA FEITOSA</v>
          </cell>
        </row>
        <row r="45">
          <cell r="C45" t="str">
            <v>FRANCISCO JOSE DIAS CARVALHO</v>
          </cell>
        </row>
        <row r="46">
          <cell r="C46" t="str">
            <v>FREDERICO PADILHA</v>
          </cell>
        </row>
        <row r="47">
          <cell r="C47" t="str">
            <v>GUSTAVO BURMAS CARVALHO</v>
          </cell>
        </row>
        <row r="48">
          <cell r="C48" t="str">
            <v>GUSTAVO D ELBOUX FERRIELLO</v>
          </cell>
        </row>
        <row r="49">
          <cell r="C49" t="str">
            <v>GUSTAVO TAKASHI SHIMOKAWA</v>
          </cell>
        </row>
        <row r="50">
          <cell r="C50" t="str">
            <v>GUSTAVO VALERIO FERREIRA DE ALBUQUERQUE</v>
          </cell>
        </row>
        <row r="51">
          <cell r="C51" t="str">
            <v>HAMILTON DEL MONACO FILHO</v>
          </cell>
        </row>
        <row r="52">
          <cell r="C52" t="str">
            <v>HUGO BIANCHI RIBEIRO</v>
          </cell>
        </row>
        <row r="53">
          <cell r="C53" t="str">
            <v>JOAO RODRIGUES DOS SANTOS E JUNQUEIRA</v>
          </cell>
        </row>
        <row r="54">
          <cell r="C54" t="str">
            <v>JOSE ANTONIO DEZENE JUNIOR</v>
          </cell>
        </row>
        <row r="55">
          <cell r="C55" t="str">
            <v>JOSE MAURICIO GOMES TEIXEIRA</v>
          </cell>
        </row>
        <row r="56">
          <cell r="C56" t="str">
            <v>JOSÉ VERGARA</v>
          </cell>
        </row>
        <row r="57">
          <cell r="C57" t="str">
            <v>JOSEPH MICHAAN</v>
          </cell>
        </row>
        <row r="58">
          <cell r="C58" t="str">
            <v>JUAREZ JOAQUIM DE LACERDA</v>
          </cell>
        </row>
        <row r="59">
          <cell r="C59" t="str">
            <v>KAUE DOS ANJOS RODRIGUES JACOB</v>
          </cell>
        </row>
        <row r="60">
          <cell r="C60" t="str">
            <v>LEONARDO ANTONIO DE BRITO SAVIANO</v>
          </cell>
        </row>
        <row r="61">
          <cell r="C61" t="str">
            <v>LIQUIDEZ-OTHER</v>
          </cell>
        </row>
        <row r="62">
          <cell r="C62" t="str">
            <v>LUCCA AFONSO</v>
          </cell>
        </row>
        <row r="63">
          <cell r="C63" t="str">
            <v>MARCELLE DA SILVEIRA GIL CADILHE</v>
          </cell>
        </row>
        <row r="64">
          <cell r="C64" t="str">
            <v>MARIO VICTOR SOARES MIRANDA</v>
          </cell>
        </row>
        <row r="65">
          <cell r="C65" t="str">
            <v>MARYLIA CARVALHO PONCE</v>
          </cell>
        </row>
        <row r="66">
          <cell r="C66" t="str">
            <v>MATHEUS DE MORAES NASCIMENTO</v>
          </cell>
        </row>
        <row r="67">
          <cell r="C67" t="str">
            <v>MATHEUS NACIF NESRALLAH</v>
          </cell>
        </row>
        <row r="68">
          <cell r="C68" t="str">
            <v>MELISSA LEITE FIGUEIREDO ROCHA</v>
          </cell>
        </row>
        <row r="69">
          <cell r="C69" t="str">
            <v>NAYANA IVO DE ALMEIDA</v>
          </cell>
        </row>
        <row r="70">
          <cell r="C70" t="str">
            <v>NDF</v>
          </cell>
        </row>
        <row r="71">
          <cell r="C71" t="str">
            <v xml:space="preserve">NICOLAS KINOSHITA LESSA </v>
          </cell>
        </row>
        <row r="72">
          <cell r="C72" t="str">
            <v>OFFSHORE LISTED</v>
          </cell>
        </row>
        <row r="73">
          <cell r="C73" t="str">
            <v>OTTAVIO PICA DE LUCA</v>
          </cell>
        </row>
        <row r="74">
          <cell r="C74" t="str">
            <v>PAOLO FRANCA LIDA</v>
          </cell>
        </row>
        <row r="75">
          <cell r="C75" t="str">
            <v>PAULO GUILHERME MENEZES FELIX</v>
          </cell>
        </row>
        <row r="76">
          <cell r="C76" t="str">
            <v>PAULO VINICIUS RIBEIRO SILVA</v>
          </cell>
        </row>
        <row r="77">
          <cell r="C77" t="str">
            <v>PEDRO AIZEMBERG</v>
          </cell>
        </row>
        <row r="78">
          <cell r="C78" t="str">
            <v>PEDRO HENRIQUE ORTEGA BERNARDES</v>
          </cell>
        </row>
        <row r="79">
          <cell r="C79" t="str">
            <v>PHYDIAS BIANCHI PEREIRA</v>
          </cell>
        </row>
        <row r="80">
          <cell r="C80" t="str">
            <v>RAFAEL FERREIRA DE MAGALHAES</v>
          </cell>
        </row>
        <row r="81">
          <cell r="C81" t="str">
            <v>RAFAEL MARQUES MOREIRA DA COSTA</v>
          </cell>
        </row>
        <row r="82">
          <cell r="C82" t="str">
            <v>RAFAEL TENORIO CAVALCANTI</v>
          </cell>
        </row>
        <row r="83">
          <cell r="C83" t="str">
            <v>RAFFAELE SCURTI NETTO</v>
          </cell>
        </row>
        <row r="84">
          <cell r="C84" t="str">
            <v>RAPHAEL GRIZANTE DA SILVA</v>
          </cell>
        </row>
        <row r="85">
          <cell r="C85" t="str">
            <v>REINALDO ANDRE URBANO FILHO</v>
          </cell>
        </row>
        <row r="86">
          <cell r="C86" t="str">
            <v>RICARDO ANDRE VASCONCELOS RAMOS</v>
          </cell>
        </row>
        <row r="87">
          <cell r="C87" t="str">
            <v>RICARDO FERREIRA DA COSTA</v>
          </cell>
        </row>
        <row r="88">
          <cell r="C88" t="str">
            <v>ROBERT HENDRIK SCHARRINGA</v>
          </cell>
        </row>
        <row r="89">
          <cell r="C89" t="str">
            <v>RODRIGO BETTI MARQUES</v>
          </cell>
        </row>
        <row r="90">
          <cell r="C90" t="str">
            <v>RODRIGO MAZZARELLA PINO</v>
          </cell>
        </row>
        <row r="91">
          <cell r="C91" t="str">
            <v>RODRIGO MOURA MARQUES</v>
          </cell>
        </row>
        <row r="92">
          <cell r="C92" t="str">
            <v>RODRIGO PENTAGNA</v>
          </cell>
        </row>
        <row r="93">
          <cell r="C93" t="str">
            <v>RODRIGO ZARKO VITAL BRASIL</v>
          </cell>
        </row>
        <row r="94">
          <cell r="C94" t="str">
            <v>VICTOR FRANCISCO DOS SANTOS PRETO</v>
          </cell>
        </row>
        <row r="95">
          <cell r="C95" t="str">
            <v>VINICIUS AMARAL DE MOURA</v>
          </cell>
        </row>
        <row r="96">
          <cell r="C96" t="str">
            <v>WESLEY MARQUES DA SILVA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4E5A-51E2-4233-8631-3F0FEBB4DF62}">
  <sheetPr codeName="Sheet14"/>
  <dimension ref="A1:P202"/>
  <sheetViews>
    <sheetView showGridLines="0" workbookViewId="0">
      <selection activeCell="H124" sqref="H124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6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6" x14ac:dyDescent="0.25">
      <c r="A2" s="4" t="str">
        <f>CONCATENATE($J$1,J2,$I$3,M2,$I$3,L2,$I$1,K2,$I$2)</f>
        <v>DESPESA DE REPRESENTAÇÃO - 1/4 PARCELA DO BOX DO RIO OPEN 2026--FILHO DO ERMINIO (AGENDA 38499)</v>
      </c>
      <c r="B2" s="11">
        <v>46023</v>
      </c>
      <c r="C2" s="4">
        <v>817991</v>
      </c>
      <c r="D2" s="16" t="s">
        <v>650</v>
      </c>
      <c r="E2" s="14">
        <v>-868</v>
      </c>
      <c r="F2" s="2" t="s">
        <v>387</v>
      </c>
      <c r="G2" s="2">
        <v>45966</v>
      </c>
      <c r="H2" s="9">
        <v>1170</v>
      </c>
      <c r="I2" s="4" t="s">
        <v>333</v>
      </c>
      <c r="J2" s="4" t="s">
        <v>438</v>
      </c>
      <c r="K2" s="7" t="s">
        <v>436</v>
      </c>
      <c r="L2" s="4" t="s">
        <v>605</v>
      </c>
      <c r="M2" s="9"/>
      <c r="N2" s="4" t="str">
        <f>VLOOKUP(H2,Clientes!B:D,3,)</f>
        <v>BGC LIQUIDEZ DTVM LTDA</v>
      </c>
      <c r="P2" t="e">
        <f>_xlfn.XLOOKUP(K2,#REF!,#REF!,0,0,1)</f>
        <v>#REF!</v>
      </c>
    </row>
    <row r="3" spans="1:16" x14ac:dyDescent="0.25">
      <c r="A3" s="4" t="str">
        <f t="shared" ref="A3:A66" si="0">CONCATENATE($J$1,J3,$I$3,M3,$I$3,L3,$I$1,K3,$I$2)</f>
        <v>DESPESA DE REPRESENTAÇÃO - 1/4 PARCELA DO BOX DO RIO OPEN 2026--AMIGO DO FILHO DO ERMINIO (AGENDA 38499)</v>
      </c>
      <c r="B3" s="11">
        <v>46023</v>
      </c>
      <c r="C3" s="4">
        <v>817991</v>
      </c>
      <c r="D3" s="16" t="s">
        <v>650</v>
      </c>
      <c r="E3" s="14">
        <v>-868</v>
      </c>
      <c r="F3" s="2" t="s">
        <v>387</v>
      </c>
      <c r="G3" s="2">
        <v>45966</v>
      </c>
      <c r="H3" s="9">
        <v>1170</v>
      </c>
      <c r="I3" s="4" t="s">
        <v>336</v>
      </c>
      <c r="J3" s="4" t="s">
        <v>438</v>
      </c>
      <c r="K3" s="7" t="s">
        <v>436</v>
      </c>
      <c r="L3" s="4" t="s">
        <v>606</v>
      </c>
      <c r="M3" s="9"/>
      <c r="N3" s="4" t="str">
        <f>VLOOKUP(H3,Clientes!B:D,3,)</f>
        <v>BGC LIQUIDEZ DTVM LTDA</v>
      </c>
      <c r="P3" t="e">
        <f>_xlfn.XLOOKUP(K3,#REF!,#REF!,0,0,1)</f>
        <v>#REF!</v>
      </c>
    </row>
    <row r="4" spans="1:16" x14ac:dyDescent="0.25">
      <c r="A4" s="4" t="str">
        <f t="shared" si="0"/>
        <v>DESPESA DE REPRESENTAÇÃO - 1/4 PARCELA DO BOX DO RIO OPEN 2026-TRADER-PATRICK GRANDMASSON CROCKETT C (AGENDA 38499)</v>
      </c>
      <c r="B4" s="11">
        <v>46023</v>
      </c>
      <c r="C4" s="4">
        <v>817991</v>
      </c>
      <c r="D4" s="16" t="s">
        <v>31</v>
      </c>
      <c r="E4" s="14">
        <v>-868</v>
      </c>
      <c r="F4" s="2" t="s">
        <v>387</v>
      </c>
      <c r="G4" s="2">
        <v>45966</v>
      </c>
      <c r="H4" s="9">
        <v>14498</v>
      </c>
      <c r="I4" s="4"/>
      <c r="J4" s="4" t="s">
        <v>438</v>
      </c>
      <c r="K4" s="7" t="s">
        <v>436</v>
      </c>
      <c r="L4" s="4" t="s">
        <v>199</v>
      </c>
      <c r="M4" s="9" t="s">
        <v>335</v>
      </c>
      <c r="N4" s="4" t="str">
        <f>VLOOKUP(H4,Clientes!B:D,3,)</f>
        <v>BANCO BOCOM BBM S/A</v>
      </c>
      <c r="P4" t="e">
        <f>_xlfn.XLOOKUP(K4,#REF!,#REF!,0,0,1)</f>
        <v>#REF!</v>
      </c>
    </row>
    <row r="5" spans="1:16" x14ac:dyDescent="0.25">
      <c r="A5" s="4" t="str">
        <f t="shared" si="0"/>
        <v>DESPESA DE REPRESENTAÇÃO - 1/4 PARCELA DO BOX DO RIO OPEN 2026-TRADER-LUCAS BARROS (AGENDA 38499)</v>
      </c>
      <c r="B5" s="11">
        <v>46023</v>
      </c>
      <c r="C5" s="4">
        <v>817991</v>
      </c>
      <c r="D5" s="16" t="s">
        <v>31</v>
      </c>
      <c r="E5" s="14">
        <v>-868</v>
      </c>
      <c r="F5" s="2" t="s">
        <v>387</v>
      </c>
      <c r="G5" s="2">
        <v>45966</v>
      </c>
      <c r="H5" s="9">
        <v>14498</v>
      </c>
      <c r="I5" s="4"/>
      <c r="J5" s="4" t="s">
        <v>438</v>
      </c>
      <c r="K5" s="7" t="s">
        <v>436</v>
      </c>
      <c r="L5" s="4" t="s">
        <v>607</v>
      </c>
      <c r="M5" s="9" t="s">
        <v>335</v>
      </c>
      <c r="N5" s="4" t="str">
        <f>VLOOKUP(H5,Clientes!B:D,3,)</f>
        <v>BANCO BOCOM BBM S/A</v>
      </c>
      <c r="P5" t="e">
        <f>_xlfn.XLOOKUP(K5,#REF!,#REF!,0,0,1)</f>
        <v>#REF!</v>
      </c>
    </row>
    <row r="6" spans="1:16" x14ac:dyDescent="0.25">
      <c r="A6" s="4" t="str">
        <f t="shared" si="0"/>
        <v>DESPESA DE REPRESENTAÇÃO - 1/4 PARCELA DO BOX DO RIO OPEN 2026-TRADER-JOÃO GROSSO (AGENDA 38499)</v>
      </c>
      <c r="B6" s="11">
        <v>46023</v>
      </c>
      <c r="C6" s="4">
        <v>817991</v>
      </c>
      <c r="D6" s="16" t="s">
        <v>31</v>
      </c>
      <c r="E6" s="14">
        <v>-868</v>
      </c>
      <c r="F6" s="2" t="s">
        <v>387</v>
      </c>
      <c r="G6" s="2">
        <v>45966</v>
      </c>
      <c r="H6" s="9">
        <v>14498</v>
      </c>
      <c r="I6" s="4"/>
      <c r="J6" s="4" t="s">
        <v>438</v>
      </c>
      <c r="K6" s="7" t="s">
        <v>436</v>
      </c>
      <c r="L6" s="4" t="s">
        <v>608</v>
      </c>
      <c r="M6" s="9" t="s">
        <v>335</v>
      </c>
      <c r="N6" s="4" t="str">
        <f>VLOOKUP(H6,Clientes!B:D,3,)</f>
        <v>BANCO BOCOM BBM S/A</v>
      </c>
      <c r="P6" t="e">
        <f>_xlfn.XLOOKUP(K6,#REF!,#REF!,0,0,1)</f>
        <v>#REF!</v>
      </c>
    </row>
    <row r="7" spans="1:16" x14ac:dyDescent="0.25">
      <c r="A7" s="4" t="str">
        <f t="shared" si="0"/>
        <v>DESPESA DE REPRESENTAÇÃO - 1/4 PARCELA DO BOX DO RIO OPEN 2026-TRADER-JOAO BESSA (AGENDA 38499)</v>
      </c>
      <c r="B7" s="11">
        <v>46023</v>
      </c>
      <c r="C7" s="4">
        <v>817991</v>
      </c>
      <c r="D7" s="16" t="s">
        <v>646</v>
      </c>
      <c r="E7" s="14">
        <v>-992</v>
      </c>
      <c r="F7" s="2" t="s">
        <v>387</v>
      </c>
      <c r="G7" s="2">
        <v>45966</v>
      </c>
      <c r="H7" s="9">
        <v>14416</v>
      </c>
      <c r="I7" s="4"/>
      <c r="J7" s="4" t="s">
        <v>438</v>
      </c>
      <c r="K7" s="7" t="s">
        <v>436</v>
      </c>
      <c r="L7" s="4" t="s">
        <v>609</v>
      </c>
      <c r="M7" s="9" t="s">
        <v>335</v>
      </c>
      <c r="N7" s="4" t="str">
        <f>VLOOKUP(H7,Clientes!B:D,3,)</f>
        <v>BANCO JP MORGAN S/A</v>
      </c>
      <c r="P7" t="e">
        <f>_xlfn.XLOOKUP(K7,#REF!,#REF!,0,0,1)</f>
        <v>#REF!</v>
      </c>
    </row>
    <row r="8" spans="1:16" x14ac:dyDescent="0.25">
      <c r="A8" s="4" t="str">
        <f t="shared" si="0"/>
        <v>DESPESA DE REPRESENTAÇÃO - 1/4 PARCELA DO BOX DO RIO OPEN 2026--NAMORADA DO JOAO BESSA (AGENDA 38499)</v>
      </c>
      <c r="B8" s="11">
        <v>46023</v>
      </c>
      <c r="C8" s="4">
        <v>817991</v>
      </c>
      <c r="D8" s="16" t="s">
        <v>646</v>
      </c>
      <c r="E8" s="14">
        <v>-992</v>
      </c>
      <c r="F8" s="2" t="s">
        <v>387</v>
      </c>
      <c r="G8" s="2">
        <v>45966</v>
      </c>
      <c r="H8" s="9">
        <v>14416</v>
      </c>
      <c r="I8" s="4"/>
      <c r="J8" s="4" t="s">
        <v>438</v>
      </c>
      <c r="K8" s="7" t="s">
        <v>436</v>
      </c>
      <c r="L8" s="4" t="s">
        <v>610</v>
      </c>
      <c r="M8" s="9"/>
      <c r="N8" s="4" t="str">
        <f>VLOOKUP(H8,Clientes!B:D,3,)</f>
        <v>BANCO JP MORGAN S/A</v>
      </c>
      <c r="P8" t="e">
        <f>_xlfn.XLOOKUP(K8,#REF!,#REF!,0,0,1)</f>
        <v>#REF!</v>
      </c>
    </row>
    <row r="9" spans="1:16" x14ac:dyDescent="0.25">
      <c r="A9" s="4" t="str">
        <f t="shared" si="0"/>
        <v>DESPESA DE REPRESENTAÇÃO - 1/4 PARCELA DO BOX DO RIO OPEN 2026-TRADER-FELIPE NOVAIS GARCIA (AGENDA 38499)</v>
      </c>
      <c r="B9" s="11">
        <v>46023</v>
      </c>
      <c r="C9" s="4">
        <v>817991</v>
      </c>
      <c r="D9" s="16" t="s">
        <v>331</v>
      </c>
      <c r="E9" s="14">
        <v>-992</v>
      </c>
      <c r="F9" s="2" t="s">
        <v>387</v>
      </c>
      <c r="G9" s="2">
        <v>45966</v>
      </c>
      <c r="H9" s="9">
        <v>80573</v>
      </c>
      <c r="I9" s="4"/>
      <c r="J9" s="4" t="s">
        <v>438</v>
      </c>
      <c r="K9" s="7" t="s">
        <v>436</v>
      </c>
      <c r="L9" s="4" t="s">
        <v>611</v>
      </c>
      <c r="M9" s="9" t="s">
        <v>335</v>
      </c>
      <c r="N9" s="4" t="str">
        <f>VLOOKUP(H9,Clientes!B:D,3,)</f>
        <v>BANCO C6 S/A</v>
      </c>
      <c r="P9" t="e">
        <f>_xlfn.XLOOKUP(K9,#REF!,#REF!,0,0,1)</f>
        <v>#REF!</v>
      </c>
    </row>
    <row r="10" spans="1:16" x14ac:dyDescent="0.25">
      <c r="A10" s="4" t="str">
        <f t="shared" si="0"/>
        <v>DESPESA DE REPRESENTAÇÃO - 1/4 PARCELA DO BOX DO RIO OPEN 2026-TRADER-MARCELO ORTEGA (AGENDA 38499)</v>
      </c>
      <c r="B10" s="11">
        <v>46023</v>
      </c>
      <c r="C10" s="4">
        <v>817991</v>
      </c>
      <c r="D10" s="16" t="s">
        <v>331</v>
      </c>
      <c r="E10" s="14">
        <v>-992</v>
      </c>
      <c r="F10" s="2" t="s">
        <v>387</v>
      </c>
      <c r="G10" s="2">
        <v>45966</v>
      </c>
      <c r="H10" s="9">
        <v>80573</v>
      </c>
      <c r="I10" s="4"/>
      <c r="J10" s="4" t="s">
        <v>438</v>
      </c>
      <c r="K10" s="7" t="s">
        <v>436</v>
      </c>
      <c r="L10" s="4" t="s">
        <v>612</v>
      </c>
      <c r="M10" s="9" t="s">
        <v>335</v>
      </c>
      <c r="N10" s="4" t="str">
        <f>VLOOKUP(H10,Clientes!B:D,3,)</f>
        <v>BANCO C6 S/A</v>
      </c>
      <c r="P10" t="e">
        <f>_xlfn.XLOOKUP(K10,#REF!,#REF!,0,0,1)</f>
        <v>#REF!</v>
      </c>
    </row>
    <row r="11" spans="1:16" x14ac:dyDescent="0.25">
      <c r="A11" s="4" t="str">
        <f t="shared" si="0"/>
        <v>DESPESA DE REPRESENTAÇÃO - 1/4 PARCELA DO BOX DO RIO OPEN 2026-TRADER-LUCIANA GARCIA (AGENDA 38499)</v>
      </c>
      <c r="B11" s="11">
        <v>46023</v>
      </c>
      <c r="C11" s="4">
        <v>817991</v>
      </c>
      <c r="D11" s="16" t="s">
        <v>331</v>
      </c>
      <c r="E11" s="14">
        <v>-992</v>
      </c>
      <c r="F11" s="2" t="s">
        <v>387</v>
      </c>
      <c r="G11" s="2">
        <v>45966</v>
      </c>
      <c r="H11" s="9">
        <v>80573</v>
      </c>
      <c r="I11" s="4"/>
      <c r="J11" s="4" t="s">
        <v>438</v>
      </c>
      <c r="K11" s="7" t="s">
        <v>436</v>
      </c>
      <c r="L11" s="4" t="s">
        <v>613</v>
      </c>
      <c r="M11" s="9" t="s">
        <v>335</v>
      </c>
      <c r="N11" s="4" t="str">
        <f>VLOOKUP(H11,Clientes!B:D,3,)</f>
        <v>BANCO C6 S/A</v>
      </c>
      <c r="P11" t="e">
        <f>_xlfn.XLOOKUP(K11,#REF!,#REF!,0,0,1)</f>
        <v>#REF!</v>
      </c>
    </row>
    <row r="12" spans="1:16" x14ac:dyDescent="0.25">
      <c r="A12" s="4" t="str">
        <f t="shared" si="0"/>
        <v>DESPESA DE REPRESENTAÇÃO - 1/4 PARCELA DO BOX DO RIO OPEN 2026-TRADER-DIEGO MONT - STAR SEGURADORA (AGENDA 38499)</v>
      </c>
      <c r="B12" s="11">
        <v>46023</v>
      </c>
      <c r="C12" s="4">
        <v>817991</v>
      </c>
      <c r="D12" s="16" t="s">
        <v>614</v>
      </c>
      <c r="E12" s="14">
        <v>-1116</v>
      </c>
      <c r="F12" s="2" t="s">
        <v>387</v>
      </c>
      <c r="G12" s="2">
        <v>45966</v>
      </c>
      <c r="H12" s="9">
        <v>1170</v>
      </c>
      <c r="I12" s="4"/>
      <c r="J12" s="4" t="s">
        <v>438</v>
      </c>
      <c r="K12" s="7" t="s">
        <v>436</v>
      </c>
      <c r="L12" s="4" t="s">
        <v>616</v>
      </c>
      <c r="M12" s="9" t="s">
        <v>335</v>
      </c>
      <c r="N12" s="4" t="str">
        <f>VLOOKUP(H12,Clientes!B:D,3,)</f>
        <v>BGC LIQUIDEZ DTVM LTDA</v>
      </c>
      <c r="P12" t="e">
        <f>_xlfn.XLOOKUP(K12,#REF!,#REF!,0,0,1)</f>
        <v>#REF!</v>
      </c>
    </row>
    <row r="13" spans="1:16" x14ac:dyDescent="0.25">
      <c r="A13" s="4" t="str">
        <f t="shared" si="0"/>
        <v>DESPESA DE REPRESENTAÇÃO - 1/4 PARCELA DO BOX DO RIO OPEN 2026--ESPOSA DO DIEGO MONT - STAR SEGURADORA (AGENDA 38499)</v>
      </c>
      <c r="B13" s="11">
        <v>46023</v>
      </c>
      <c r="C13" s="4">
        <v>817991</v>
      </c>
      <c r="D13" s="16" t="s">
        <v>614</v>
      </c>
      <c r="E13" s="14">
        <v>-1116</v>
      </c>
      <c r="F13" s="2" t="s">
        <v>387</v>
      </c>
      <c r="G13" s="2">
        <v>45966</v>
      </c>
      <c r="H13" s="9">
        <v>1170</v>
      </c>
      <c r="I13" s="4"/>
      <c r="J13" s="4" t="s">
        <v>438</v>
      </c>
      <c r="K13" s="7" t="s">
        <v>436</v>
      </c>
      <c r="L13" s="4" t="s">
        <v>617</v>
      </c>
      <c r="M13" s="9"/>
      <c r="N13" s="4" t="str">
        <f>VLOOKUP(H13,Clientes!B:D,3,)</f>
        <v>BGC LIQUIDEZ DTVM LTDA</v>
      </c>
      <c r="P13" t="e">
        <f>_xlfn.XLOOKUP(K13,#REF!,#REF!,0,0,1)</f>
        <v>#REF!</v>
      </c>
    </row>
    <row r="14" spans="1:16" x14ac:dyDescent="0.25">
      <c r="A14" s="4" t="str">
        <f t="shared" si="0"/>
        <v>DESPESA DE REPRESENTAÇÃO - 1/4 PARCELA DO BOX DO RIO OPEN 2026-TRADER-MARCOS DE CASTRO LOPEZ (AGENDA 38499)</v>
      </c>
      <c r="B14" s="11">
        <v>46023</v>
      </c>
      <c r="C14" s="4">
        <v>817991</v>
      </c>
      <c r="D14" s="16" t="s">
        <v>615</v>
      </c>
      <c r="E14" s="14">
        <v>-1116</v>
      </c>
      <c r="F14" s="2" t="s">
        <v>387</v>
      </c>
      <c r="G14" s="2">
        <v>45966</v>
      </c>
      <c r="H14" s="9">
        <v>12413</v>
      </c>
      <c r="I14" s="4"/>
      <c r="J14" s="4" t="s">
        <v>438</v>
      </c>
      <c r="K14" s="7" t="s">
        <v>436</v>
      </c>
      <c r="L14" s="4" t="s">
        <v>618</v>
      </c>
      <c r="M14" s="9" t="s">
        <v>335</v>
      </c>
      <c r="N14" s="4" t="str">
        <f>VLOOKUP(H14,Clientes!B:D,3,)</f>
        <v>KAPITALO INVESTIMENTOS LTDA</v>
      </c>
      <c r="P14" t="e">
        <f>_xlfn.XLOOKUP(K14,#REF!,#REF!,0,0,1)</f>
        <v>#REF!</v>
      </c>
    </row>
    <row r="15" spans="1:16" x14ac:dyDescent="0.25">
      <c r="A15" s="4" t="str">
        <f t="shared" si="0"/>
        <v>DESPESA DE REPRESENTAÇÃO - 1/4 PARCELA DO BOX DO RIO OPEN 2026--ESPOSA DO MARCOS DE CASTRO LOPEZ (AGENDA 38499)</v>
      </c>
      <c r="B15" s="11">
        <v>46023</v>
      </c>
      <c r="C15" s="4">
        <v>817991</v>
      </c>
      <c r="D15" s="16" t="s">
        <v>615</v>
      </c>
      <c r="E15" s="14">
        <v>-1116</v>
      </c>
      <c r="F15" s="2" t="s">
        <v>387</v>
      </c>
      <c r="G15" s="2">
        <v>45966</v>
      </c>
      <c r="H15" s="9">
        <v>12413</v>
      </c>
      <c r="I15" s="4"/>
      <c r="J15" s="4" t="s">
        <v>438</v>
      </c>
      <c r="K15" s="7" t="s">
        <v>436</v>
      </c>
      <c r="L15" s="4" t="s">
        <v>619</v>
      </c>
      <c r="M15" s="9"/>
      <c r="N15" s="4" t="str">
        <f>VLOOKUP(H15,Clientes!B:D,3,)</f>
        <v>KAPITALO INVESTIMENTOS LTDA</v>
      </c>
      <c r="P15" t="e">
        <f>_xlfn.XLOOKUP(K15,#REF!,#REF!,0,0,1)</f>
        <v>#REF!</v>
      </c>
    </row>
    <row r="16" spans="1:16" x14ac:dyDescent="0.25">
      <c r="A16" s="4" t="str">
        <f t="shared" si="0"/>
        <v>DESPESA DE REPRESENTAÇÃO - 1/4 PARCELA DO BOX DO RIO OPEN 2026--FILHO DO MARCOS DE CASTRO LOPEZ (AGENDA 38499)</v>
      </c>
      <c r="B16" s="11">
        <v>46023</v>
      </c>
      <c r="C16" s="4">
        <v>817991</v>
      </c>
      <c r="D16" s="16" t="s">
        <v>615</v>
      </c>
      <c r="E16" s="14">
        <v>-1116</v>
      </c>
      <c r="F16" s="2" t="s">
        <v>387</v>
      </c>
      <c r="G16" s="2">
        <v>45966</v>
      </c>
      <c r="H16" s="9">
        <v>12413</v>
      </c>
      <c r="I16" s="4"/>
      <c r="J16" s="4" t="s">
        <v>438</v>
      </c>
      <c r="K16" s="7" t="s">
        <v>436</v>
      </c>
      <c r="L16" s="4" t="s">
        <v>620</v>
      </c>
      <c r="M16" s="9"/>
      <c r="N16" s="4" t="str">
        <f>VLOOKUP(H16,Clientes!B:D,3,)</f>
        <v>KAPITALO INVESTIMENTOS LTDA</v>
      </c>
      <c r="P16" t="e">
        <f>_xlfn.XLOOKUP(K16,#REF!,#REF!,0,0,1)</f>
        <v>#REF!</v>
      </c>
    </row>
    <row r="17" spans="1:16" x14ac:dyDescent="0.25">
      <c r="A17" s="4" t="str">
        <f t="shared" si="0"/>
        <v>DESPESA DE REPRESENTAÇÃO - 1/4 PARCELA DO BOX DO RIO OPEN 2026-TRADER-BRUNO PAULO (AGENDA 38499)</v>
      </c>
      <c r="B17" s="11">
        <v>46023</v>
      </c>
      <c r="C17" s="4">
        <v>817991</v>
      </c>
      <c r="D17" s="16" t="s">
        <v>621</v>
      </c>
      <c r="E17" s="14">
        <v>-124</v>
      </c>
      <c r="F17" s="2" t="s">
        <v>387</v>
      </c>
      <c r="G17" s="2">
        <v>45966</v>
      </c>
      <c r="H17" s="9">
        <v>83063</v>
      </c>
      <c r="I17" s="4"/>
      <c r="J17" s="4" t="s">
        <v>438</v>
      </c>
      <c r="K17" s="7" t="s">
        <v>436</v>
      </c>
      <c r="L17" s="4" t="s">
        <v>622</v>
      </c>
      <c r="M17" s="9" t="s">
        <v>335</v>
      </c>
      <c r="N17" s="4" t="str">
        <f>VLOOKUP(H17,Clientes!B:D,3,)</f>
        <v>SCHONFELD STRATEGIC ADVISORS BRAZIL LTDA.</v>
      </c>
      <c r="P17" t="e">
        <f>_xlfn.XLOOKUP(K17,#REF!,#REF!,0,0,1)</f>
        <v>#REF!</v>
      </c>
    </row>
    <row r="18" spans="1:16" x14ac:dyDescent="0.25">
      <c r="A18" s="4" t="str">
        <f t="shared" si="0"/>
        <v>DESPESA DE REPRESENTAÇÃO - 1/4 PARCELA DO BOX DO RIO OPEN 2026--FILHA DO BRUNO PAULO (AGENDA 38499)</v>
      </c>
      <c r="B18" s="11">
        <v>46023</v>
      </c>
      <c r="C18" s="4">
        <v>817991</v>
      </c>
      <c r="D18" s="16" t="s">
        <v>621</v>
      </c>
      <c r="E18" s="14">
        <v>-124</v>
      </c>
      <c r="F18" s="2" t="s">
        <v>387</v>
      </c>
      <c r="G18" s="2">
        <v>45966</v>
      </c>
      <c r="H18" s="9">
        <v>83063</v>
      </c>
      <c r="I18" s="4"/>
      <c r="J18" s="4" t="s">
        <v>438</v>
      </c>
      <c r="K18" s="7" t="s">
        <v>436</v>
      </c>
      <c r="L18" s="4" t="s">
        <v>623</v>
      </c>
      <c r="M18" s="9"/>
      <c r="N18" s="4" t="str">
        <f>VLOOKUP(H18,Clientes!B:D,3,)</f>
        <v>SCHONFELD STRATEGIC ADVISORS BRAZIL LTDA.</v>
      </c>
      <c r="P18" t="e">
        <f>_xlfn.XLOOKUP(K18,#REF!,#REF!,0,0,1)</f>
        <v>#REF!</v>
      </c>
    </row>
    <row r="19" spans="1:16" x14ac:dyDescent="0.25">
      <c r="A19" s="4" t="str">
        <f t="shared" si="0"/>
        <v>DESPESA DE REPRESENTAÇÃO - 1/4 PARCELA DO BOX DO RIO OPEN 2026-TRADER-ANDRE LOBATO PINHEIRO (AGENDA 38499)</v>
      </c>
      <c r="B19" s="11">
        <v>46023</v>
      </c>
      <c r="C19" s="4">
        <v>817991</v>
      </c>
      <c r="D19" s="16" t="s">
        <v>624</v>
      </c>
      <c r="E19" s="14">
        <v>-124</v>
      </c>
      <c r="F19" s="2" t="s">
        <v>387</v>
      </c>
      <c r="G19" s="2">
        <v>45966</v>
      </c>
      <c r="H19" s="9">
        <v>15501</v>
      </c>
      <c r="I19" s="4"/>
      <c r="J19" s="4" t="s">
        <v>438</v>
      </c>
      <c r="K19" s="7" t="s">
        <v>436</v>
      </c>
      <c r="L19" s="4" t="s">
        <v>154</v>
      </c>
      <c r="M19" s="9" t="s">
        <v>335</v>
      </c>
      <c r="N19" s="4" t="str">
        <f>VLOOKUP(H19,Clientes!B:D,3,)</f>
        <v>BANCO BTG PACTUAL S/A</v>
      </c>
      <c r="P19" t="e">
        <f>_xlfn.XLOOKUP(K19,#REF!,#REF!,0,0,1)</f>
        <v>#REF!</v>
      </c>
    </row>
    <row r="20" spans="1:16" x14ac:dyDescent="0.25">
      <c r="A20" s="4" t="str">
        <f t="shared" si="0"/>
        <v>DESPESA DE REPRESENTAÇÃO - 1/4 PARCELA DO BOX DO RIO OPEN 2026--ESPOSA DO ANDRE LOBATO PINHEIRO (AGENDA 38499)</v>
      </c>
      <c r="B20" s="11">
        <v>46023</v>
      </c>
      <c r="C20" s="4">
        <v>817991</v>
      </c>
      <c r="D20" s="16" t="s">
        <v>624</v>
      </c>
      <c r="E20" s="14">
        <v>-124</v>
      </c>
      <c r="F20" s="2" t="s">
        <v>387</v>
      </c>
      <c r="G20" s="2">
        <v>45966</v>
      </c>
      <c r="H20" s="9">
        <v>15501</v>
      </c>
      <c r="I20" s="4"/>
      <c r="J20" s="4" t="s">
        <v>438</v>
      </c>
      <c r="K20" s="7" t="s">
        <v>436</v>
      </c>
      <c r="L20" s="4" t="s">
        <v>625</v>
      </c>
      <c r="M20" s="9"/>
      <c r="N20" s="4" t="str">
        <f>VLOOKUP(H20,Clientes!B:D,3,)</f>
        <v>BANCO BTG PACTUAL S/A</v>
      </c>
      <c r="P20" t="e">
        <f>_xlfn.XLOOKUP(K20,#REF!,#REF!,0,0,1)</f>
        <v>#REF!</v>
      </c>
    </row>
    <row r="21" spans="1:16" x14ac:dyDescent="0.25">
      <c r="A21" s="4" t="str">
        <f t="shared" si="0"/>
        <v>DESPESA DE REPRESENTAÇÃO - 1/4 PARCELA DO BOX DO RIO OPEN 2026-TRADER-HENRIQUE DE LA ROCQUE (AGENDA 38499)</v>
      </c>
      <c r="B21" s="11">
        <v>46023</v>
      </c>
      <c r="C21" s="4">
        <v>817991</v>
      </c>
      <c r="D21" s="16" t="s">
        <v>23</v>
      </c>
      <c r="E21" s="14">
        <v>-124</v>
      </c>
      <c r="F21" s="2" t="s">
        <v>387</v>
      </c>
      <c r="G21" s="2">
        <v>45966</v>
      </c>
      <c r="H21" s="9">
        <v>125119</v>
      </c>
      <c r="I21" s="4"/>
      <c r="J21" s="4" t="s">
        <v>438</v>
      </c>
      <c r="K21" s="7" t="s">
        <v>436</v>
      </c>
      <c r="L21" s="4" t="s">
        <v>270</v>
      </c>
      <c r="M21" s="9" t="s">
        <v>335</v>
      </c>
      <c r="N21" s="4" t="str">
        <f>VLOOKUP(H21,Clientes!B:D,3,)</f>
        <v>IRB ASSET MANAGEMENT S.A</v>
      </c>
      <c r="P21" t="e">
        <f>_xlfn.XLOOKUP(K21,#REF!,#REF!,0,0,1)</f>
        <v>#REF!</v>
      </c>
    </row>
    <row r="22" spans="1:16" x14ac:dyDescent="0.25">
      <c r="A22" s="4" t="str">
        <f t="shared" si="0"/>
        <v>DESPESA DE REPRESENTAÇÃO - 2/4 PARCELA DO BOX DO RIO OPEN 2026-TRADER-BRUNO PAULO (AGENDA 38500)</v>
      </c>
      <c r="B22" s="11">
        <v>46023</v>
      </c>
      <c r="C22" s="4">
        <v>817991</v>
      </c>
      <c r="D22" s="16" t="s">
        <v>621</v>
      </c>
      <c r="E22" s="14">
        <v>-1116</v>
      </c>
      <c r="F22" s="2" t="s">
        <v>387</v>
      </c>
      <c r="G22" s="2">
        <v>45996</v>
      </c>
      <c r="H22" s="9">
        <v>83063</v>
      </c>
      <c r="I22" s="4"/>
      <c r="J22" s="4" t="s">
        <v>437</v>
      </c>
      <c r="K22" s="7" t="s">
        <v>441</v>
      </c>
      <c r="L22" s="4" t="s">
        <v>622</v>
      </c>
      <c r="M22" s="9" t="s">
        <v>335</v>
      </c>
      <c r="N22" s="4" t="str">
        <f>VLOOKUP(H22,Clientes!B:D,3,)</f>
        <v>SCHONFELD STRATEGIC ADVISORS BRAZIL LTDA.</v>
      </c>
      <c r="P22" t="e">
        <f>_xlfn.XLOOKUP(K22,#REF!,#REF!,0,0,1)</f>
        <v>#REF!</v>
      </c>
    </row>
    <row r="23" spans="1:16" x14ac:dyDescent="0.25">
      <c r="A23" s="4" t="str">
        <f t="shared" si="0"/>
        <v>DESPESA DE REPRESENTAÇÃO - 2/4 PARCELA DO BOX DO RIO OPEN 2026--FILHA DO BRUNO PAULO (AGENDA 38500)</v>
      </c>
      <c r="B23" s="11">
        <v>46023</v>
      </c>
      <c r="C23" s="4">
        <v>817991</v>
      </c>
      <c r="D23" s="16" t="s">
        <v>621</v>
      </c>
      <c r="E23" s="14">
        <v>-1116</v>
      </c>
      <c r="F23" s="2" t="s">
        <v>387</v>
      </c>
      <c r="G23" s="2">
        <v>45996</v>
      </c>
      <c r="H23" s="9">
        <v>83063</v>
      </c>
      <c r="I23" s="4"/>
      <c r="J23" s="4" t="s">
        <v>437</v>
      </c>
      <c r="K23" s="7" t="s">
        <v>441</v>
      </c>
      <c r="L23" s="4" t="s">
        <v>623</v>
      </c>
      <c r="M23" s="9"/>
      <c r="N23" s="4" t="str">
        <f>VLOOKUP(H23,Clientes!B:D,3,)</f>
        <v>SCHONFELD STRATEGIC ADVISORS BRAZIL LTDA.</v>
      </c>
      <c r="P23" t="e">
        <f>_xlfn.XLOOKUP(K23,#REF!,#REF!,0,0,1)</f>
        <v>#REF!</v>
      </c>
    </row>
    <row r="24" spans="1:16" x14ac:dyDescent="0.25">
      <c r="A24" s="4" t="str">
        <f t="shared" si="0"/>
        <v>DESPESA DE REPRESENTAÇÃO - 2/4 PARCELA DO BOX DO RIO OPEN 2026-TRADER-ANDRE LOBATO PINHEIRO (AGENDA 38500)</v>
      </c>
      <c r="B24" s="11">
        <v>46023</v>
      </c>
      <c r="C24" s="4">
        <v>817991</v>
      </c>
      <c r="D24" s="16" t="s">
        <v>624</v>
      </c>
      <c r="E24" s="14">
        <v>-1116</v>
      </c>
      <c r="F24" s="2" t="s">
        <v>387</v>
      </c>
      <c r="G24" s="2">
        <v>45996</v>
      </c>
      <c r="H24" s="9">
        <v>15501</v>
      </c>
      <c r="I24" s="4"/>
      <c r="J24" s="4" t="s">
        <v>437</v>
      </c>
      <c r="K24" s="7" t="s">
        <v>441</v>
      </c>
      <c r="L24" s="4" t="s">
        <v>154</v>
      </c>
      <c r="M24" s="9" t="s">
        <v>335</v>
      </c>
      <c r="N24" s="4" t="str">
        <f>VLOOKUP(H24,Clientes!B:D,3,)</f>
        <v>BANCO BTG PACTUAL S/A</v>
      </c>
      <c r="P24" t="e">
        <f>_xlfn.XLOOKUP(K24,#REF!,#REF!,0,0,1)</f>
        <v>#REF!</v>
      </c>
    </row>
    <row r="25" spans="1:16" x14ac:dyDescent="0.25">
      <c r="A25" s="4" t="str">
        <f t="shared" si="0"/>
        <v>DESPESA DE REPRESENTAÇÃO - 2/4 PARCELA DO BOX DO RIO OPEN 2026--ESPOSA DO ANDRE LOBATO PINHEIRO (AGENDA 38500)</v>
      </c>
      <c r="B25" s="11">
        <v>46023</v>
      </c>
      <c r="C25" s="4">
        <v>817991</v>
      </c>
      <c r="D25" s="16" t="s">
        <v>624</v>
      </c>
      <c r="E25" s="14">
        <v>-1116</v>
      </c>
      <c r="F25" s="2" t="s">
        <v>387</v>
      </c>
      <c r="G25" s="2">
        <v>45996</v>
      </c>
      <c r="H25" s="9">
        <v>15501</v>
      </c>
      <c r="I25" s="4"/>
      <c r="J25" s="4" t="s">
        <v>437</v>
      </c>
      <c r="K25" s="7" t="s">
        <v>441</v>
      </c>
      <c r="L25" s="4" t="s">
        <v>625</v>
      </c>
      <c r="M25" s="9"/>
      <c r="N25" s="4" t="str">
        <f>VLOOKUP(H25,Clientes!B:D,3,)</f>
        <v>BANCO BTG PACTUAL S/A</v>
      </c>
      <c r="P25" t="e">
        <f>_xlfn.XLOOKUP(K25,#REF!,#REF!,0,0,1)</f>
        <v>#REF!</v>
      </c>
    </row>
    <row r="26" spans="1:16" x14ac:dyDescent="0.25">
      <c r="A26" s="4" t="str">
        <f t="shared" si="0"/>
        <v>DESPESA DE REPRESENTAÇÃO - 2/4 PARCELA DO BOX DO RIO OPEN 2026-TRADER-HENRIQUE DE LA ROCQUE (AGENDA 38500)</v>
      </c>
      <c r="B26" s="11">
        <v>46023</v>
      </c>
      <c r="C26" s="4">
        <v>817991</v>
      </c>
      <c r="D26" s="16" t="s">
        <v>23</v>
      </c>
      <c r="E26" s="14">
        <v>-1116</v>
      </c>
      <c r="F26" s="2" t="s">
        <v>387</v>
      </c>
      <c r="G26" s="2">
        <v>45996</v>
      </c>
      <c r="H26" s="9">
        <v>125119</v>
      </c>
      <c r="I26" s="4"/>
      <c r="J26" s="4" t="s">
        <v>437</v>
      </c>
      <c r="K26" s="7" t="s">
        <v>441</v>
      </c>
      <c r="L26" s="4" t="s">
        <v>270</v>
      </c>
      <c r="M26" s="9" t="s">
        <v>335</v>
      </c>
      <c r="N26" s="4" t="str">
        <f>VLOOKUP(H26,Clientes!B:D,3,)</f>
        <v>IRB ASSET MANAGEMENT S.A</v>
      </c>
      <c r="P26" t="e">
        <f>_xlfn.XLOOKUP(K26,#REF!,#REF!,0,0,1)</f>
        <v>#REF!</v>
      </c>
    </row>
    <row r="27" spans="1:16" x14ac:dyDescent="0.25">
      <c r="A27" s="4" t="str">
        <f t="shared" si="0"/>
        <v>DESPESA DE REPRESENTAÇÃO - 2/4 PARCELA DO BOX DO RIO OPEN 2026-TRADER-MARCOS DE CASTRO LOPEZ (AGENDA 38500)</v>
      </c>
      <c r="B27" s="11">
        <v>46023</v>
      </c>
      <c r="C27" s="4">
        <v>817991</v>
      </c>
      <c r="D27" s="16" t="s">
        <v>615</v>
      </c>
      <c r="E27" s="14">
        <v>-1860</v>
      </c>
      <c r="F27" s="2" t="s">
        <v>387</v>
      </c>
      <c r="G27" s="2">
        <v>45996</v>
      </c>
      <c r="H27" s="9">
        <v>12413</v>
      </c>
      <c r="I27" s="4"/>
      <c r="J27" s="4" t="s">
        <v>437</v>
      </c>
      <c r="K27" s="7" t="s">
        <v>441</v>
      </c>
      <c r="L27" s="4" t="s">
        <v>618</v>
      </c>
      <c r="M27" s="9" t="s">
        <v>335</v>
      </c>
      <c r="N27" s="4" t="str">
        <f>VLOOKUP(H27,Clientes!B:D,3,)</f>
        <v>KAPITALO INVESTIMENTOS LTDA</v>
      </c>
      <c r="P27" t="e">
        <f>_xlfn.XLOOKUP(K27,#REF!,#REF!,0,0,1)</f>
        <v>#REF!</v>
      </c>
    </row>
    <row r="28" spans="1:16" x14ac:dyDescent="0.25">
      <c r="A28" s="4" t="str">
        <f t="shared" si="0"/>
        <v>DESPESA DE REPRESENTAÇÃO - 2/4 PARCELA DO BOX DO RIO OPEN 2026--ESPOSA DO MARCOS DE CASTRO LOPEZ (AGENDA 38500)</v>
      </c>
      <c r="B28" s="11">
        <v>46023</v>
      </c>
      <c r="C28" s="4">
        <v>817991</v>
      </c>
      <c r="D28" s="16" t="s">
        <v>615</v>
      </c>
      <c r="E28" s="14">
        <v>-1860</v>
      </c>
      <c r="F28" s="2" t="s">
        <v>387</v>
      </c>
      <c r="G28" s="2">
        <v>45996</v>
      </c>
      <c r="H28" s="9">
        <v>12413</v>
      </c>
      <c r="I28" s="4"/>
      <c r="J28" s="4" t="s">
        <v>437</v>
      </c>
      <c r="K28" s="7" t="s">
        <v>441</v>
      </c>
      <c r="L28" s="4" t="s">
        <v>619</v>
      </c>
      <c r="M28" s="9"/>
      <c r="N28" s="4" t="str">
        <f>VLOOKUP(H28,Clientes!B:D,3,)</f>
        <v>KAPITALO INVESTIMENTOS LTDA</v>
      </c>
      <c r="P28" t="e">
        <f>_xlfn.XLOOKUP(K28,#REF!,#REF!,0,0,1)</f>
        <v>#REF!</v>
      </c>
    </row>
    <row r="29" spans="1:16" x14ac:dyDescent="0.25">
      <c r="A29" s="4" t="str">
        <f t="shared" si="0"/>
        <v>DESPESA DE REPRESENTAÇÃO - 2/4 PARCELA DO BOX DO RIO OPEN 2026-TRADER-FELIPE SANTANA DA SILVEIRA (AGENDA 38500)</v>
      </c>
      <c r="B29" s="11">
        <v>46023</v>
      </c>
      <c r="C29" s="4">
        <v>817991</v>
      </c>
      <c r="D29" s="16" t="s">
        <v>626</v>
      </c>
      <c r="E29" s="14">
        <v>-1860</v>
      </c>
      <c r="F29" s="2" t="s">
        <v>387</v>
      </c>
      <c r="G29" s="2">
        <v>45996</v>
      </c>
      <c r="H29" s="9">
        <v>80958</v>
      </c>
      <c r="I29" s="4"/>
      <c r="J29" s="4" t="s">
        <v>437</v>
      </c>
      <c r="K29" s="7" t="s">
        <v>441</v>
      </c>
      <c r="L29" s="4" t="s">
        <v>627</v>
      </c>
      <c r="M29" s="9" t="s">
        <v>335</v>
      </c>
      <c r="N29" s="4" t="str">
        <f>VLOOKUP(H29,Clientes!B:D,3,)</f>
        <v>ITAU UNIBANCO ASSET - OPTIMUS</v>
      </c>
      <c r="P29" t="e">
        <f>_xlfn.XLOOKUP(K29,#REF!,#REF!,0,0,1)</f>
        <v>#REF!</v>
      </c>
    </row>
    <row r="30" spans="1:16" x14ac:dyDescent="0.25">
      <c r="A30" s="4" t="str">
        <f t="shared" si="0"/>
        <v>DESPESA DE REPRESENTAÇÃO - 2/4 PARCELA DO BOX DO RIO OPEN 2026--ESPOSA DO FELIPE SANTANA DA SILVEIRA (AGENDA 38500)</v>
      </c>
      <c r="B30" s="11">
        <v>46023</v>
      </c>
      <c r="C30" s="4">
        <v>817991</v>
      </c>
      <c r="D30" s="16" t="s">
        <v>626</v>
      </c>
      <c r="E30" s="14">
        <v>-1860</v>
      </c>
      <c r="F30" s="2" t="s">
        <v>387</v>
      </c>
      <c r="G30" s="2">
        <v>45996</v>
      </c>
      <c r="H30" s="9">
        <v>80958</v>
      </c>
      <c r="I30" s="4"/>
      <c r="J30" s="4" t="s">
        <v>437</v>
      </c>
      <c r="K30" s="7" t="s">
        <v>441</v>
      </c>
      <c r="L30" s="4" t="s">
        <v>628</v>
      </c>
      <c r="M30" s="9"/>
      <c r="N30" s="4" t="str">
        <f>VLOOKUP(H30,Clientes!B:D,3,)</f>
        <v>ITAU UNIBANCO ASSET - OPTIMUS</v>
      </c>
      <c r="P30" t="e">
        <f>_xlfn.XLOOKUP(K30,#REF!,#REF!,0,0,1)</f>
        <v>#REF!</v>
      </c>
    </row>
    <row r="31" spans="1:16" x14ac:dyDescent="0.25">
      <c r="A31" s="4" t="str">
        <f t="shared" si="0"/>
        <v>DESPESA DE REPRESENTAÇÃO - 2/4 PARCELA DO BOX DO RIO OPEN 2026-TRADER-GUSTAVO MORAIS SILVA (AGENDA 38500)</v>
      </c>
      <c r="B31" s="11">
        <v>46023</v>
      </c>
      <c r="C31" s="4">
        <v>817991</v>
      </c>
      <c r="D31" s="16" t="s">
        <v>647</v>
      </c>
      <c r="E31" s="14">
        <v>-1860</v>
      </c>
      <c r="F31" s="2" t="s">
        <v>387</v>
      </c>
      <c r="G31" s="2">
        <v>45996</v>
      </c>
      <c r="H31" s="9">
        <v>79372</v>
      </c>
      <c r="I31" s="4"/>
      <c r="J31" s="4" t="s">
        <v>437</v>
      </c>
      <c r="K31" s="7" t="s">
        <v>441</v>
      </c>
      <c r="L31" s="4" t="s">
        <v>629</v>
      </c>
      <c r="M31" s="9" t="s">
        <v>335</v>
      </c>
      <c r="N31" s="4" t="str">
        <f>VLOOKUP(H31,Clientes!B:D,3,)</f>
        <v>ICATU VANGUARDA GESTAO DE RECURSOS LTDA</v>
      </c>
      <c r="P31" t="e">
        <f>_xlfn.XLOOKUP(K31,#REF!,#REF!,0,0,1)</f>
        <v>#REF!</v>
      </c>
    </row>
    <row r="32" spans="1:16" x14ac:dyDescent="0.25">
      <c r="A32" s="4" t="str">
        <f t="shared" si="0"/>
        <v>DESPESA DE REPRESENTAÇÃO - 2/4 PARCELA DO BOX DO RIO OPEN 2026-TRADER-FERNANDO SCARPA R LEITE (AGENDA 38500)</v>
      </c>
      <c r="B32" s="11">
        <v>46023</v>
      </c>
      <c r="C32" s="4">
        <v>817991</v>
      </c>
      <c r="D32" s="16" t="s">
        <v>632</v>
      </c>
      <c r="E32" s="14">
        <v>-124</v>
      </c>
      <c r="F32" s="2" t="s">
        <v>387</v>
      </c>
      <c r="G32" s="2">
        <v>45996</v>
      </c>
      <c r="H32" s="9">
        <v>80375</v>
      </c>
      <c r="I32" s="4"/>
      <c r="J32" s="4" t="s">
        <v>437</v>
      </c>
      <c r="K32" s="7" t="s">
        <v>441</v>
      </c>
      <c r="L32" s="4" t="s">
        <v>630</v>
      </c>
      <c r="M32" s="9" t="s">
        <v>335</v>
      </c>
      <c r="N32" s="4" t="str">
        <f>VLOOKUP(H32,Clientes!B:D,3,)</f>
        <v>ITAU UNIBANCO S/A</v>
      </c>
      <c r="P32" t="e">
        <f>_xlfn.XLOOKUP(K32,#REF!,#REF!,0,0,1)</f>
        <v>#REF!</v>
      </c>
    </row>
    <row r="33" spans="1:16" x14ac:dyDescent="0.25">
      <c r="A33" s="4" t="str">
        <f t="shared" si="0"/>
        <v>DESPESA DE REPRESENTAÇÃO - 2/4 PARCELA DO BOX DO RIO OPEN 2026--FILHA DO FERNANDO SCARPA R LEITE (AGENDA 38500)</v>
      </c>
      <c r="B33" s="11">
        <v>46023</v>
      </c>
      <c r="C33" s="4">
        <v>817991</v>
      </c>
      <c r="D33" s="16" t="s">
        <v>632</v>
      </c>
      <c r="E33" s="14">
        <v>-124</v>
      </c>
      <c r="F33" s="2" t="s">
        <v>387</v>
      </c>
      <c r="G33" s="2">
        <v>45996</v>
      </c>
      <c r="H33" s="9">
        <v>80375</v>
      </c>
      <c r="I33" s="4"/>
      <c r="J33" s="4" t="s">
        <v>437</v>
      </c>
      <c r="K33" s="7" t="s">
        <v>441</v>
      </c>
      <c r="L33" s="4" t="s">
        <v>631</v>
      </c>
      <c r="M33" s="9"/>
      <c r="N33" s="4" t="str">
        <f>VLOOKUP(H33,Clientes!B:D,3,)</f>
        <v>ITAU UNIBANCO S/A</v>
      </c>
      <c r="P33" t="e">
        <f>_xlfn.XLOOKUP(K33,#REF!,#REF!,0,0,1)</f>
        <v>#REF!</v>
      </c>
    </row>
    <row r="34" spans="1:16" x14ac:dyDescent="0.25">
      <c r="A34" s="4" t="str">
        <f t="shared" si="0"/>
        <v>DESPESA DE REPRESENTAÇÃO - 2/4 PARCELA DO BOX DO RIO OPEN 2026-TRADER-LUIZ ALBERTO BASQUEIRA (AGENDA 38500)</v>
      </c>
      <c r="B34" s="11">
        <v>46023</v>
      </c>
      <c r="C34" s="4">
        <v>817991</v>
      </c>
      <c r="D34" s="16" t="s">
        <v>423</v>
      </c>
      <c r="E34" s="14">
        <v>-124</v>
      </c>
      <c r="F34" s="2" t="s">
        <v>387</v>
      </c>
      <c r="G34" s="2">
        <v>45996</v>
      </c>
      <c r="H34" s="9">
        <v>79931</v>
      </c>
      <c r="I34" s="4"/>
      <c r="J34" s="4" t="s">
        <v>437</v>
      </c>
      <c r="K34" s="7" t="s">
        <v>441</v>
      </c>
      <c r="L34" s="4" t="s">
        <v>633</v>
      </c>
      <c r="M34" s="9" t="s">
        <v>335</v>
      </c>
      <c r="N34" s="4" t="str">
        <f>VLOOKUP(H34,Clientes!B:D,3,)</f>
        <v>SPX GESTAO DE RECURSOS LTDA</v>
      </c>
      <c r="P34" t="e">
        <f>_xlfn.XLOOKUP(K34,#REF!,#REF!,0,0,1)</f>
        <v>#REF!</v>
      </c>
    </row>
    <row r="35" spans="1:16" x14ac:dyDescent="0.25">
      <c r="A35" s="4" t="str">
        <f t="shared" si="0"/>
        <v>DESPESA DE REPRESENTAÇÃO - 2/4 PARCELA DO BOX DO RIO OPEN 2026-TRADER-RODRIGO FERREIRA (AGENDA 38500)</v>
      </c>
      <c r="B35" s="11">
        <v>46113</v>
      </c>
      <c r="C35" s="4">
        <v>817991</v>
      </c>
      <c r="D35" s="16" t="s">
        <v>648</v>
      </c>
      <c r="E35" s="14">
        <v>-124</v>
      </c>
      <c r="F35" s="2" t="s">
        <v>387</v>
      </c>
      <c r="G35" s="2">
        <v>45996</v>
      </c>
      <c r="H35" s="9">
        <v>12413</v>
      </c>
      <c r="I35" s="4"/>
      <c r="J35" s="4" t="s">
        <v>437</v>
      </c>
      <c r="K35" s="7" t="s">
        <v>441</v>
      </c>
      <c r="L35" s="4" t="s">
        <v>634</v>
      </c>
      <c r="M35" s="9" t="s">
        <v>335</v>
      </c>
      <c r="N35" s="4" t="str">
        <f>VLOOKUP(H35,Clientes!B:D,3,)</f>
        <v>KAPITALO INVESTIMENTOS LTDA</v>
      </c>
      <c r="P35" t="e">
        <f>_xlfn.XLOOKUP(K35,#REF!,#REF!,0,0,1)</f>
        <v>#REF!</v>
      </c>
    </row>
    <row r="36" spans="1:16" x14ac:dyDescent="0.25">
      <c r="A36" s="4" t="str">
        <f t="shared" si="0"/>
        <v>DESPESA DE REPRESENTAÇÃO - 2/4 PARCELA DO BOX DO RIO OPEN 2026--ESPOSA RODRIGO FERREIRA (AGENDA 38500)</v>
      </c>
      <c r="B36" s="11">
        <v>46113</v>
      </c>
      <c r="C36" s="4">
        <v>817991</v>
      </c>
      <c r="D36" s="16" t="s">
        <v>648</v>
      </c>
      <c r="E36" s="14">
        <v>-124</v>
      </c>
      <c r="F36" s="2" t="s">
        <v>387</v>
      </c>
      <c r="G36" s="2">
        <v>45996</v>
      </c>
      <c r="H36" s="9">
        <v>12413</v>
      </c>
      <c r="I36" s="4"/>
      <c r="J36" s="4" t="s">
        <v>437</v>
      </c>
      <c r="K36" s="7" t="s">
        <v>441</v>
      </c>
      <c r="L36" s="4" t="s">
        <v>635</v>
      </c>
      <c r="M36" s="9"/>
      <c r="N36" s="4" t="str">
        <f>VLOOKUP(H36,Clientes!B:D,3,)</f>
        <v>KAPITALO INVESTIMENTOS LTDA</v>
      </c>
      <c r="P36" t="e">
        <f>_xlfn.XLOOKUP(K36,#REF!,#REF!,0,0,1)</f>
        <v>#REF!</v>
      </c>
    </row>
    <row r="37" spans="1:16" x14ac:dyDescent="0.25">
      <c r="A37" s="4" t="str">
        <f t="shared" si="0"/>
        <v>DESPESA DE REPRESENTAÇÃO - 3/4 PARCELA DO BOX DO RIO OPEN 2026-TRADER-FERNANDO SCARPA R LEITE (AGENDA 38501)</v>
      </c>
      <c r="B37" s="11">
        <v>46023</v>
      </c>
      <c r="C37" s="4">
        <v>817991</v>
      </c>
      <c r="D37" s="1" t="s">
        <v>632</v>
      </c>
      <c r="E37" s="14">
        <v>-2604</v>
      </c>
      <c r="F37" s="5" t="s">
        <v>387</v>
      </c>
      <c r="G37" s="2">
        <v>46027</v>
      </c>
      <c r="H37" s="9">
        <v>80375</v>
      </c>
      <c r="I37" s="4"/>
      <c r="J37" s="4" t="s">
        <v>464</v>
      </c>
      <c r="K37" s="7" t="s">
        <v>465</v>
      </c>
      <c r="L37" s="4" t="s">
        <v>630</v>
      </c>
      <c r="M37" s="9" t="s">
        <v>335</v>
      </c>
      <c r="N37" s="4" t="str">
        <f>VLOOKUP(H37,Clientes!B:D,3,)</f>
        <v>ITAU UNIBANCO S/A</v>
      </c>
      <c r="P37" t="e">
        <f>_xlfn.XLOOKUP(K37,#REF!,#REF!,0,0,1)</f>
        <v>#REF!</v>
      </c>
    </row>
    <row r="38" spans="1:16" x14ac:dyDescent="0.25">
      <c r="A38" s="4" t="str">
        <f t="shared" si="0"/>
        <v>DESPESA DE REPRESENTAÇÃO - 3/4 PARCELA DO BOX DO RIO OPEN 2026--FILHA DO FERNANDO SCARPA R LEITE (AGENDA 38501)</v>
      </c>
      <c r="B38" s="11">
        <v>46023</v>
      </c>
      <c r="C38" s="4">
        <v>817991</v>
      </c>
      <c r="D38" s="16" t="s">
        <v>632</v>
      </c>
      <c r="E38" s="14">
        <v>-2604</v>
      </c>
      <c r="F38" s="2" t="s">
        <v>387</v>
      </c>
      <c r="G38" s="2">
        <v>46027</v>
      </c>
      <c r="H38" s="9">
        <v>80375</v>
      </c>
      <c r="I38" s="4"/>
      <c r="J38" s="4" t="s">
        <v>464</v>
      </c>
      <c r="K38" s="7" t="s">
        <v>465</v>
      </c>
      <c r="L38" s="4" t="s">
        <v>631</v>
      </c>
      <c r="M38" s="9"/>
      <c r="N38" s="4" t="str">
        <f>VLOOKUP(H38,Clientes!B:D,3,)</f>
        <v>ITAU UNIBANCO S/A</v>
      </c>
      <c r="P38" t="e">
        <f>_xlfn.XLOOKUP(K38,#REF!,#REF!,0,0,1)</f>
        <v>#REF!</v>
      </c>
    </row>
    <row r="39" spans="1:16" x14ac:dyDescent="0.25">
      <c r="A39" s="4" t="str">
        <f t="shared" si="0"/>
        <v>DESPESA DE REPRESENTAÇÃO - 3/4 PARCELA DO BOX DO RIO OPEN 2026-TRADER-LUIZ ALBERTO BASQUEIRA (AGENDA 38501)</v>
      </c>
      <c r="B39" s="11">
        <v>46023</v>
      </c>
      <c r="C39" s="4">
        <v>817991</v>
      </c>
      <c r="D39" s="16" t="s">
        <v>423</v>
      </c>
      <c r="E39" s="14">
        <v>-2604</v>
      </c>
      <c r="F39" s="2" t="s">
        <v>387</v>
      </c>
      <c r="G39" s="2">
        <v>46027</v>
      </c>
      <c r="H39" s="9">
        <v>79931</v>
      </c>
      <c r="I39" s="4"/>
      <c r="J39" s="4" t="s">
        <v>464</v>
      </c>
      <c r="K39" s="7" t="s">
        <v>465</v>
      </c>
      <c r="L39" s="4" t="s">
        <v>633</v>
      </c>
      <c r="M39" s="9" t="s">
        <v>335</v>
      </c>
      <c r="N39" s="4" t="str">
        <f>VLOOKUP(H39,Clientes!B:D,3,)</f>
        <v>SPX GESTAO DE RECURSOS LTDA</v>
      </c>
      <c r="P39" t="e">
        <f>_xlfn.XLOOKUP(K39,#REF!,#REF!,0,0,1)</f>
        <v>#REF!</v>
      </c>
    </row>
    <row r="40" spans="1:16" x14ac:dyDescent="0.25">
      <c r="A40" s="4" t="str">
        <f t="shared" si="0"/>
        <v>DESPESA DE REPRESENTAÇÃO - 3/4 PARCELA DO BOX DO RIO OPEN 2026-TRADER-RODRIGO FERREIRA (AGENDA 38501)</v>
      </c>
      <c r="B40" s="11">
        <v>46113</v>
      </c>
      <c r="C40" s="4">
        <v>817991</v>
      </c>
      <c r="D40" s="16" t="s">
        <v>648</v>
      </c>
      <c r="E40" s="14">
        <v>-2604</v>
      </c>
      <c r="F40" s="2" t="s">
        <v>387</v>
      </c>
      <c r="G40" s="2">
        <v>46027</v>
      </c>
      <c r="H40" s="9">
        <v>12413</v>
      </c>
      <c r="I40" s="4"/>
      <c r="J40" s="4" t="s">
        <v>464</v>
      </c>
      <c r="K40" s="7" t="s">
        <v>465</v>
      </c>
      <c r="L40" s="4" t="s">
        <v>634</v>
      </c>
      <c r="M40" s="9" t="s">
        <v>335</v>
      </c>
      <c r="N40" s="4" t="str">
        <f>VLOOKUP(H40,Clientes!B:D,3,)</f>
        <v>KAPITALO INVESTIMENTOS LTDA</v>
      </c>
      <c r="P40" t="e">
        <f>_xlfn.XLOOKUP(K40,#REF!,#REF!,0,0,1)</f>
        <v>#REF!</v>
      </c>
    </row>
    <row r="41" spans="1:16" x14ac:dyDescent="0.25">
      <c r="A41" s="4" t="str">
        <f t="shared" si="0"/>
        <v>DESPESA DE REPRESENTAÇÃO - 3/4 PARCELA DO BOX DO RIO OPEN 2026--ESPOSA RODRIGO FERREIRA (AGENDA 38501)</v>
      </c>
      <c r="B41" s="11">
        <v>46113</v>
      </c>
      <c r="C41" s="4">
        <v>817991</v>
      </c>
      <c r="D41" s="16" t="s">
        <v>648</v>
      </c>
      <c r="E41" s="14">
        <v>-2604</v>
      </c>
      <c r="F41" s="2" t="s">
        <v>387</v>
      </c>
      <c r="G41" s="2">
        <v>46027</v>
      </c>
      <c r="H41" s="9">
        <v>12413</v>
      </c>
      <c r="I41" s="4"/>
      <c r="J41" s="4" t="s">
        <v>464</v>
      </c>
      <c r="K41" s="7" t="s">
        <v>465</v>
      </c>
      <c r="L41" s="4" t="s">
        <v>635</v>
      </c>
      <c r="M41" s="9"/>
      <c r="N41" s="4" t="str">
        <f>VLOOKUP(H41,Clientes!B:D,3,)</f>
        <v>KAPITALO INVESTIMENTOS LTDA</v>
      </c>
      <c r="P41" t="e">
        <f>_xlfn.XLOOKUP(K41,#REF!,#REF!,0,0,1)</f>
        <v>#REF!</v>
      </c>
    </row>
    <row r="42" spans="1:16" x14ac:dyDescent="0.25">
      <c r="A42" s="4" t="str">
        <f t="shared" si="0"/>
        <v>DESPESA DE REPRESENTAÇÃO - 3/4 PARCELA DO BOX DO RIO OPEN 2026--ESPOSA DO ANDRE ACCIOLY (AGENDA 38501)</v>
      </c>
      <c r="B42" s="11">
        <v>46023</v>
      </c>
      <c r="C42" s="4">
        <v>817991</v>
      </c>
      <c r="D42" s="16" t="s">
        <v>423</v>
      </c>
      <c r="E42" s="14">
        <v>-496</v>
      </c>
      <c r="F42" s="2" t="s">
        <v>387</v>
      </c>
      <c r="G42" s="2">
        <v>46027</v>
      </c>
      <c r="H42" s="9">
        <v>1170</v>
      </c>
      <c r="I42" s="4"/>
      <c r="J42" s="4" t="s">
        <v>464</v>
      </c>
      <c r="K42" s="7" t="s">
        <v>465</v>
      </c>
      <c r="L42" s="4" t="s">
        <v>637</v>
      </c>
      <c r="M42" s="9"/>
      <c r="N42" s="4" t="str">
        <f>VLOOKUP(H42,Clientes!B:D,3,)</f>
        <v>BGC LIQUIDEZ DTVM LTDA</v>
      </c>
      <c r="P42" t="e">
        <f>_xlfn.XLOOKUP(K42,#REF!,#REF!,0,0,1)</f>
        <v>#REF!</v>
      </c>
    </row>
    <row r="43" spans="1:16" x14ac:dyDescent="0.25">
      <c r="A43" s="4" t="str">
        <f t="shared" si="0"/>
        <v>DESPESA DE REPRESENTAÇÃO - 3/4 PARCELA DO BOX DO RIO OPEN 2026--FILHO DO ANDRE ACCIOLY (AGENDA 38501)</v>
      </c>
      <c r="B43" s="11">
        <v>46023</v>
      </c>
      <c r="C43" s="4">
        <v>817991</v>
      </c>
      <c r="D43" s="16" t="s">
        <v>423</v>
      </c>
      <c r="E43" s="14">
        <v>-496</v>
      </c>
      <c r="F43" s="2" t="s">
        <v>387</v>
      </c>
      <c r="G43" s="2">
        <v>46027</v>
      </c>
      <c r="H43" s="9">
        <v>1170</v>
      </c>
      <c r="I43" s="4"/>
      <c r="J43" s="4" t="s">
        <v>464</v>
      </c>
      <c r="K43" s="7" t="s">
        <v>465</v>
      </c>
      <c r="L43" s="4" t="s">
        <v>636</v>
      </c>
      <c r="M43" s="9"/>
      <c r="N43" s="4" t="str">
        <f>VLOOKUP(H43,Clientes!B:D,3,)</f>
        <v>BGC LIQUIDEZ DTVM LTDA</v>
      </c>
      <c r="P43" t="e">
        <f>_xlfn.XLOOKUP(K43,#REF!,#REF!,0,0,1)</f>
        <v>#REF!</v>
      </c>
    </row>
    <row r="44" spans="1:16" x14ac:dyDescent="0.25">
      <c r="A44" s="4" t="str">
        <f t="shared" si="0"/>
        <v>DESPESA DE REPRESENTAÇÃO - 3/4 PARCELA DO BOX DO RIO OPEN 2026-BROKER-JOSE MAURICIO GOMES TEIXEIRA (AGENDA 38501)</v>
      </c>
      <c r="B44" s="11">
        <v>46023</v>
      </c>
      <c r="C44" s="4">
        <v>817991</v>
      </c>
      <c r="D44" s="16" t="s">
        <v>23</v>
      </c>
      <c r="E44" s="14">
        <v>-496</v>
      </c>
      <c r="F44" s="2" t="s">
        <v>387</v>
      </c>
      <c r="G44" s="2">
        <v>46027</v>
      </c>
      <c r="H44" s="9">
        <v>1170</v>
      </c>
      <c r="I44" s="4"/>
      <c r="J44" s="4" t="s">
        <v>464</v>
      </c>
      <c r="K44" s="7" t="s">
        <v>465</v>
      </c>
      <c r="L44" s="16" t="s">
        <v>23</v>
      </c>
      <c r="M44" s="9" t="s">
        <v>2</v>
      </c>
      <c r="N44" s="4" t="str">
        <f>VLOOKUP(H44,Clientes!B:D,3,)</f>
        <v>BGC LIQUIDEZ DTVM LTDA</v>
      </c>
      <c r="P44" t="e">
        <f>_xlfn.XLOOKUP(K44,#REF!,#REF!,0,0,1)</f>
        <v>#REF!</v>
      </c>
    </row>
    <row r="45" spans="1:16" x14ac:dyDescent="0.25">
      <c r="A45" s="4" t="str">
        <f t="shared" si="0"/>
        <v>DESPESA DE REPRESENTAÇÃO - 3/4 PARCELA DO BOX DO RIO OPEN 2026--ESPOSA DO JOSE MAURICIO GOMES TEIXEIRA (AGENDA 38501)</v>
      </c>
      <c r="B45" s="11">
        <v>46023</v>
      </c>
      <c r="C45" s="4">
        <v>817991</v>
      </c>
      <c r="D45" s="16" t="s">
        <v>23</v>
      </c>
      <c r="E45" s="14">
        <v>-496</v>
      </c>
      <c r="F45" s="2" t="s">
        <v>387</v>
      </c>
      <c r="G45" s="2">
        <v>46027</v>
      </c>
      <c r="H45" s="9">
        <v>1170</v>
      </c>
      <c r="I45" s="4"/>
      <c r="J45" s="4" t="s">
        <v>464</v>
      </c>
      <c r="K45" s="7" t="s">
        <v>465</v>
      </c>
      <c r="L45" s="16" t="s">
        <v>638</v>
      </c>
      <c r="M45" s="9"/>
      <c r="N45" s="4" t="str">
        <f>VLOOKUP(H45,Clientes!B:D,3,)</f>
        <v>BGC LIQUIDEZ DTVM LTDA</v>
      </c>
      <c r="P45" t="e">
        <f>_xlfn.XLOOKUP(K45,#REF!,#REF!,0,0,1)</f>
        <v>#REF!</v>
      </c>
    </row>
    <row r="46" spans="1:16" x14ac:dyDescent="0.25">
      <c r="A46" s="4" t="str">
        <f t="shared" si="0"/>
        <v>DESPESA DE REPRESENTAÇÃO - 3/4 PARCELA DO BOX DO RIO OPEN 2026-TRADER-LUAN VALENTE (AGENDA 38501)</v>
      </c>
      <c r="B46" s="11">
        <v>46023</v>
      </c>
      <c r="C46" s="4">
        <v>817991</v>
      </c>
      <c r="D46" s="16" t="s">
        <v>23</v>
      </c>
      <c r="E46" s="14">
        <v>-496</v>
      </c>
      <c r="F46" s="2" t="s">
        <v>387</v>
      </c>
      <c r="G46" s="2">
        <v>46027</v>
      </c>
      <c r="H46" s="9">
        <v>80132</v>
      </c>
      <c r="I46" s="4"/>
      <c r="J46" s="4" t="s">
        <v>464</v>
      </c>
      <c r="K46" s="7" t="s">
        <v>465</v>
      </c>
      <c r="L46" s="4" t="s">
        <v>639</v>
      </c>
      <c r="M46" s="9" t="s">
        <v>335</v>
      </c>
      <c r="N46" s="4" t="str">
        <f>VLOOKUP(H46,Clientes!B:D,3,)</f>
        <v>GLOBO COMUNICACAO E PARTICIPACOES S.A</v>
      </c>
      <c r="P46" t="e">
        <f>_xlfn.XLOOKUP(K46,#REF!,#REF!,0,0,1)</f>
        <v>#REF!</v>
      </c>
    </row>
    <row r="47" spans="1:16" x14ac:dyDescent="0.25">
      <c r="A47" s="4" t="str">
        <f t="shared" si="0"/>
        <v>DESPESA DE REPRESENTAÇÃO - CAMAROTE NFL - SEGUNDA PARCELA-TRADER-THUNAY MOTA RAIA (AGENDA 36310)</v>
      </c>
      <c r="B47" s="11">
        <v>46023</v>
      </c>
      <c r="C47" s="4">
        <v>817991</v>
      </c>
      <c r="D47" s="1" t="s">
        <v>132</v>
      </c>
      <c r="E47" s="14">
        <v>-4600</v>
      </c>
      <c r="F47" s="2" t="s">
        <v>387</v>
      </c>
      <c r="G47" s="2">
        <v>45828</v>
      </c>
      <c r="H47" s="9">
        <v>79460</v>
      </c>
      <c r="I47" s="4"/>
      <c r="J47" s="4" t="s">
        <v>435</v>
      </c>
      <c r="K47" s="7" t="s">
        <v>427</v>
      </c>
      <c r="L47" s="9" t="s">
        <v>201</v>
      </c>
      <c r="M47" s="9" t="s">
        <v>335</v>
      </c>
      <c r="N47" s="4" t="str">
        <f>VLOOKUP(H47,Clientes!B:D,3,)</f>
        <v>ITAU UNIBANCO S/A</v>
      </c>
      <c r="P47" t="e">
        <f>_xlfn.XLOOKUP(K47,#REF!,#REF!,0,0,1)</f>
        <v>#REF!</v>
      </c>
    </row>
    <row r="48" spans="1:16" x14ac:dyDescent="0.25">
      <c r="A48" s="4" t="str">
        <f t="shared" si="0"/>
        <v>DESPESA DE REPRESENTAÇÃO - CAMAROTE NFL - SEGUNDA PARCELA-TRADER-BRUNO CHIARADIA PERUCHI (AGENDA 36310)</v>
      </c>
      <c r="B48" s="11">
        <v>46023</v>
      </c>
      <c r="C48" s="4">
        <v>817991</v>
      </c>
      <c r="D48" s="1" t="s">
        <v>39</v>
      </c>
      <c r="E48" s="14">
        <v>-4600</v>
      </c>
      <c r="F48" s="2" t="s">
        <v>387</v>
      </c>
      <c r="G48" s="2">
        <v>45828</v>
      </c>
      <c r="H48" s="9">
        <v>54684</v>
      </c>
      <c r="I48" s="4"/>
      <c r="J48" s="4" t="s">
        <v>435</v>
      </c>
      <c r="K48" s="7" t="s">
        <v>427</v>
      </c>
      <c r="L48" s="9" t="s">
        <v>430</v>
      </c>
      <c r="M48" s="9" t="s">
        <v>335</v>
      </c>
      <c r="N48" s="4" t="str">
        <f>VLOOKUP(H48,Clientes!B:D,3,)</f>
        <v>BANCO RENDIMENTO S/A</v>
      </c>
      <c r="P48" t="e">
        <f>_xlfn.XLOOKUP(K48,#REF!,#REF!,0,0,1)</f>
        <v>#REF!</v>
      </c>
    </row>
    <row r="49" spans="1:16" x14ac:dyDescent="0.25">
      <c r="A49" s="4" t="str">
        <f t="shared" si="0"/>
        <v>DESPESA DE REPRESENTAÇÃO - CAMAROTE NFL - SEGUNDA PARCELA-TRADER-MAURICIO DA COSTA VELASCO (AGENDA 36310)</v>
      </c>
      <c r="B49" s="11">
        <v>46023</v>
      </c>
      <c r="C49" s="4">
        <v>817991</v>
      </c>
      <c r="D49" s="1" t="s">
        <v>378</v>
      </c>
      <c r="E49" s="14">
        <v>-2300</v>
      </c>
      <c r="F49" s="2" t="s">
        <v>387</v>
      </c>
      <c r="G49" s="2">
        <v>45828</v>
      </c>
      <c r="H49" s="9">
        <v>5655</v>
      </c>
      <c r="I49" s="4"/>
      <c r="J49" s="4" t="s">
        <v>435</v>
      </c>
      <c r="K49" s="7" t="s">
        <v>427</v>
      </c>
      <c r="L49" s="9" t="s">
        <v>431</v>
      </c>
      <c r="M49" s="9" t="s">
        <v>335</v>
      </c>
      <c r="N49" s="4" t="e">
        <f>VLOOKUP(H49,Clientes!B:D,3,)</f>
        <v>#N/A</v>
      </c>
      <c r="P49" t="e">
        <f>_xlfn.XLOOKUP(K49,#REF!,#REF!,0,0,1)</f>
        <v>#REF!</v>
      </c>
    </row>
    <row r="50" spans="1:16" x14ac:dyDescent="0.25">
      <c r="A50" s="4" t="str">
        <f t="shared" si="0"/>
        <v>DESPESA DE REPRESENTAÇÃO - CAMAROTE NFL - SEGUNDA PARCELA-TRADER-FERNANDO BARTHOLOMEU] (AGENDA 36310)</v>
      </c>
      <c r="B50" s="11">
        <v>46023</v>
      </c>
      <c r="C50" s="4">
        <v>817991</v>
      </c>
      <c r="D50" s="1" t="s">
        <v>331</v>
      </c>
      <c r="E50" s="14">
        <v>-4600</v>
      </c>
      <c r="F50" s="2" t="s">
        <v>387</v>
      </c>
      <c r="G50" s="2">
        <v>45828</v>
      </c>
      <c r="H50" s="9">
        <v>15781</v>
      </c>
      <c r="I50" s="4"/>
      <c r="J50" s="4" t="s">
        <v>435</v>
      </c>
      <c r="K50" s="7" t="s">
        <v>427</v>
      </c>
      <c r="L50" s="9" t="s">
        <v>434</v>
      </c>
      <c r="M50" s="9" t="s">
        <v>335</v>
      </c>
      <c r="N50" s="4" t="str">
        <f>VLOOKUP(H50,Clientes!B:D,3,)</f>
        <v>BANCO SAFRA S/A</v>
      </c>
      <c r="P50" t="e">
        <f>_xlfn.XLOOKUP(K50,#REF!,#REF!,0,0,1)</f>
        <v>#REF!</v>
      </c>
    </row>
    <row r="51" spans="1:16" x14ac:dyDescent="0.25">
      <c r="A51" s="4" t="str">
        <f t="shared" si="0"/>
        <v>DESPESA DE REPRESENTAÇÃO - CAMAROTE NFL - SEGUNDA PARCELA-TRADER-GUSTAVO VASCONCELLOS (AGENDA 36310)</v>
      </c>
      <c r="B51" s="11">
        <v>46023</v>
      </c>
      <c r="C51" s="4">
        <v>817991</v>
      </c>
      <c r="D51" s="1" t="s">
        <v>31</v>
      </c>
      <c r="E51" s="14">
        <v>-4600</v>
      </c>
      <c r="F51" s="2" t="s">
        <v>387</v>
      </c>
      <c r="G51" s="2">
        <v>45828</v>
      </c>
      <c r="H51" s="9">
        <v>80233</v>
      </c>
      <c r="I51" s="4"/>
      <c r="J51" s="4" t="s">
        <v>435</v>
      </c>
      <c r="K51" s="7" t="s">
        <v>427</v>
      </c>
      <c r="L51" s="9" t="s">
        <v>432</v>
      </c>
      <c r="M51" s="9" t="s">
        <v>335</v>
      </c>
      <c r="N51" s="4" t="str">
        <f>VLOOKUP(H51,Clientes!B:D,3,)</f>
        <v>BANCO ABC BRASIL S/A</v>
      </c>
      <c r="P51" t="e">
        <f>_xlfn.XLOOKUP(K51,#REF!,#REF!,0,0,1)</f>
        <v>#REF!</v>
      </c>
    </row>
    <row r="52" spans="1:16" x14ac:dyDescent="0.25">
      <c r="A52" s="4" t="str">
        <f t="shared" si="0"/>
        <v>DESPESA DE REPRESENTAÇÃO - CAMAROTE NFL - SEGUNDA PARCELA-TRADER-NEWTON AKIHIRO IWAMURA (AGENDA 36310)</v>
      </c>
      <c r="B52" s="11">
        <v>46023</v>
      </c>
      <c r="C52" s="4">
        <v>817991</v>
      </c>
      <c r="D52" s="1" t="s">
        <v>31</v>
      </c>
      <c r="E52" s="14">
        <v>-4600</v>
      </c>
      <c r="F52" s="2" t="s">
        <v>387</v>
      </c>
      <c r="G52" s="2">
        <v>45828</v>
      </c>
      <c r="H52" s="9">
        <v>80343</v>
      </c>
      <c r="I52" s="4"/>
      <c r="J52" s="4" t="s">
        <v>435</v>
      </c>
      <c r="K52" s="7" t="s">
        <v>427</v>
      </c>
      <c r="L52" s="9" t="s">
        <v>433</v>
      </c>
      <c r="M52" s="9" t="s">
        <v>335</v>
      </c>
      <c r="N52" s="4" t="str">
        <f>VLOOKUP(H52,Clientes!B:D,3,)</f>
        <v>BANCO BS2 S/A</v>
      </c>
      <c r="P52" t="e">
        <f>_xlfn.XLOOKUP(K52,#REF!,#REF!,0,0,1)</f>
        <v>#REF!</v>
      </c>
    </row>
    <row r="53" spans="1:16" x14ac:dyDescent="0.25">
      <c r="A53" s="4" t="str">
        <f t="shared" si="0"/>
        <v>DESPESA DE REPRESENTAÇÃO - CAMAROTE NFL - SEGUNDA PARCELA-BROKER-ANTONIO AGIZ FILHO (AGENDA 36310)</v>
      </c>
      <c r="B53" s="11">
        <v>46023</v>
      </c>
      <c r="C53" s="4">
        <v>817991</v>
      </c>
      <c r="D53" s="1" t="s">
        <v>379</v>
      </c>
      <c r="E53" s="14">
        <v>-4600</v>
      </c>
      <c r="F53" s="2" t="s">
        <v>387</v>
      </c>
      <c r="G53" s="2">
        <v>45828</v>
      </c>
      <c r="H53" s="9">
        <v>1170</v>
      </c>
      <c r="I53" s="4"/>
      <c r="J53" s="4" t="s">
        <v>435</v>
      </c>
      <c r="K53" s="7" t="s">
        <v>427</v>
      </c>
      <c r="L53" s="9" t="s">
        <v>379</v>
      </c>
      <c r="M53" s="9" t="s">
        <v>2</v>
      </c>
      <c r="N53" s="4" t="str">
        <f>VLOOKUP(H53,Clientes!B:D,3,)</f>
        <v>BGC LIQUIDEZ DTVM LTDA</v>
      </c>
      <c r="P53" t="e">
        <f>_xlfn.XLOOKUP(K53,#REF!,#REF!,0,0,1)</f>
        <v>#REF!</v>
      </c>
    </row>
    <row r="54" spans="1:16" x14ac:dyDescent="0.25">
      <c r="A54" s="4" t="str">
        <f t="shared" si="0"/>
        <v>DESPESA DE REPRESENTAÇÃO - CAMAROTE NFL - SEGUNDA PARCELA-BROKER-ANTONIO AUGUSTO DAS CHAGAS CARVALHO (AGENDA 36310)</v>
      </c>
      <c r="B54" s="11">
        <v>46023</v>
      </c>
      <c r="C54" s="4">
        <v>817991</v>
      </c>
      <c r="D54" s="1" t="s">
        <v>331</v>
      </c>
      <c r="E54" s="14">
        <v>-4600</v>
      </c>
      <c r="F54" s="2" t="s">
        <v>387</v>
      </c>
      <c r="G54" s="2">
        <v>45828</v>
      </c>
      <c r="H54" s="9">
        <v>1170</v>
      </c>
      <c r="I54" s="4"/>
      <c r="J54" s="4" t="s">
        <v>435</v>
      </c>
      <c r="K54" s="7" t="s">
        <v>427</v>
      </c>
      <c r="L54" s="9" t="s">
        <v>331</v>
      </c>
      <c r="M54" s="9" t="s">
        <v>2</v>
      </c>
      <c r="N54" s="4" t="str">
        <f>VLOOKUP(H54,Clientes!B:D,3,)</f>
        <v>BGC LIQUIDEZ DTVM LTDA</v>
      </c>
      <c r="P54" t="e">
        <f>_xlfn.XLOOKUP(K54,#REF!,#REF!,0,0,1)</f>
        <v>#REF!</v>
      </c>
    </row>
    <row r="55" spans="1:16" x14ac:dyDescent="0.25">
      <c r="A55" s="4" t="str">
        <f t="shared" si="0"/>
        <v>DESPESA DE REPRESENTAÇÃO - CAMAROTE NFL - SEGUNDA PARCELA-BROKER-CARLOS BASILE (AGENDA 36310)</v>
      </c>
      <c r="B55" s="11">
        <v>46023</v>
      </c>
      <c r="C55" s="4">
        <v>817991</v>
      </c>
      <c r="D55" s="1" t="s">
        <v>132</v>
      </c>
      <c r="E55" s="14">
        <v>-4600</v>
      </c>
      <c r="F55" s="2" t="s">
        <v>387</v>
      </c>
      <c r="G55" s="2">
        <v>45828</v>
      </c>
      <c r="H55" s="9">
        <v>1170</v>
      </c>
      <c r="I55" s="4"/>
      <c r="J55" s="4" t="s">
        <v>435</v>
      </c>
      <c r="K55" s="7" t="s">
        <v>427</v>
      </c>
      <c r="L55" s="9" t="s">
        <v>132</v>
      </c>
      <c r="M55" s="9" t="s">
        <v>2</v>
      </c>
      <c r="N55" s="4" t="str">
        <f>VLOOKUP(H55,Clientes!B:D,3,)</f>
        <v>BGC LIQUIDEZ DTVM LTDA</v>
      </c>
      <c r="P55" t="e">
        <f>_xlfn.XLOOKUP(K55,#REF!,#REF!,0,0,1)</f>
        <v>#REF!</v>
      </c>
    </row>
    <row r="56" spans="1:16" x14ac:dyDescent="0.25">
      <c r="A56" s="4" t="str">
        <f t="shared" si="0"/>
        <v>DESPESA DE REPRESENTAÇÃO - 30 CANECAS DE BRINDE PARA O RIO OPEN 2026--FILHO DO ERMINIO (AGENDA 39003)</v>
      </c>
      <c r="B56" s="11">
        <v>46023</v>
      </c>
      <c r="C56" s="4">
        <v>817991</v>
      </c>
      <c r="D56" s="1" t="s">
        <v>423</v>
      </c>
      <c r="E56" s="14">
        <v>-74.485714285714295</v>
      </c>
      <c r="F56" s="5" t="s">
        <v>387</v>
      </c>
      <c r="G56" s="2">
        <v>45988</v>
      </c>
      <c r="H56" s="9">
        <v>1170</v>
      </c>
      <c r="I56" s="4"/>
      <c r="J56" s="4" t="s">
        <v>439</v>
      </c>
      <c r="K56" s="7" t="s">
        <v>440</v>
      </c>
      <c r="L56" s="1" t="s">
        <v>605</v>
      </c>
      <c r="M56" s="9"/>
      <c r="N56" s="4" t="str">
        <f>VLOOKUP(H56,Clientes!B:D,3,)</f>
        <v>BGC LIQUIDEZ DTVM LTDA</v>
      </c>
      <c r="P56" t="e">
        <f>_xlfn.XLOOKUP(K56,#REF!,#REF!,0,0,1)</f>
        <v>#REF!</v>
      </c>
    </row>
    <row r="57" spans="1:16" x14ac:dyDescent="0.25">
      <c r="A57" s="4" t="str">
        <f t="shared" si="0"/>
        <v>DESPESA DE REPRESENTAÇÃO - 30 CANECAS DE BRINDE PARA O RIO OPEN 2026--AMIGO DO FILHO DO ERMINIO (AGENDA 39003)</v>
      </c>
      <c r="B57" s="11">
        <v>46023</v>
      </c>
      <c r="C57" s="4">
        <v>817991</v>
      </c>
      <c r="D57" s="1" t="s">
        <v>423</v>
      </c>
      <c r="E57" s="14">
        <v>-74.485714285714295</v>
      </c>
      <c r="F57" s="5" t="s">
        <v>387</v>
      </c>
      <c r="G57" s="2">
        <v>45988</v>
      </c>
      <c r="H57" s="9">
        <v>1170</v>
      </c>
      <c r="I57" s="4"/>
      <c r="J57" s="4" t="s">
        <v>439</v>
      </c>
      <c r="K57" s="7" t="s">
        <v>440</v>
      </c>
      <c r="L57" s="1" t="s">
        <v>606</v>
      </c>
      <c r="M57" s="9"/>
      <c r="N57" s="4" t="str">
        <f>VLOOKUP(H57,Clientes!B:D,3,)</f>
        <v>BGC LIQUIDEZ DTVM LTDA</v>
      </c>
      <c r="P57" t="e">
        <f>_xlfn.XLOOKUP(K57,#REF!,#REF!,0,0,1)</f>
        <v>#REF!</v>
      </c>
    </row>
    <row r="58" spans="1:16" x14ac:dyDescent="0.25">
      <c r="A58" s="4" t="str">
        <f t="shared" si="0"/>
        <v>DESPESA DE REPRESENTAÇÃO - 30 CANECAS DE BRINDE PARA O RIO OPEN 2026-TRADER-PATRICK GRANDMASSON CROCKETT C (AGENDA 39003)</v>
      </c>
      <c r="B58" s="11">
        <v>46023</v>
      </c>
      <c r="C58" s="4">
        <v>817991</v>
      </c>
      <c r="D58" s="1" t="s">
        <v>31</v>
      </c>
      <c r="E58" s="14">
        <v>-74.485714285714295</v>
      </c>
      <c r="F58" s="5" t="s">
        <v>387</v>
      </c>
      <c r="G58" s="2">
        <v>45988</v>
      </c>
      <c r="H58" s="9">
        <v>14498</v>
      </c>
      <c r="I58" s="4"/>
      <c r="J58" s="4" t="s">
        <v>439</v>
      </c>
      <c r="K58" s="7" t="s">
        <v>440</v>
      </c>
      <c r="L58" s="1" t="s">
        <v>199</v>
      </c>
      <c r="M58" s="9" t="s">
        <v>335</v>
      </c>
      <c r="N58" s="4" t="str">
        <f>VLOOKUP(H58,Clientes!B:D,3,)</f>
        <v>BANCO BOCOM BBM S/A</v>
      </c>
      <c r="P58" t="e">
        <f>_xlfn.XLOOKUP(K58,#REF!,#REF!,0,0,1)</f>
        <v>#REF!</v>
      </c>
    </row>
    <row r="59" spans="1:16" x14ac:dyDescent="0.25">
      <c r="A59" s="4" t="str">
        <f t="shared" si="0"/>
        <v>DESPESA DE REPRESENTAÇÃO - 30 CANECAS DE BRINDE PARA O RIO OPEN 2026-TRADER-LUCAS BARROS (AGENDA 39003)</v>
      </c>
      <c r="B59" s="11">
        <v>46023</v>
      </c>
      <c r="C59" s="4">
        <v>817991</v>
      </c>
      <c r="D59" s="1" t="s">
        <v>31</v>
      </c>
      <c r="E59" s="14">
        <v>-74.485714285714295</v>
      </c>
      <c r="F59" s="5" t="s">
        <v>387</v>
      </c>
      <c r="G59" s="2">
        <v>45988</v>
      </c>
      <c r="H59" s="9">
        <v>14498</v>
      </c>
      <c r="I59" s="4"/>
      <c r="J59" s="4" t="s">
        <v>439</v>
      </c>
      <c r="K59" s="7" t="s">
        <v>440</v>
      </c>
      <c r="L59" s="1" t="s">
        <v>607</v>
      </c>
      <c r="M59" s="9" t="s">
        <v>335</v>
      </c>
      <c r="N59" s="4" t="str">
        <f>VLOOKUP(H59,Clientes!B:D,3,)</f>
        <v>BANCO BOCOM BBM S/A</v>
      </c>
      <c r="P59" t="e">
        <f>_xlfn.XLOOKUP(K59,#REF!,#REF!,0,0,1)</f>
        <v>#REF!</v>
      </c>
    </row>
    <row r="60" spans="1:16" x14ac:dyDescent="0.25">
      <c r="A60" s="4" t="str">
        <f t="shared" si="0"/>
        <v>DESPESA DE REPRESENTAÇÃO - 30 CANECAS DE BRINDE PARA O RIO OPEN 2026-TRADER-JOÃO GROSSO (AGENDA 39003)</v>
      </c>
      <c r="B60" s="11">
        <v>46023</v>
      </c>
      <c r="C60" s="4">
        <v>817991</v>
      </c>
      <c r="D60" s="1" t="s">
        <v>31</v>
      </c>
      <c r="E60" s="14">
        <v>-74.485714285714295</v>
      </c>
      <c r="F60" s="5" t="s">
        <v>387</v>
      </c>
      <c r="G60" s="2">
        <v>45988</v>
      </c>
      <c r="H60" s="9">
        <v>14498</v>
      </c>
      <c r="I60" s="4"/>
      <c r="J60" s="4" t="s">
        <v>439</v>
      </c>
      <c r="K60" s="7" t="s">
        <v>440</v>
      </c>
      <c r="L60" s="1" t="s">
        <v>608</v>
      </c>
      <c r="M60" s="9" t="s">
        <v>335</v>
      </c>
      <c r="N60" s="4" t="str">
        <f>VLOOKUP(H60,Clientes!B:D,3,)</f>
        <v>BANCO BOCOM BBM S/A</v>
      </c>
      <c r="P60" t="e">
        <f>_xlfn.XLOOKUP(K60,#REF!,#REF!,0,0,1)</f>
        <v>#REF!</v>
      </c>
    </row>
    <row r="61" spans="1:16" x14ac:dyDescent="0.25">
      <c r="A61" s="4" t="str">
        <f t="shared" si="0"/>
        <v>DESPESA DE REPRESENTAÇÃO - 30 CANECAS DE BRINDE PARA O RIO OPEN 2026-TRADER-JOAO BESSA (AGENDA 39003)</v>
      </c>
      <c r="B61" s="11">
        <v>46023</v>
      </c>
      <c r="C61" s="4">
        <v>817991</v>
      </c>
      <c r="D61" s="1" t="s">
        <v>646</v>
      </c>
      <c r="E61" s="14">
        <v>-74.485714285714295</v>
      </c>
      <c r="F61" s="5" t="s">
        <v>387</v>
      </c>
      <c r="G61" s="2">
        <v>45988</v>
      </c>
      <c r="H61" s="9">
        <v>14416</v>
      </c>
      <c r="I61" s="4"/>
      <c r="J61" s="4" t="s">
        <v>439</v>
      </c>
      <c r="K61" s="7" t="s">
        <v>440</v>
      </c>
      <c r="L61" s="1" t="s">
        <v>609</v>
      </c>
      <c r="M61" s="9" t="s">
        <v>335</v>
      </c>
      <c r="N61" s="4" t="str">
        <f>VLOOKUP(H61,Clientes!B:D,3,)</f>
        <v>BANCO JP MORGAN S/A</v>
      </c>
      <c r="P61" t="e">
        <f>_xlfn.XLOOKUP(K61,#REF!,#REF!,0,0,1)</f>
        <v>#REF!</v>
      </c>
    </row>
    <row r="62" spans="1:16" x14ac:dyDescent="0.25">
      <c r="A62" s="4" t="str">
        <f t="shared" si="0"/>
        <v>DESPESA DE REPRESENTAÇÃO - 30 CANECAS DE BRINDE PARA O RIO OPEN 2026--NAMORADA DO JOAO BESSA (AGENDA 39003)</v>
      </c>
      <c r="B62" s="11">
        <v>46023</v>
      </c>
      <c r="C62" s="4">
        <v>817991</v>
      </c>
      <c r="D62" s="1" t="s">
        <v>646</v>
      </c>
      <c r="E62" s="14">
        <v>-74.485714285714295</v>
      </c>
      <c r="F62" s="5" t="s">
        <v>387</v>
      </c>
      <c r="G62" s="2">
        <v>45988</v>
      </c>
      <c r="H62" s="9">
        <v>14416</v>
      </c>
      <c r="I62" s="4"/>
      <c r="J62" s="4" t="s">
        <v>439</v>
      </c>
      <c r="K62" s="7" t="s">
        <v>440</v>
      </c>
      <c r="L62" s="1" t="s">
        <v>610</v>
      </c>
      <c r="M62" s="9"/>
      <c r="N62" s="4" t="str">
        <f>VLOOKUP(H62,Clientes!B:D,3,)</f>
        <v>BANCO JP MORGAN S/A</v>
      </c>
      <c r="P62" t="e">
        <f>_xlfn.XLOOKUP(K62,#REF!,#REF!,0,0,1)</f>
        <v>#REF!</v>
      </c>
    </row>
    <row r="63" spans="1:16" x14ac:dyDescent="0.25">
      <c r="A63" s="4" t="str">
        <f t="shared" si="0"/>
        <v>DESPESA DE REPRESENTAÇÃO - 30 CANECAS DE BRINDE PARA O RIO OPEN 2026-TRADER-FELIPE NOVAIS GARCIA (AGENDA 39003)</v>
      </c>
      <c r="B63" s="11">
        <v>46023</v>
      </c>
      <c r="C63" s="4">
        <v>817991</v>
      </c>
      <c r="D63" s="1" t="s">
        <v>331</v>
      </c>
      <c r="E63" s="14">
        <v>-74.485714285714295</v>
      </c>
      <c r="F63" s="5" t="s">
        <v>387</v>
      </c>
      <c r="G63" s="2">
        <v>45988</v>
      </c>
      <c r="H63" s="9">
        <v>80573</v>
      </c>
      <c r="I63" s="4"/>
      <c r="J63" s="4" t="s">
        <v>439</v>
      </c>
      <c r="K63" s="7" t="s">
        <v>440</v>
      </c>
      <c r="L63" s="1" t="s">
        <v>611</v>
      </c>
      <c r="M63" s="9" t="s">
        <v>335</v>
      </c>
      <c r="N63" s="4" t="str">
        <f>VLOOKUP(H63,Clientes!B:D,3,)</f>
        <v>BANCO C6 S/A</v>
      </c>
      <c r="P63" t="e">
        <f>_xlfn.XLOOKUP(K63,#REF!,#REF!,0,0,1)</f>
        <v>#REF!</v>
      </c>
    </row>
    <row r="64" spans="1:16" x14ac:dyDescent="0.25">
      <c r="A64" s="4" t="str">
        <f t="shared" si="0"/>
        <v>DESPESA DE REPRESENTAÇÃO - 30 CANECAS DE BRINDE PARA O RIO OPEN 2026-TRADER-MARCELO ORTEGA (AGENDA 39003)</v>
      </c>
      <c r="B64" s="11">
        <v>46023</v>
      </c>
      <c r="C64" s="4">
        <v>817991</v>
      </c>
      <c r="D64" s="1" t="s">
        <v>331</v>
      </c>
      <c r="E64" s="14">
        <v>-74.485714285714295</v>
      </c>
      <c r="F64" s="5" t="s">
        <v>387</v>
      </c>
      <c r="G64" s="2">
        <v>45988</v>
      </c>
      <c r="H64" s="9">
        <v>80573</v>
      </c>
      <c r="I64" s="4"/>
      <c r="J64" s="4" t="s">
        <v>439</v>
      </c>
      <c r="K64" s="7" t="s">
        <v>440</v>
      </c>
      <c r="L64" s="1" t="s">
        <v>612</v>
      </c>
      <c r="M64" s="9" t="s">
        <v>335</v>
      </c>
      <c r="N64" s="4" t="str">
        <f>VLOOKUP(H64,Clientes!B:D,3,)</f>
        <v>BANCO C6 S/A</v>
      </c>
      <c r="P64" t="e">
        <f>_xlfn.XLOOKUP(K64,#REF!,#REF!,0,0,1)</f>
        <v>#REF!</v>
      </c>
    </row>
    <row r="65" spans="1:16" x14ac:dyDescent="0.25">
      <c r="A65" s="4" t="str">
        <f t="shared" si="0"/>
        <v>DESPESA DE REPRESENTAÇÃO - 30 CANECAS DE BRINDE PARA O RIO OPEN 2026-TRADER-LUCIANA GARCIA (AGENDA 39003)</v>
      </c>
      <c r="B65" s="11">
        <v>46023</v>
      </c>
      <c r="C65" s="4">
        <v>817991</v>
      </c>
      <c r="D65" s="1" t="s">
        <v>331</v>
      </c>
      <c r="E65" s="14">
        <v>-74.485714285714295</v>
      </c>
      <c r="F65" s="5" t="s">
        <v>387</v>
      </c>
      <c r="G65" s="2">
        <v>45988</v>
      </c>
      <c r="H65" s="9">
        <v>80573</v>
      </c>
      <c r="I65" s="4"/>
      <c r="J65" s="4" t="s">
        <v>439</v>
      </c>
      <c r="K65" s="7" t="s">
        <v>440</v>
      </c>
      <c r="L65" s="1" t="s">
        <v>613</v>
      </c>
      <c r="M65" s="9" t="s">
        <v>335</v>
      </c>
      <c r="N65" s="4" t="str">
        <f>VLOOKUP(H65,Clientes!B:D,3,)</f>
        <v>BANCO C6 S/A</v>
      </c>
      <c r="P65" t="e">
        <f>_xlfn.XLOOKUP(K65,#REF!,#REF!,0,0,1)</f>
        <v>#REF!</v>
      </c>
    </row>
    <row r="66" spans="1:16" x14ac:dyDescent="0.25">
      <c r="A66" s="4" t="str">
        <f t="shared" si="0"/>
        <v>DESPESA DE REPRESENTAÇÃO - 30 CANECAS DE BRINDE PARA O RIO OPEN 2026-TRADER-DIEGO MONT - STAR SEGURADORA (AGENDA 39003)</v>
      </c>
      <c r="B66" s="11">
        <v>46023</v>
      </c>
      <c r="C66" s="4">
        <v>817991</v>
      </c>
      <c r="D66" s="1" t="s">
        <v>614</v>
      </c>
      <c r="E66" s="14">
        <v>-74.485714285714295</v>
      </c>
      <c r="F66" s="5" t="s">
        <v>387</v>
      </c>
      <c r="G66" s="2">
        <v>45988</v>
      </c>
      <c r="H66" s="9">
        <v>1170</v>
      </c>
      <c r="I66" s="4"/>
      <c r="J66" s="4" t="s">
        <v>439</v>
      </c>
      <c r="K66" s="7" t="s">
        <v>440</v>
      </c>
      <c r="L66" s="1" t="s">
        <v>616</v>
      </c>
      <c r="M66" s="9" t="s">
        <v>335</v>
      </c>
      <c r="N66" s="4" t="str">
        <f>VLOOKUP(H66,Clientes!B:D,3,)</f>
        <v>BGC LIQUIDEZ DTVM LTDA</v>
      </c>
      <c r="P66" t="e">
        <f>_xlfn.XLOOKUP(K66,#REF!,#REF!,0,0,1)</f>
        <v>#REF!</v>
      </c>
    </row>
    <row r="67" spans="1:16" x14ac:dyDescent="0.25">
      <c r="A67" s="4" t="str">
        <f t="shared" ref="A67:A136" si="1">CONCATENATE($J$1,J67,$I$3,M67,$I$3,L67,$I$1,K67,$I$2)</f>
        <v>DESPESA DE REPRESENTAÇÃO - 30 CANECAS DE BRINDE PARA O RIO OPEN 2026--ESPOSA DO DIEGO MONT - STAR SEGURADORA (AGENDA 39003)</v>
      </c>
      <c r="B67" s="11">
        <v>46023</v>
      </c>
      <c r="C67" s="4">
        <v>817991</v>
      </c>
      <c r="D67" s="1" t="s">
        <v>614</v>
      </c>
      <c r="E67" s="14">
        <v>-74.485714285714295</v>
      </c>
      <c r="F67" s="5" t="s">
        <v>387</v>
      </c>
      <c r="G67" s="2">
        <v>45988</v>
      </c>
      <c r="H67" s="9">
        <v>1170</v>
      </c>
      <c r="I67" s="4"/>
      <c r="J67" s="4" t="s">
        <v>439</v>
      </c>
      <c r="K67" s="7" t="s">
        <v>440</v>
      </c>
      <c r="L67" s="1" t="s">
        <v>617</v>
      </c>
      <c r="M67" s="9"/>
      <c r="N67" s="4" t="str">
        <f>VLOOKUP(H67,Clientes!B:D,3,)</f>
        <v>BGC LIQUIDEZ DTVM LTDA</v>
      </c>
      <c r="P67" t="e">
        <f>_xlfn.XLOOKUP(K67,#REF!,#REF!,0,0,1)</f>
        <v>#REF!</v>
      </c>
    </row>
    <row r="68" spans="1:16" x14ac:dyDescent="0.25">
      <c r="A68" s="4" t="str">
        <f t="shared" si="1"/>
        <v>DESPESA DE REPRESENTAÇÃO - 30 CANECAS DE BRINDE PARA O RIO OPEN 2026-TRADER-MARCOS DE CASTRO LOPEZ (AGENDA 39003)</v>
      </c>
      <c r="B68" s="11">
        <v>46023</v>
      </c>
      <c r="C68" s="4">
        <v>817991</v>
      </c>
      <c r="D68" s="1" t="s">
        <v>615</v>
      </c>
      <c r="E68" s="14">
        <v>-74.485714285714295</v>
      </c>
      <c r="F68" s="5" t="s">
        <v>387</v>
      </c>
      <c r="G68" s="2">
        <v>45988</v>
      </c>
      <c r="H68" s="9">
        <v>12413</v>
      </c>
      <c r="I68" s="4"/>
      <c r="J68" s="4" t="s">
        <v>439</v>
      </c>
      <c r="K68" s="7" t="s">
        <v>440</v>
      </c>
      <c r="L68" s="1" t="s">
        <v>618</v>
      </c>
      <c r="M68" s="9" t="s">
        <v>335</v>
      </c>
      <c r="N68" s="4" t="str">
        <f>VLOOKUP(H68,Clientes!B:D,3,)</f>
        <v>KAPITALO INVESTIMENTOS LTDA</v>
      </c>
      <c r="P68" t="e">
        <f>_xlfn.XLOOKUP(K68,#REF!,#REF!,0,0,1)</f>
        <v>#REF!</v>
      </c>
    </row>
    <row r="69" spans="1:16" x14ac:dyDescent="0.25">
      <c r="A69" s="4" t="str">
        <f t="shared" si="1"/>
        <v>DESPESA DE REPRESENTAÇÃO - 30 CANECAS DE BRINDE PARA O RIO OPEN 2026--ESPOSA DO MARCOS DE CASTRO LOPEZ (AGENDA 39003)</v>
      </c>
      <c r="B69" s="11">
        <v>46023</v>
      </c>
      <c r="C69" s="4">
        <v>817991</v>
      </c>
      <c r="D69" s="1" t="s">
        <v>615</v>
      </c>
      <c r="E69" s="14">
        <v>-74.485714285714295</v>
      </c>
      <c r="F69" s="5" t="s">
        <v>387</v>
      </c>
      <c r="G69" s="2">
        <v>45988</v>
      </c>
      <c r="H69" s="9">
        <v>12413</v>
      </c>
      <c r="I69" s="4"/>
      <c r="J69" s="4" t="s">
        <v>439</v>
      </c>
      <c r="K69" s="7" t="s">
        <v>440</v>
      </c>
      <c r="L69" s="1" t="s">
        <v>619</v>
      </c>
      <c r="M69" s="9"/>
      <c r="N69" s="4" t="str">
        <f>VLOOKUP(H69,Clientes!B:D,3,)</f>
        <v>KAPITALO INVESTIMENTOS LTDA</v>
      </c>
      <c r="P69" t="e">
        <f>_xlfn.XLOOKUP(K69,#REF!,#REF!,0,0,1)</f>
        <v>#REF!</v>
      </c>
    </row>
    <row r="70" spans="1:16" x14ac:dyDescent="0.25">
      <c r="A70" s="4" t="str">
        <f t="shared" si="1"/>
        <v>DESPESA DE REPRESENTAÇÃO - 30 CANECAS DE BRINDE PARA O RIO OPEN 2026--FILHO DO MARCOS DE CASTRO LOPEZ (AGENDA 39003)</v>
      </c>
      <c r="B70" s="11">
        <v>46023</v>
      </c>
      <c r="C70" s="4">
        <v>817991</v>
      </c>
      <c r="D70" s="1" t="s">
        <v>615</v>
      </c>
      <c r="E70" s="14">
        <v>-74.485714285714295</v>
      </c>
      <c r="F70" s="5" t="s">
        <v>387</v>
      </c>
      <c r="G70" s="2">
        <v>45988</v>
      </c>
      <c r="H70" s="9">
        <v>12413</v>
      </c>
      <c r="I70" s="4"/>
      <c r="J70" s="4" t="s">
        <v>439</v>
      </c>
      <c r="K70" s="7" t="s">
        <v>440</v>
      </c>
      <c r="L70" s="1" t="s">
        <v>620</v>
      </c>
      <c r="M70" s="9"/>
      <c r="N70" s="4" t="str">
        <f>VLOOKUP(H70,Clientes!B:D,3,)</f>
        <v>KAPITALO INVESTIMENTOS LTDA</v>
      </c>
      <c r="P70" t="e">
        <f>_xlfn.XLOOKUP(K70,#REF!,#REF!,0,0,1)</f>
        <v>#REF!</v>
      </c>
    </row>
    <row r="71" spans="1:16" x14ac:dyDescent="0.25">
      <c r="A71" s="4" t="str">
        <f t="shared" si="1"/>
        <v>DESPESA DE REPRESENTAÇÃO - 30 CANECAS DE BRINDE PARA O RIO OPEN 2026-TRADER-BRUNO PAULO (AGENDA 39003)</v>
      </c>
      <c r="B71" s="11">
        <v>46023</v>
      </c>
      <c r="C71" s="4">
        <v>817991</v>
      </c>
      <c r="D71" s="1" t="s">
        <v>621</v>
      </c>
      <c r="E71" s="14">
        <v>-74.485714285714295</v>
      </c>
      <c r="F71" s="5" t="s">
        <v>387</v>
      </c>
      <c r="G71" s="2">
        <v>45988</v>
      </c>
      <c r="H71" s="9">
        <v>83063</v>
      </c>
      <c r="I71" s="4"/>
      <c r="J71" s="4" t="s">
        <v>439</v>
      </c>
      <c r="K71" s="7" t="s">
        <v>440</v>
      </c>
      <c r="L71" s="1" t="s">
        <v>622</v>
      </c>
      <c r="M71" s="9" t="s">
        <v>335</v>
      </c>
      <c r="N71" s="4" t="str">
        <f>VLOOKUP(H71,Clientes!B:D,3,)</f>
        <v>SCHONFELD STRATEGIC ADVISORS BRAZIL LTDA.</v>
      </c>
      <c r="P71" t="e">
        <f>_xlfn.XLOOKUP(K71,#REF!,#REF!,0,0,1)</f>
        <v>#REF!</v>
      </c>
    </row>
    <row r="72" spans="1:16" x14ac:dyDescent="0.25">
      <c r="A72" s="4" t="str">
        <f t="shared" si="1"/>
        <v>DESPESA DE REPRESENTAÇÃO - 30 CANECAS DE BRINDE PARA O RIO OPEN 2026--FILHA DO BRUNO PAULO (AGENDA 39003)</v>
      </c>
      <c r="B72" s="11">
        <v>46023</v>
      </c>
      <c r="C72" s="4">
        <v>817991</v>
      </c>
      <c r="D72" s="1" t="s">
        <v>621</v>
      </c>
      <c r="E72" s="14">
        <v>-74.485714285714295</v>
      </c>
      <c r="F72" s="5" t="s">
        <v>387</v>
      </c>
      <c r="G72" s="2">
        <v>45988</v>
      </c>
      <c r="H72" s="9">
        <v>83063</v>
      </c>
      <c r="I72" s="4"/>
      <c r="J72" s="4" t="s">
        <v>439</v>
      </c>
      <c r="K72" s="7" t="s">
        <v>440</v>
      </c>
      <c r="L72" s="1" t="s">
        <v>623</v>
      </c>
      <c r="M72" s="9"/>
      <c r="N72" s="4" t="str">
        <f>VLOOKUP(H72,Clientes!B:D,3,)</f>
        <v>SCHONFELD STRATEGIC ADVISORS BRAZIL LTDA.</v>
      </c>
      <c r="P72" t="e">
        <f>_xlfn.XLOOKUP(K72,#REF!,#REF!,0,0,1)</f>
        <v>#REF!</v>
      </c>
    </row>
    <row r="73" spans="1:16" x14ac:dyDescent="0.25">
      <c r="A73" s="4" t="str">
        <f t="shared" si="1"/>
        <v>DESPESA DE REPRESENTAÇÃO - 30 CANECAS DE BRINDE PARA O RIO OPEN 2026-TRADER-ANDRE LOBATO PINHEIRO (AGENDA 39003)</v>
      </c>
      <c r="B73" s="11">
        <v>46023</v>
      </c>
      <c r="C73" s="4">
        <v>817991</v>
      </c>
      <c r="D73" s="1" t="s">
        <v>624</v>
      </c>
      <c r="E73" s="14">
        <v>-74.485714285714295</v>
      </c>
      <c r="F73" s="5" t="s">
        <v>387</v>
      </c>
      <c r="G73" s="2">
        <v>45988</v>
      </c>
      <c r="H73" s="9">
        <v>15501</v>
      </c>
      <c r="I73" s="4"/>
      <c r="J73" s="4" t="s">
        <v>439</v>
      </c>
      <c r="K73" s="7" t="s">
        <v>440</v>
      </c>
      <c r="L73" s="1" t="s">
        <v>154</v>
      </c>
      <c r="M73" s="9" t="s">
        <v>335</v>
      </c>
      <c r="N73" s="4" t="str">
        <f>VLOOKUP(H73,Clientes!B:D,3,)</f>
        <v>BANCO BTG PACTUAL S/A</v>
      </c>
      <c r="P73" t="e">
        <f>_xlfn.XLOOKUP(K73,#REF!,#REF!,0,0,1)</f>
        <v>#REF!</v>
      </c>
    </row>
    <row r="74" spans="1:16" x14ac:dyDescent="0.25">
      <c r="A74" s="4" t="str">
        <f t="shared" si="1"/>
        <v>DESPESA DE REPRESENTAÇÃO - 30 CANECAS DE BRINDE PARA O RIO OPEN 2026--ESPOSA DO ANDRE LOBATO PINHEIRO (AGENDA 39003)</v>
      </c>
      <c r="B74" s="11">
        <v>46023</v>
      </c>
      <c r="C74" s="4">
        <v>817991</v>
      </c>
      <c r="D74" s="1" t="s">
        <v>624</v>
      </c>
      <c r="E74" s="14">
        <v>-74.485714285714295</v>
      </c>
      <c r="F74" s="5" t="s">
        <v>387</v>
      </c>
      <c r="G74" s="2">
        <v>45988</v>
      </c>
      <c r="H74" s="9">
        <v>15501</v>
      </c>
      <c r="I74" s="4"/>
      <c r="J74" s="4" t="s">
        <v>439</v>
      </c>
      <c r="K74" s="7" t="s">
        <v>440</v>
      </c>
      <c r="L74" s="1" t="s">
        <v>625</v>
      </c>
      <c r="M74" s="9"/>
      <c r="N74" s="4" t="str">
        <f>VLOOKUP(H74,Clientes!B:D,3,)</f>
        <v>BANCO BTG PACTUAL S/A</v>
      </c>
      <c r="P74" t="e">
        <f>_xlfn.XLOOKUP(K74,#REF!,#REF!,0,0,1)</f>
        <v>#REF!</v>
      </c>
    </row>
    <row r="75" spans="1:16" x14ac:dyDescent="0.25">
      <c r="A75" s="4" t="str">
        <f t="shared" si="1"/>
        <v>DESPESA DE REPRESENTAÇÃO - 30 CANECAS DE BRINDE PARA O RIO OPEN 2026-TRADER-HENRIQUE DE LA ROCQUE (AGENDA 39003)</v>
      </c>
      <c r="B75" s="11">
        <v>46023</v>
      </c>
      <c r="C75" s="4">
        <v>817991</v>
      </c>
      <c r="D75" s="1" t="s">
        <v>23</v>
      </c>
      <c r="E75" s="14">
        <v>-74.485714285714295</v>
      </c>
      <c r="F75" s="5" t="s">
        <v>387</v>
      </c>
      <c r="G75" s="2">
        <v>45988</v>
      </c>
      <c r="H75" s="9">
        <v>125119</v>
      </c>
      <c r="I75" s="4"/>
      <c r="J75" s="4" t="s">
        <v>439</v>
      </c>
      <c r="K75" s="7" t="s">
        <v>440</v>
      </c>
      <c r="L75" s="1" t="s">
        <v>270</v>
      </c>
      <c r="M75" s="9" t="s">
        <v>335</v>
      </c>
      <c r="N75" s="4" t="str">
        <f>VLOOKUP(H75,Clientes!B:D,3,)</f>
        <v>IRB ASSET MANAGEMENT S.A</v>
      </c>
      <c r="P75" t="e">
        <f>_xlfn.XLOOKUP(K75,#REF!,#REF!,0,0,1)</f>
        <v>#REF!</v>
      </c>
    </row>
    <row r="76" spans="1:16" x14ac:dyDescent="0.25">
      <c r="A76" s="4" t="str">
        <f t="shared" si="1"/>
        <v>DESPESA DE REPRESENTAÇÃO - 30 CANECAS DE BRINDE PARA O RIO OPEN 2026-TRADER-MARCOS DE CASTRO LOPEZ (AGENDA 39003)</v>
      </c>
      <c r="B76" s="11">
        <v>46023</v>
      </c>
      <c r="C76" s="4">
        <v>817991</v>
      </c>
      <c r="D76" s="1" t="s">
        <v>615</v>
      </c>
      <c r="E76" s="14">
        <v>-74.485714285714295</v>
      </c>
      <c r="F76" s="5" t="s">
        <v>387</v>
      </c>
      <c r="G76" s="2">
        <v>45988</v>
      </c>
      <c r="H76" s="9">
        <v>12413</v>
      </c>
      <c r="I76" s="4"/>
      <c r="J76" s="4" t="s">
        <v>439</v>
      </c>
      <c r="K76" s="7" t="s">
        <v>440</v>
      </c>
      <c r="L76" s="1" t="s">
        <v>618</v>
      </c>
      <c r="M76" s="9" t="s">
        <v>335</v>
      </c>
      <c r="N76" s="4" t="str">
        <f>VLOOKUP(H76,Clientes!B:D,3,)</f>
        <v>KAPITALO INVESTIMENTOS LTDA</v>
      </c>
      <c r="P76" t="e">
        <f>_xlfn.XLOOKUP(K76,#REF!,#REF!,0,0,1)</f>
        <v>#REF!</v>
      </c>
    </row>
    <row r="77" spans="1:16" x14ac:dyDescent="0.25">
      <c r="A77" s="4" t="str">
        <f t="shared" si="1"/>
        <v>DESPESA DE REPRESENTAÇÃO - 30 CANECAS DE BRINDE PARA O RIO OPEN 2026--ESPOSA DO MARCOS DE CASTRO LOPEZ (AGENDA 39003)</v>
      </c>
      <c r="B77" s="11">
        <v>46023</v>
      </c>
      <c r="C77" s="4">
        <v>817991</v>
      </c>
      <c r="D77" s="1" t="s">
        <v>615</v>
      </c>
      <c r="E77" s="14">
        <v>-74.485714285714295</v>
      </c>
      <c r="F77" s="5" t="s">
        <v>387</v>
      </c>
      <c r="G77" s="2">
        <v>45988</v>
      </c>
      <c r="H77" s="9">
        <v>12413</v>
      </c>
      <c r="I77" s="4"/>
      <c r="J77" s="4" t="s">
        <v>439</v>
      </c>
      <c r="K77" s="7" t="s">
        <v>440</v>
      </c>
      <c r="L77" s="1" t="s">
        <v>619</v>
      </c>
      <c r="M77" s="9"/>
      <c r="N77" s="4" t="str">
        <f>VLOOKUP(H77,Clientes!B:D,3,)</f>
        <v>KAPITALO INVESTIMENTOS LTDA</v>
      </c>
      <c r="P77" t="e">
        <f>_xlfn.XLOOKUP(K77,#REF!,#REF!,0,0,1)</f>
        <v>#REF!</v>
      </c>
    </row>
    <row r="78" spans="1:16" x14ac:dyDescent="0.25">
      <c r="A78" s="4" t="str">
        <f t="shared" si="1"/>
        <v>DESPESA DE REPRESENTAÇÃO - 30 CANECAS DE BRINDE PARA O RIO OPEN 2026-TRADER-FELIPE SANTANA DA SILVEIRA (AGENDA 39003)</v>
      </c>
      <c r="B78" s="11">
        <v>46023</v>
      </c>
      <c r="C78" s="4">
        <v>817991</v>
      </c>
      <c r="D78" s="1" t="s">
        <v>626</v>
      </c>
      <c r="E78" s="14">
        <v>-74.485714285714295</v>
      </c>
      <c r="F78" s="5" t="s">
        <v>387</v>
      </c>
      <c r="G78" s="2">
        <v>45988</v>
      </c>
      <c r="H78" s="9">
        <v>80958</v>
      </c>
      <c r="I78" s="4"/>
      <c r="J78" s="4" t="s">
        <v>439</v>
      </c>
      <c r="K78" s="7" t="s">
        <v>440</v>
      </c>
      <c r="L78" s="1" t="s">
        <v>627</v>
      </c>
      <c r="M78" s="9" t="s">
        <v>335</v>
      </c>
      <c r="N78" s="4" t="str">
        <f>VLOOKUP(H78,Clientes!B:D,3,)</f>
        <v>ITAU UNIBANCO ASSET - OPTIMUS</v>
      </c>
      <c r="P78" t="e">
        <f>_xlfn.XLOOKUP(K78,#REF!,#REF!,0,0,1)</f>
        <v>#REF!</v>
      </c>
    </row>
    <row r="79" spans="1:16" x14ac:dyDescent="0.25">
      <c r="A79" s="4" t="str">
        <f t="shared" si="1"/>
        <v>DESPESA DE REPRESENTAÇÃO - 30 CANECAS DE BRINDE PARA O RIO OPEN 2026--ESPOSA DO FELIPE SANTANA DA SILVEIRA (AGENDA 39003)</v>
      </c>
      <c r="B79" s="11">
        <v>46023</v>
      </c>
      <c r="C79" s="4">
        <v>817991</v>
      </c>
      <c r="D79" s="1" t="s">
        <v>626</v>
      </c>
      <c r="E79" s="14">
        <v>-74.485714285714295</v>
      </c>
      <c r="F79" s="5" t="s">
        <v>387</v>
      </c>
      <c r="G79" s="2">
        <v>45988</v>
      </c>
      <c r="H79" s="9">
        <v>80958</v>
      </c>
      <c r="I79" s="4"/>
      <c r="J79" s="4" t="s">
        <v>439</v>
      </c>
      <c r="K79" s="7" t="s">
        <v>440</v>
      </c>
      <c r="L79" s="1" t="s">
        <v>628</v>
      </c>
      <c r="M79" s="9"/>
      <c r="N79" s="4" t="str">
        <f>VLOOKUP(H79,Clientes!B:D,3,)</f>
        <v>ITAU UNIBANCO ASSET - OPTIMUS</v>
      </c>
      <c r="P79" t="e">
        <f>_xlfn.XLOOKUP(K79,#REF!,#REF!,0,0,1)</f>
        <v>#REF!</v>
      </c>
    </row>
    <row r="80" spans="1:16" x14ac:dyDescent="0.25">
      <c r="A80" s="4" t="str">
        <f t="shared" si="1"/>
        <v>DESPESA DE REPRESENTAÇÃO - 30 CANECAS DE BRINDE PARA O RIO OPEN 2026-TRADER-GUSTAVO MORAIS SILVA (AGENDA 39003)</v>
      </c>
      <c r="B80" s="11">
        <v>46023</v>
      </c>
      <c r="C80" s="4">
        <v>817991</v>
      </c>
      <c r="D80" s="16" t="s">
        <v>647</v>
      </c>
      <c r="E80" s="14">
        <v>-74.485714285714295</v>
      </c>
      <c r="F80" s="5" t="s">
        <v>387</v>
      </c>
      <c r="G80" s="2">
        <v>45988</v>
      </c>
      <c r="H80" s="9">
        <v>79372</v>
      </c>
      <c r="I80" s="4"/>
      <c r="J80" s="4" t="s">
        <v>439</v>
      </c>
      <c r="K80" s="7" t="s">
        <v>440</v>
      </c>
      <c r="L80" s="1" t="s">
        <v>629</v>
      </c>
      <c r="M80" s="9" t="s">
        <v>335</v>
      </c>
      <c r="N80" s="4" t="str">
        <f>VLOOKUP(H80,Clientes!B:D,3,)</f>
        <v>ICATU VANGUARDA GESTAO DE RECURSOS LTDA</v>
      </c>
      <c r="P80" t="e">
        <f>_xlfn.XLOOKUP(K80,#REF!,#REF!,0,0,1)</f>
        <v>#REF!</v>
      </c>
    </row>
    <row r="81" spans="1:16" x14ac:dyDescent="0.25">
      <c r="A81" s="4" t="str">
        <f t="shared" si="1"/>
        <v>DESPESA DE REPRESENTAÇÃO - 30 CANECAS DE BRINDE PARA O RIO OPEN 2026-TRADER-FERNANDO SCARPA R LEITE (AGENDA 39003)</v>
      </c>
      <c r="B81" s="11">
        <v>46023</v>
      </c>
      <c r="C81" s="4">
        <v>817991</v>
      </c>
      <c r="D81" s="1" t="s">
        <v>632</v>
      </c>
      <c r="E81" s="14">
        <v>-74.485714285714295</v>
      </c>
      <c r="F81" s="5" t="s">
        <v>387</v>
      </c>
      <c r="G81" s="2">
        <v>45988</v>
      </c>
      <c r="H81" s="9">
        <v>80375</v>
      </c>
      <c r="I81" s="4"/>
      <c r="J81" s="4" t="s">
        <v>439</v>
      </c>
      <c r="K81" s="7" t="s">
        <v>440</v>
      </c>
      <c r="L81" s="1" t="s">
        <v>630</v>
      </c>
      <c r="M81" s="9" t="s">
        <v>335</v>
      </c>
      <c r="N81" s="4" t="str">
        <f>VLOOKUP(H81,Clientes!B:D,3,)</f>
        <v>ITAU UNIBANCO S/A</v>
      </c>
      <c r="P81" t="e">
        <f>_xlfn.XLOOKUP(K81,#REF!,#REF!,0,0,1)</f>
        <v>#REF!</v>
      </c>
    </row>
    <row r="82" spans="1:16" x14ac:dyDescent="0.25">
      <c r="A82" s="4" t="str">
        <f t="shared" si="1"/>
        <v>DESPESA DE REPRESENTAÇÃO - 30 CANECAS DE BRINDE PARA O RIO OPEN 2026--FILHA DO FERNANDO SCARPA R LEITE (AGENDA 39003)</v>
      </c>
      <c r="B82" s="11">
        <v>46023</v>
      </c>
      <c r="C82" s="4">
        <v>817991</v>
      </c>
      <c r="D82" s="1" t="s">
        <v>632</v>
      </c>
      <c r="E82" s="14">
        <v>-74.485714285714295</v>
      </c>
      <c r="F82" s="5" t="s">
        <v>387</v>
      </c>
      <c r="G82" s="2">
        <v>45988</v>
      </c>
      <c r="H82" s="9">
        <v>80375</v>
      </c>
      <c r="I82" s="4"/>
      <c r="J82" s="4" t="s">
        <v>439</v>
      </c>
      <c r="K82" s="7" t="s">
        <v>440</v>
      </c>
      <c r="L82" s="1" t="s">
        <v>631</v>
      </c>
      <c r="M82" s="9"/>
      <c r="N82" s="4" t="str">
        <f>VLOOKUP(H82,Clientes!B:D,3,)</f>
        <v>ITAU UNIBANCO S/A</v>
      </c>
      <c r="P82" t="e">
        <f>_xlfn.XLOOKUP(K82,#REF!,#REF!,0,0,1)</f>
        <v>#REF!</v>
      </c>
    </row>
    <row r="83" spans="1:16" x14ac:dyDescent="0.25">
      <c r="A83" s="4" t="str">
        <f t="shared" si="1"/>
        <v>DESPESA DE REPRESENTAÇÃO - 30 CANECAS DE BRINDE PARA O RIO OPEN 2026-TRADER-LUIZ ALBERTO BASQUEIRA (AGENDA 39003)</v>
      </c>
      <c r="B83" s="11">
        <v>46023</v>
      </c>
      <c r="C83" s="4">
        <v>817991</v>
      </c>
      <c r="D83" s="1" t="s">
        <v>423</v>
      </c>
      <c r="E83" s="14">
        <v>-74.485714285714295</v>
      </c>
      <c r="F83" s="5" t="s">
        <v>387</v>
      </c>
      <c r="G83" s="2">
        <v>45988</v>
      </c>
      <c r="H83" s="9">
        <v>79931</v>
      </c>
      <c r="I83" s="4"/>
      <c r="J83" s="4" t="s">
        <v>439</v>
      </c>
      <c r="K83" s="7" t="s">
        <v>440</v>
      </c>
      <c r="L83" s="1" t="s">
        <v>633</v>
      </c>
      <c r="M83" s="9" t="s">
        <v>335</v>
      </c>
      <c r="N83" s="4" t="str">
        <f>VLOOKUP(H83,Clientes!B:D,3,)</f>
        <v>SPX GESTAO DE RECURSOS LTDA</v>
      </c>
      <c r="P83" t="e">
        <f>_xlfn.XLOOKUP(K83,#REF!,#REF!,0,0,1)</f>
        <v>#REF!</v>
      </c>
    </row>
    <row r="84" spans="1:16" x14ac:dyDescent="0.25">
      <c r="A84" s="4" t="str">
        <f t="shared" si="1"/>
        <v>DESPESA DE REPRESENTAÇÃO - 30 CANECAS DE BRINDE PARA O RIO OPEN 2026-TRADER-RODRIGO FERREIRA (AGENDA 39003)</v>
      </c>
      <c r="B84" s="11">
        <v>46113</v>
      </c>
      <c r="C84" s="4">
        <v>817991</v>
      </c>
      <c r="D84" s="1" t="s">
        <v>648</v>
      </c>
      <c r="E84" s="14">
        <v>-74.485714285714295</v>
      </c>
      <c r="F84" s="5" t="s">
        <v>387</v>
      </c>
      <c r="G84" s="2">
        <v>45988</v>
      </c>
      <c r="H84" s="9">
        <v>12413</v>
      </c>
      <c r="I84" s="4"/>
      <c r="J84" s="4" t="s">
        <v>439</v>
      </c>
      <c r="K84" s="7" t="s">
        <v>440</v>
      </c>
      <c r="L84" s="1" t="s">
        <v>634</v>
      </c>
      <c r="M84" s="9" t="s">
        <v>335</v>
      </c>
      <c r="N84" s="4" t="str">
        <f>VLOOKUP(H84,Clientes!B:D,3,)</f>
        <v>KAPITALO INVESTIMENTOS LTDA</v>
      </c>
      <c r="P84" t="e">
        <f>_xlfn.XLOOKUP(K84,#REF!,#REF!,0,0,1)</f>
        <v>#REF!</v>
      </c>
    </row>
    <row r="85" spans="1:16" x14ac:dyDescent="0.25">
      <c r="A85" s="4" t="str">
        <f t="shared" si="1"/>
        <v>DESPESA DE REPRESENTAÇÃO - 30 CANECAS DE BRINDE PARA O RIO OPEN 2026--ESPOSA RODRIGO FERREIRA (AGENDA 39003)</v>
      </c>
      <c r="B85" s="11">
        <v>46113</v>
      </c>
      <c r="C85" s="4">
        <v>817991</v>
      </c>
      <c r="D85" s="1" t="s">
        <v>648</v>
      </c>
      <c r="E85" s="14">
        <v>-74.485714285714295</v>
      </c>
      <c r="F85" s="5" t="s">
        <v>387</v>
      </c>
      <c r="G85" s="2">
        <v>45988</v>
      </c>
      <c r="H85" s="9">
        <v>12413</v>
      </c>
      <c r="I85" s="4"/>
      <c r="J85" s="4" t="s">
        <v>439</v>
      </c>
      <c r="K85" s="7" t="s">
        <v>440</v>
      </c>
      <c r="L85" s="1" t="s">
        <v>635</v>
      </c>
      <c r="M85" s="9"/>
      <c r="N85" s="4" t="str">
        <f>VLOOKUP(H85,Clientes!B:D,3,)</f>
        <v>KAPITALO INVESTIMENTOS LTDA</v>
      </c>
      <c r="P85" t="e">
        <f>_xlfn.XLOOKUP(K85,#REF!,#REF!,0,0,1)</f>
        <v>#REF!</v>
      </c>
    </row>
    <row r="86" spans="1:16" x14ac:dyDescent="0.25">
      <c r="A86" s="4" t="str">
        <f t="shared" si="1"/>
        <v>DESPESA DE REPRESENTAÇÃO - 30 CANECAS DE BRINDE PARA O RIO OPEN 2026--ESPOSA DO ANDRE ACCIOLY (AGENDA 39003)</v>
      </c>
      <c r="B86" s="11">
        <v>46023</v>
      </c>
      <c r="C86" s="4">
        <v>817991</v>
      </c>
      <c r="D86" s="1" t="s">
        <v>423</v>
      </c>
      <c r="E86" s="14">
        <v>-74.485714285714295</v>
      </c>
      <c r="F86" s="5" t="s">
        <v>387</v>
      </c>
      <c r="G86" s="2">
        <v>45988</v>
      </c>
      <c r="H86" s="9">
        <v>1170</v>
      </c>
      <c r="I86" s="4"/>
      <c r="J86" s="4" t="s">
        <v>439</v>
      </c>
      <c r="K86" s="7" t="s">
        <v>440</v>
      </c>
      <c r="L86" s="1" t="s">
        <v>637</v>
      </c>
      <c r="M86" s="9"/>
      <c r="N86" s="4" t="str">
        <f>VLOOKUP(H86,Clientes!B:D,3,)</f>
        <v>BGC LIQUIDEZ DTVM LTDA</v>
      </c>
      <c r="P86" t="e">
        <f>_xlfn.XLOOKUP(K86,#REF!,#REF!,0,0,1)</f>
        <v>#REF!</v>
      </c>
    </row>
    <row r="87" spans="1:16" x14ac:dyDescent="0.25">
      <c r="A87" s="4" t="str">
        <f t="shared" si="1"/>
        <v>DESPESA DE REPRESENTAÇÃO - 30 CANECAS DE BRINDE PARA O RIO OPEN 2026--FILHO DO ANDRE ACCIOLY (AGENDA 39003)</v>
      </c>
      <c r="B87" s="11">
        <v>46023</v>
      </c>
      <c r="C87" s="4">
        <v>817991</v>
      </c>
      <c r="D87" s="1" t="s">
        <v>423</v>
      </c>
      <c r="E87" s="14">
        <v>-74.485714285714295</v>
      </c>
      <c r="F87" s="5" t="s">
        <v>387</v>
      </c>
      <c r="G87" s="2">
        <v>45988</v>
      </c>
      <c r="H87" s="9">
        <v>1170</v>
      </c>
      <c r="I87" s="4"/>
      <c r="J87" s="4" t="s">
        <v>439</v>
      </c>
      <c r="K87" s="7" t="s">
        <v>440</v>
      </c>
      <c r="L87" s="1" t="s">
        <v>636</v>
      </c>
      <c r="M87" s="9"/>
      <c r="N87" s="4" t="str">
        <f>VLOOKUP(H87,Clientes!B:D,3,)</f>
        <v>BGC LIQUIDEZ DTVM LTDA</v>
      </c>
      <c r="P87" t="e">
        <f>_xlfn.XLOOKUP(K87,#REF!,#REF!,0,0,1)</f>
        <v>#REF!</v>
      </c>
    </row>
    <row r="88" spans="1:16" x14ac:dyDescent="0.25">
      <c r="A88" s="4" t="str">
        <f t="shared" si="1"/>
        <v>DESPESA DE REPRESENTAÇÃO - 30 CANECAS DE BRINDE PARA O RIO OPEN 2026-BROKER-JOSE MAURICIO GOMES TEIXEIRA (AGENDA 39003)</v>
      </c>
      <c r="B88" s="11">
        <v>46023</v>
      </c>
      <c r="C88" s="4">
        <v>817991</v>
      </c>
      <c r="D88" s="1" t="s">
        <v>23</v>
      </c>
      <c r="E88" s="14">
        <v>-74.485714285714295</v>
      </c>
      <c r="F88" s="5" t="s">
        <v>387</v>
      </c>
      <c r="G88" s="2">
        <v>45988</v>
      </c>
      <c r="H88" s="9">
        <v>1170</v>
      </c>
      <c r="I88" s="4"/>
      <c r="J88" s="4" t="s">
        <v>439</v>
      </c>
      <c r="K88" s="7" t="s">
        <v>440</v>
      </c>
      <c r="L88" s="1" t="s">
        <v>23</v>
      </c>
      <c r="M88" s="9" t="s">
        <v>2</v>
      </c>
      <c r="N88" s="4" t="str">
        <f>VLOOKUP(H88,Clientes!B:D,3,)</f>
        <v>BGC LIQUIDEZ DTVM LTDA</v>
      </c>
      <c r="P88" t="e">
        <f>_xlfn.XLOOKUP(K88,#REF!,#REF!,0,0,1)</f>
        <v>#REF!</v>
      </c>
    </row>
    <row r="89" spans="1:16" x14ac:dyDescent="0.25">
      <c r="A89" s="4" t="str">
        <f t="shared" si="1"/>
        <v>DESPESA DE REPRESENTAÇÃO - 30 CANECAS DE BRINDE PARA O RIO OPEN 2026--ESPOSA DO JOSE MAURICIO GOMES TEIXEIRA (AGENDA 39003)</v>
      </c>
      <c r="B89" s="11">
        <v>46023</v>
      </c>
      <c r="C89" s="4">
        <v>817991</v>
      </c>
      <c r="D89" s="1" t="s">
        <v>23</v>
      </c>
      <c r="E89" s="14">
        <v>-74.485714285714295</v>
      </c>
      <c r="F89" s="5" t="s">
        <v>387</v>
      </c>
      <c r="G89" s="2">
        <v>45988</v>
      </c>
      <c r="H89" s="9">
        <v>1170</v>
      </c>
      <c r="I89" s="4"/>
      <c r="J89" s="4" t="s">
        <v>439</v>
      </c>
      <c r="K89" s="7" t="s">
        <v>440</v>
      </c>
      <c r="L89" s="1" t="s">
        <v>638</v>
      </c>
      <c r="M89" s="9"/>
      <c r="N89" s="4" t="str">
        <f>VLOOKUP(H89,Clientes!B:D,3,)</f>
        <v>BGC LIQUIDEZ DTVM LTDA</v>
      </c>
      <c r="P89" t="e">
        <f>_xlfn.XLOOKUP(K89,#REF!,#REF!,0,0,1)</f>
        <v>#REF!</v>
      </c>
    </row>
    <row r="90" spans="1:16" x14ac:dyDescent="0.25">
      <c r="A90" s="4" t="str">
        <f t="shared" si="1"/>
        <v>DESPESA DE REPRESENTAÇÃO - 30 CANECAS DE BRINDE PARA O RIO OPEN 2026-TRADER-LUAN VALENTE (AGENDA 39003)</v>
      </c>
      <c r="B90" s="11">
        <v>46023</v>
      </c>
      <c r="C90" s="4">
        <v>817991</v>
      </c>
      <c r="D90" s="1" t="s">
        <v>23</v>
      </c>
      <c r="E90" s="14">
        <v>-74.485714285714295</v>
      </c>
      <c r="F90" s="5" t="s">
        <v>387</v>
      </c>
      <c r="G90" s="2">
        <v>45988</v>
      </c>
      <c r="H90" s="9">
        <v>80132</v>
      </c>
      <c r="I90" s="4"/>
      <c r="J90" s="4" t="s">
        <v>439</v>
      </c>
      <c r="K90" s="7" t="s">
        <v>440</v>
      </c>
      <c r="L90" s="1" t="s">
        <v>639</v>
      </c>
      <c r="M90" s="9" t="s">
        <v>335</v>
      </c>
      <c r="N90" s="4" t="str">
        <f>VLOOKUP(H90,Clientes!B:D,3,)</f>
        <v>GLOBO COMUNICACAO E PARTICIPACOES S.A</v>
      </c>
      <c r="P90" t="e">
        <f>_xlfn.XLOOKUP(K90,#REF!,#REF!,0,0,1)</f>
        <v>#REF!</v>
      </c>
    </row>
    <row r="91" spans="1:16" x14ac:dyDescent="0.25">
      <c r="A91" s="4" t="str">
        <f t="shared" si="1"/>
        <v>DESPESA DE REPRESENTAÇÃO - INGRESSOS PARA O SHOW AC/DC -TRADER-MARCO SILVA (174313-3688EC)</v>
      </c>
      <c r="B91" s="11">
        <v>46023</v>
      </c>
      <c r="C91" s="4">
        <v>817991</v>
      </c>
      <c r="D91" s="1" t="s">
        <v>378</v>
      </c>
      <c r="E91" s="19">
        <f>-6566/4</f>
        <v>-1641.5</v>
      </c>
      <c r="F91" s="5" t="s">
        <v>387</v>
      </c>
      <c r="G91" s="2">
        <v>46002</v>
      </c>
      <c r="H91" s="9">
        <v>80320</v>
      </c>
      <c r="I91" s="4"/>
      <c r="J91" s="4" t="s">
        <v>994</v>
      </c>
      <c r="K91" s="7" t="s">
        <v>442</v>
      </c>
      <c r="L91" s="1" t="s">
        <v>642</v>
      </c>
      <c r="M91" s="9" t="s">
        <v>335</v>
      </c>
      <c r="N91" s="4" t="str">
        <f>VLOOKUP(H91,Clientes!B:D,3,)</f>
        <v>BANCO DA CHINA BRASIL S/A</v>
      </c>
      <c r="P91" t="e">
        <f>_xlfn.XLOOKUP(K91,#REF!,#REF!,0,0,1)</f>
        <v>#REF!</v>
      </c>
    </row>
    <row r="92" spans="1:16" x14ac:dyDescent="0.25">
      <c r="A92" s="4" t="str">
        <f t="shared" si="1"/>
        <v>DESPESA DE REPRESENTAÇÃO - INGRESSOS PARA O SHOW AC/DC -TRADER-GABRIEL MARTONI (174313-3688EC)</v>
      </c>
      <c r="B92" s="11">
        <v>46023</v>
      </c>
      <c r="C92" s="4">
        <v>817991</v>
      </c>
      <c r="D92" s="1" t="s">
        <v>378</v>
      </c>
      <c r="E92" s="19">
        <f>-6566/4</f>
        <v>-1641.5</v>
      </c>
      <c r="F92" s="5" t="s">
        <v>387</v>
      </c>
      <c r="G92" s="2">
        <v>46002</v>
      </c>
      <c r="H92" s="9">
        <v>80320</v>
      </c>
      <c r="I92" s="4"/>
      <c r="J92" s="4" t="s">
        <v>994</v>
      </c>
      <c r="K92" s="7" t="s">
        <v>442</v>
      </c>
      <c r="L92" s="1" t="s">
        <v>643</v>
      </c>
      <c r="M92" s="9" t="s">
        <v>335</v>
      </c>
      <c r="N92" s="4" t="str">
        <f>VLOOKUP(H92,Clientes!B:D,3,)</f>
        <v>BANCO DA CHINA BRASIL S/A</v>
      </c>
      <c r="P92" t="e">
        <f>_xlfn.XLOOKUP(K92,#REF!,#REF!,0,0,1)</f>
        <v>#REF!</v>
      </c>
    </row>
    <row r="93" spans="1:16" x14ac:dyDescent="0.25">
      <c r="A93" s="4" t="str">
        <f t="shared" si="1"/>
        <v>DESPESA DE REPRESENTAÇÃO - INGRESSOS PARA O SHOW AC/DC -TRADER-RICARDO TEIXEIRA (174313-3688EC)</v>
      </c>
      <c r="B93" s="11">
        <v>46023</v>
      </c>
      <c r="C93" s="4">
        <v>817991</v>
      </c>
      <c r="D93" s="1" t="s">
        <v>331</v>
      </c>
      <c r="E93" s="19">
        <f>-6566/4</f>
        <v>-1641.5</v>
      </c>
      <c r="F93" s="5" t="s">
        <v>387</v>
      </c>
      <c r="G93" s="2">
        <v>46002</v>
      </c>
      <c r="H93" s="9">
        <v>15501</v>
      </c>
      <c r="I93" s="4"/>
      <c r="J93" s="4" t="s">
        <v>994</v>
      </c>
      <c r="K93" s="7" t="s">
        <v>442</v>
      </c>
      <c r="L93" s="1" t="s">
        <v>644</v>
      </c>
      <c r="M93" s="9" t="s">
        <v>335</v>
      </c>
      <c r="N93" s="4" t="str">
        <f>VLOOKUP(H93,Clientes!B:D,3,)</f>
        <v>BANCO BTG PACTUAL S/A</v>
      </c>
      <c r="P93" t="e">
        <f>_xlfn.XLOOKUP(K93,#REF!,#REF!,0,0,1)</f>
        <v>#REF!</v>
      </c>
    </row>
    <row r="94" spans="1:16" x14ac:dyDescent="0.25">
      <c r="A94" s="4" t="str">
        <f t="shared" si="1"/>
        <v>DESPESA DE REPRESENTAÇÃO - INGRESSOS PARA O SHOW AC/DC -TRADER-MIGUEL TEIXEIRA (174313-3688EC)</v>
      </c>
      <c r="B94" s="11">
        <v>46023</v>
      </c>
      <c r="C94" s="4">
        <v>817991</v>
      </c>
      <c r="D94" s="1" t="s">
        <v>331</v>
      </c>
      <c r="E94" s="19">
        <f>-6566/4</f>
        <v>-1641.5</v>
      </c>
      <c r="F94" s="5" t="s">
        <v>387</v>
      </c>
      <c r="G94" s="2">
        <v>46002</v>
      </c>
      <c r="H94" s="9">
        <v>15501</v>
      </c>
      <c r="I94" s="4"/>
      <c r="J94" s="4" t="s">
        <v>994</v>
      </c>
      <c r="K94" s="7" t="s">
        <v>442</v>
      </c>
      <c r="L94" s="1" t="s">
        <v>645</v>
      </c>
      <c r="M94" s="9" t="s">
        <v>335</v>
      </c>
      <c r="N94" s="4" t="str">
        <f>VLOOKUP(H94,Clientes!B:D,3,)</f>
        <v>BANCO BTG PACTUAL S/A</v>
      </c>
      <c r="P94" t="e">
        <f>_xlfn.XLOOKUP(K94,#REF!,#REF!,0,0,1)</f>
        <v>#REF!</v>
      </c>
    </row>
    <row r="95" spans="1:16" x14ac:dyDescent="0.25">
      <c r="A95" s="4" t="str">
        <f t="shared" si="1"/>
        <v>DESPESA DE REPRESENTAÇÃO - ALUGUEL FLAT -BROKER-CHRISTIANO MARCONDES DE BARROS LIMA (AGENDA 39567)</v>
      </c>
      <c r="B95" s="11">
        <v>46023</v>
      </c>
      <c r="C95" s="4">
        <v>817991</v>
      </c>
      <c r="D95" s="1" t="s">
        <v>60</v>
      </c>
      <c r="E95" s="14">
        <v>-1287.1324999999999</v>
      </c>
      <c r="F95" s="5" t="s">
        <v>422</v>
      </c>
      <c r="G95" s="2">
        <v>46024</v>
      </c>
      <c r="H95" s="9">
        <v>1170</v>
      </c>
      <c r="I95" s="4"/>
      <c r="J95" s="4" t="s">
        <v>425</v>
      </c>
      <c r="K95" s="7" t="s">
        <v>443</v>
      </c>
      <c r="L95" s="1" t="s">
        <v>60</v>
      </c>
      <c r="M95" s="9" t="s">
        <v>2</v>
      </c>
      <c r="N95" s="4" t="str">
        <f>VLOOKUP(H95,Clientes!B:D,3,)</f>
        <v>BGC LIQUIDEZ DTVM LTDA</v>
      </c>
      <c r="P95" t="e">
        <f>_xlfn.XLOOKUP(K95,#REF!,#REF!,0,0,1)</f>
        <v>#REF!</v>
      </c>
    </row>
    <row r="96" spans="1:16" x14ac:dyDescent="0.25">
      <c r="A96" s="4" t="str">
        <f t="shared" si="1"/>
        <v>DESPESA DE REPRESENTAÇÃO - ALUGUEL FLAT -BROKER-JOSE MAURICIO GOMES TEIXEIRA (AGENDA 39567)</v>
      </c>
      <c r="B96" s="11">
        <v>46023</v>
      </c>
      <c r="C96" s="4">
        <v>817991</v>
      </c>
      <c r="D96" s="1" t="s">
        <v>23</v>
      </c>
      <c r="E96" s="14">
        <v>-1287.1324999999999</v>
      </c>
      <c r="F96" s="5" t="s">
        <v>422</v>
      </c>
      <c r="G96" s="2">
        <v>46024</v>
      </c>
      <c r="H96" s="9">
        <v>1170</v>
      </c>
      <c r="I96" s="4"/>
      <c r="J96" s="4" t="s">
        <v>425</v>
      </c>
      <c r="K96" s="7" t="s">
        <v>443</v>
      </c>
      <c r="L96" s="1" t="s">
        <v>23</v>
      </c>
      <c r="M96" s="9" t="s">
        <v>2</v>
      </c>
      <c r="N96" s="4" t="str">
        <f>VLOOKUP(H96,Clientes!B:D,3,)</f>
        <v>BGC LIQUIDEZ DTVM LTDA</v>
      </c>
      <c r="P96" t="e">
        <f>_xlfn.XLOOKUP(K96,#REF!,#REF!,0,0,1)</f>
        <v>#REF!</v>
      </c>
    </row>
    <row r="97" spans="1:16" x14ac:dyDescent="0.25">
      <c r="A97" s="4" t="str">
        <f t="shared" si="1"/>
        <v>DESPESA DE REPRESENTAÇÃO - ALUGUEL FLAT -BROKER-LIQUIDEZ-OTHER (AGENDA 39567)</v>
      </c>
      <c r="B97" s="11">
        <v>46023</v>
      </c>
      <c r="C97" s="4">
        <v>817991</v>
      </c>
      <c r="D97" s="1" t="s">
        <v>423</v>
      </c>
      <c r="E97" s="14">
        <v>-2574.2649999999999</v>
      </c>
      <c r="F97" s="5" t="s">
        <v>422</v>
      </c>
      <c r="G97" s="2">
        <v>46024</v>
      </c>
      <c r="H97" s="9">
        <v>1170</v>
      </c>
      <c r="I97" s="4"/>
      <c r="J97" s="4" t="s">
        <v>425</v>
      </c>
      <c r="K97" s="7" t="s">
        <v>443</v>
      </c>
      <c r="L97" s="1" t="s">
        <v>423</v>
      </c>
      <c r="M97" s="9" t="s">
        <v>2</v>
      </c>
      <c r="N97" s="4" t="str">
        <f>VLOOKUP(H97,Clientes!B:D,3,)</f>
        <v>BGC LIQUIDEZ DTVM LTDA</v>
      </c>
      <c r="P97" t="e">
        <f>_xlfn.XLOOKUP(K97,#REF!,#REF!,0,0,1)</f>
        <v>#REF!</v>
      </c>
    </row>
    <row r="98" spans="1:16" x14ac:dyDescent="0.25">
      <c r="A98" s="4" t="str">
        <f t="shared" si="1"/>
        <v>DESPESA DE REPRESENTAÇÃO - CONDOMINIO E IPTU - FLAT-BROKER-CHRISTIANO MARCONDES DE BARROS LIMA (AGENDA 39569)</v>
      </c>
      <c r="B98" s="11">
        <v>46023</v>
      </c>
      <c r="C98" s="4">
        <v>817991</v>
      </c>
      <c r="D98" s="1" t="s">
        <v>60</v>
      </c>
      <c r="E98" s="14">
        <v>-788</v>
      </c>
      <c r="F98" s="5" t="s">
        <v>422</v>
      </c>
      <c r="G98" s="2">
        <v>46024</v>
      </c>
      <c r="H98" s="9">
        <v>1170</v>
      </c>
      <c r="I98" s="4"/>
      <c r="J98" s="4" t="s">
        <v>429</v>
      </c>
      <c r="K98" s="7" t="s">
        <v>444</v>
      </c>
      <c r="L98" s="1" t="s">
        <v>60</v>
      </c>
      <c r="M98" s="9" t="s">
        <v>2</v>
      </c>
      <c r="N98" s="4" t="str">
        <f>VLOOKUP(H98,Clientes!B:D,3,)</f>
        <v>BGC LIQUIDEZ DTVM LTDA</v>
      </c>
      <c r="P98" t="e">
        <f>_xlfn.XLOOKUP(K98,#REF!,#REF!,0,0,1)</f>
        <v>#REF!</v>
      </c>
    </row>
    <row r="99" spans="1:16" x14ac:dyDescent="0.25">
      <c r="A99" s="4" t="str">
        <f t="shared" si="1"/>
        <v>DESPESA DE REPRESENTAÇÃO - CONDOMINIO E IPTU - FLAT-BROKER-JOSE MAURICIO GOMES TEIXEIRA (AGENDA 39569)</v>
      </c>
      <c r="B99" s="11">
        <v>46023</v>
      </c>
      <c r="C99" s="4">
        <v>817991</v>
      </c>
      <c r="D99" s="1" t="s">
        <v>23</v>
      </c>
      <c r="E99" s="14">
        <v>-788</v>
      </c>
      <c r="F99" s="5" t="s">
        <v>422</v>
      </c>
      <c r="G99" s="2">
        <v>46024</v>
      </c>
      <c r="H99" s="9">
        <v>1170</v>
      </c>
      <c r="I99" s="4"/>
      <c r="J99" s="4" t="s">
        <v>429</v>
      </c>
      <c r="K99" s="7" t="s">
        <v>444</v>
      </c>
      <c r="L99" s="1" t="s">
        <v>23</v>
      </c>
      <c r="M99" s="9" t="s">
        <v>2</v>
      </c>
      <c r="N99" s="4" t="str">
        <f>VLOOKUP(H99,Clientes!B:D,3,)</f>
        <v>BGC LIQUIDEZ DTVM LTDA</v>
      </c>
      <c r="P99" t="e">
        <f>_xlfn.XLOOKUP(K99,#REF!,#REF!,0,0,1)</f>
        <v>#REF!</v>
      </c>
    </row>
    <row r="100" spans="1:16" x14ac:dyDescent="0.25">
      <c r="A100" s="4" t="str">
        <f t="shared" si="1"/>
        <v>DESPESA DE REPRESENTAÇÃO - CONDOMINIO E IPTU - FLAT-BROKER-LIQUIDEZ-OTHER (AGENDA 39569)</v>
      </c>
      <c r="B100" s="11">
        <v>46023</v>
      </c>
      <c r="C100" s="4">
        <v>817991</v>
      </c>
      <c r="D100" s="1" t="s">
        <v>423</v>
      </c>
      <c r="E100" s="14">
        <v>-1576</v>
      </c>
      <c r="F100" s="5" t="s">
        <v>422</v>
      </c>
      <c r="G100" s="2">
        <v>46024</v>
      </c>
      <c r="H100" s="9">
        <v>1170</v>
      </c>
      <c r="I100" s="4"/>
      <c r="J100" s="4" t="s">
        <v>429</v>
      </c>
      <c r="K100" s="7" t="s">
        <v>444</v>
      </c>
      <c r="L100" s="1" t="s">
        <v>423</v>
      </c>
      <c r="M100" s="9" t="s">
        <v>2</v>
      </c>
      <c r="N100" s="4" t="str">
        <f>VLOOKUP(H100,Clientes!B:D,3,)</f>
        <v>BGC LIQUIDEZ DTVM LTDA</v>
      </c>
      <c r="P100" t="e">
        <f>_xlfn.XLOOKUP(K100,#REF!,#REF!,0,0,1)</f>
        <v>#REF!</v>
      </c>
    </row>
    <row r="101" spans="1:16" x14ac:dyDescent="0.25">
      <c r="A101" s="4" t="str">
        <f t="shared" si="1"/>
        <v>DESPESA DE REPRESENTAÇÃO - ALUGUEL FLAT -BROKER-PAULO GUILHERME MENEZES FELIX (AGENDA 39573)</v>
      </c>
      <c r="B101" s="11">
        <v>46023</v>
      </c>
      <c r="C101" s="4">
        <v>817991</v>
      </c>
      <c r="D101" s="1" t="s">
        <v>424</v>
      </c>
      <c r="E101" s="14">
        <v>-3965.86</v>
      </c>
      <c r="F101" s="5" t="s">
        <v>422</v>
      </c>
      <c r="G101" s="2">
        <v>46024</v>
      </c>
      <c r="H101" s="9">
        <v>1170</v>
      </c>
      <c r="I101" s="4"/>
      <c r="J101" s="4" t="s">
        <v>425</v>
      </c>
      <c r="K101" s="7" t="s">
        <v>445</v>
      </c>
      <c r="L101" s="1" t="s">
        <v>424</v>
      </c>
      <c r="M101" s="9" t="s">
        <v>2</v>
      </c>
      <c r="N101" s="4" t="str">
        <f>VLOOKUP(H101,Clientes!B:D,3,)</f>
        <v>BGC LIQUIDEZ DTVM LTDA</v>
      </c>
      <c r="P101" t="e">
        <f>_xlfn.XLOOKUP(K101,#REF!,#REF!,0,0,1)</f>
        <v>#REF!</v>
      </c>
    </row>
    <row r="102" spans="1:16" x14ac:dyDescent="0.25">
      <c r="A102" s="4" t="str">
        <f t="shared" si="1"/>
        <v>DESPESA DE REPRESENTAÇÃO - CONDOMINIO E IPTU - FLAT-BROKER-PAULO GUILHERME MENEZES FELIX (AGENDA 39574)</v>
      </c>
      <c r="B102" s="11">
        <v>46023</v>
      </c>
      <c r="C102" s="4">
        <v>817991</v>
      </c>
      <c r="D102" s="1" t="s">
        <v>424</v>
      </c>
      <c r="E102" s="14">
        <v>-798</v>
      </c>
      <c r="F102" s="5" t="s">
        <v>422</v>
      </c>
      <c r="G102" s="2">
        <v>46024</v>
      </c>
      <c r="H102" s="9">
        <v>1170</v>
      </c>
      <c r="I102" s="4"/>
      <c r="J102" s="4" t="s">
        <v>429</v>
      </c>
      <c r="K102" s="7" t="s">
        <v>446</v>
      </c>
      <c r="L102" s="1" t="s">
        <v>424</v>
      </c>
      <c r="M102" s="9" t="s">
        <v>2</v>
      </c>
      <c r="N102" s="4" t="str">
        <f>VLOOKUP(H102,Clientes!B:D,3,)</f>
        <v>BGC LIQUIDEZ DTVM LTDA</v>
      </c>
      <c r="P102" t="e">
        <f>_xlfn.XLOOKUP(K102,#REF!,#REF!,0,0,1)</f>
        <v>#REF!</v>
      </c>
    </row>
    <row r="103" spans="1:16" x14ac:dyDescent="0.25">
      <c r="A103" s="4" t="str">
        <f t="shared" si="1"/>
        <v>DESPESA DE REPRESENTAÇÃO - ALMOÇO-TRADER-BRUNO BERNARDES (102744-3688FP)</v>
      </c>
      <c r="B103" s="11">
        <v>46023</v>
      </c>
      <c r="C103" s="4">
        <v>817991</v>
      </c>
      <c r="D103" s="1" t="s">
        <v>60</v>
      </c>
      <c r="E103" s="14">
        <v>-1324.36</v>
      </c>
      <c r="F103" s="5" t="s">
        <v>447</v>
      </c>
      <c r="G103" s="2">
        <v>46024</v>
      </c>
      <c r="H103" s="9">
        <v>80015</v>
      </c>
      <c r="I103" s="4"/>
      <c r="J103" s="4" t="s">
        <v>447</v>
      </c>
      <c r="K103" s="7" t="s">
        <v>448</v>
      </c>
      <c r="L103" s="1" t="s">
        <v>197</v>
      </c>
      <c r="M103" s="9" t="s">
        <v>335</v>
      </c>
      <c r="N103" s="4" t="str">
        <f>VLOOKUP(H103,Clientes!B:D,3,)</f>
        <v>BANCO SANTANDER (BRASIL) S/A</v>
      </c>
      <c r="P103" t="e">
        <f>_xlfn.XLOOKUP(K103,#REF!,#REF!,0,0,1)</f>
        <v>#REF!</v>
      </c>
    </row>
    <row r="104" spans="1:16" x14ac:dyDescent="0.25">
      <c r="A104" s="4" t="str">
        <f t="shared" si="1"/>
        <v>DESPESA DE REPRESENTAÇÃO - ALMOÇO-TRADER-FELIPE GARCIA (143735-3688AS)</v>
      </c>
      <c r="B104" s="11">
        <v>46023</v>
      </c>
      <c r="C104" s="4">
        <v>817991</v>
      </c>
      <c r="D104" s="1" t="s">
        <v>449</v>
      </c>
      <c r="E104" s="14">
        <v>-716</v>
      </c>
      <c r="F104" s="5" t="s">
        <v>447</v>
      </c>
      <c r="G104" s="2">
        <v>46024</v>
      </c>
      <c r="H104" s="9">
        <v>80573</v>
      </c>
      <c r="I104" s="4"/>
      <c r="J104" s="4" t="s">
        <v>447</v>
      </c>
      <c r="K104" s="7" t="s">
        <v>450</v>
      </c>
      <c r="L104" s="1" t="s">
        <v>451</v>
      </c>
      <c r="M104" s="9" t="s">
        <v>335</v>
      </c>
      <c r="N104" s="4" t="str">
        <f>VLOOKUP(H104,Clientes!B:D,3,)</f>
        <v>BANCO C6 S/A</v>
      </c>
      <c r="P104" t="e">
        <f>_xlfn.XLOOKUP(K104,#REF!,#REF!,0,0,1)</f>
        <v>#REF!</v>
      </c>
    </row>
    <row r="105" spans="1:16" x14ac:dyDescent="0.25">
      <c r="A105" s="4" t="str">
        <f t="shared" si="1"/>
        <v>DESPESA DE REPRESENTAÇÃO - JANTAR-TRADER-CESAR AUGUSTO DE O GONCALVES (124808-3688CN)</v>
      </c>
      <c r="B105" s="11">
        <v>46023</v>
      </c>
      <c r="C105" s="4">
        <v>817991</v>
      </c>
      <c r="D105" s="1" t="s">
        <v>452</v>
      </c>
      <c r="E105" s="14">
        <v>-698</v>
      </c>
      <c r="F105" s="5" t="s">
        <v>380</v>
      </c>
      <c r="G105" s="2">
        <v>46024</v>
      </c>
      <c r="H105" s="9">
        <v>82602</v>
      </c>
      <c r="I105" s="4"/>
      <c r="J105" s="4" t="s">
        <v>380</v>
      </c>
      <c r="K105" s="7" t="s">
        <v>453</v>
      </c>
      <c r="L105" s="1" t="s">
        <v>407</v>
      </c>
      <c r="M105" s="9" t="s">
        <v>335</v>
      </c>
      <c r="N105" s="4" t="str">
        <f>VLOOKUP(H105,Clientes!B:D,3,)</f>
        <v>NU PAGAMENTOS SOCIEDADE ANONIMA</v>
      </c>
      <c r="P105" t="e">
        <f>_xlfn.XLOOKUP(K105,#REF!,#REF!,0,0,1)</f>
        <v>#REF!</v>
      </c>
    </row>
    <row r="106" spans="1:16" x14ac:dyDescent="0.25">
      <c r="A106" s="4" t="str">
        <f t="shared" si="1"/>
        <v>DESPESA DE REPRESENTAÇÃO - ALMOÇO-TRADER-ODILON SWAN (113715-3688CM)</v>
      </c>
      <c r="B106" s="11">
        <v>46023</v>
      </c>
      <c r="C106" s="4">
        <v>817991</v>
      </c>
      <c r="D106" s="1" t="s">
        <v>649</v>
      </c>
      <c r="E106" s="14">
        <v>-805.68</v>
      </c>
      <c r="F106" s="5" t="s">
        <v>447</v>
      </c>
      <c r="G106" s="2">
        <v>46024</v>
      </c>
      <c r="H106" s="9">
        <v>18857</v>
      </c>
      <c r="I106" s="4"/>
      <c r="J106" s="4" t="s">
        <v>447</v>
      </c>
      <c r="K106" s="7" t="s">
        <v>455</v>
      </c>
      <c r="L106" s="1" t="s">
        <v>454</v>
      </c>
      <c r="M106" s="9" t="s">
        <v>335</v>
      </c>
      <c r="N106" s="4" t="str">
        <f>VLOOKUP(H106,Clientes!B:D,3,)</f>
        <v>BANCO DO BRASIL S/A</v>
      </c>
      <c r="P106" t="e">
        <f>_xlfn.XLOOKUP(K106,#REF!,#REF!,0,0,1)</f>
        <v>#REF!</v>
      </c>
    </row>
    <row r="107" spans="1:16" x14ac:dyDescent="0.25">
      <c r="A107" s="4" t="str">
        <f t="shared" si="1"/>
        <v>DESPESA DE REPRESENTAÇÃO - ALMOÇO-TRADER-DANIEL ZANIN DELAGO (151651-3688AC)</v>
      </c>
      <c r="B107" s="11">
        <v>46023</v>
      </c>
      <c r="C107" s="4">
        <v>817991</v>
      </c>
      <c r="D107" s="1" t="s">
        <v>331</v>
      </c>
      <c r="E107" s="14">
        <v>-925.73</v>
      </c>
      <c r="F107" s="18" t="s">
        <v>447</v>
      </c>
      <c r="G107" s="2">
        <v>46024</v>
      </c>
      <c r="H107" s="9">
        <v>15781</v>
      </c>
      <c r="I107" s="4"/>
      <c r="J107" s="4" t="s">
        <v>447</v>
      </c>
      <c r="K107" s="7" t="s">
        <v>457</v>
      </c>
      <c r="L107" s="1" t="s">
        <v>456</v>
      </c>
      <c r="M107" s="9" t="s">
        <v>335</v>
      </c>
      <c r="N107" s="4" t="str">
        <f>VLOOKUP(H107,Clientes!B:D,3,)</f>
        <v>BANCO SAFRA S/A</v>
      </c>
      <c r="P107" t="e">
        <f>_xlfn.XLOOKUP(K107,#REF!,#REF!,0,0,1)</f>
        <v>#REF!</v>
      </c>
    </row>
    <row r="108" spans="1:16" x14ac:dyDescent="0.25">
      <c r="A108" s="4" t="str">
        <f t="shared" si="1"/>
        <v>DESPESA DE REPRESENTAÇÃO - ALMOÇO-TRADER-JOÃO VICTOR GAVAZZA-CASADO (121206-3688JV)</v>
      </c>
      <c r="B108" s="11">
        <v>46023</v>
      </c>
      <c r="C108" s="4">
        <v>817991</v>
      </c>
      <c r="D108" s="1" t="s">
        <v>459</v>
      </c>
      <c r="E108" s="14">
        <v>-1222.6600000000001</v>
      </c>
      <c r="F108" s="5" t="s">
        <v>447</v>
      </c>
      <c r="G108" s="2">
        <v>46024</v>
      </c>
      <c r="H108" s="9">
        <v>14479</v>
      </c>
      <c r="I108" s="4"/>
      <c r="J108" s="4" t="s">
        <v>447</v>
      </c>
      <c r="K108" s="7" t="s">
        <v>460</v>
      </c>
      <c r="L108" s="1" t="s">
        <v>458</v>
      </c>
      <c r="M108" s="9" t="s">
        <v>335</v>
      </c>
      <c r="N108" s="4" t="str">
        <f>VLOOKUP(H108,Clientes!B:D,3,)</f>
        <v>BANCO SANTANDER (BRASIL) S/A</v>
      </c>
      <c r="P108" t="e">
        <f>_xlfn.XLOOKUP(K108,#REF!,#REF!,0,0,1)</f>
        <v>#REF!</v>
      </c>
    </row>
    <row r="109" spans="1:16" x14ac:dyDescent="0.25">
      <c r="A109" s="4" t="str">
        <f t="shared" si="1"/>
        <v>DESPESA DE REPRESENTAÇÃO - INGRESSOS CAMAROTE BAR BRAHMA 2026 (CARNAVAL)-TRADER-FABIO EDUARDO ANDRADE (163522-3688RR)</v>
      </c>
      <c r="B109" s="11">
        <v>46023</v>
      </c>
      <c r="C109" s="4">
        <v>817991</v>
      </c>
      <c r="D109" s="1" t="s">
        <v>604</v>
      </c>
      <c r="E109" s="14">
        <v>-10857</v>
      </c>
      <c r="F109" s="5" t="s">
        <v>387</v>
      </c>
      <c r="G109" s="2">
        <v>46024</v>
      </c>
      <c r="H109" s="9">
        <v>79258</v>
      </c>
      <c r="I109" s="4"/>
      <c r="J109" s="4" t="s">
        <v>463</v>
      </c>
      <c r="K109" s="7" t="s">
        <v>462</v>
      </c>
      <c r="L109" s="1" t="s">
        <v>461</v>
      </c>
      <c r="M109" s="9" t="s">
        <v>335</v>
      </c>
      <c r="N109" s="4" t="str">
        <f>VLOOKUP(H109,Clientes!B:D,3,)</f>
        <v>ITAU UNIBANCO S/A</v>
      </c>
      <c r="P109" t="e">
        <f>_xlfn.XLOOKUP(K109,#REF!,#REF!,0,0,1)</f>
        <v>#REF!</v>
      </c>
    </row>
    <row r="110" spans="1:16" x14ac:dyDescent="0.25">
      <c r="A110" s="4" t="str">
        <f t="shared" si="1"/>
        <v>DESPESA DE REPRESENTAÇÃO - ALMOÇO MACRO NO VARANDA GRILL NO DIA 10/12-SALES-JOSE ANTONIO DEZENE JUNIOR (AGENDA 39605)</v>
      </c>
      <c r="B110" s="11">
        <v>46023</v>
      </c>
      <c r="C110" s="4">
        <v>817991</v>
      </c>
      <c r="D110" s="1" t="s">
        <v>428</v>
      </c>
      <c r="E110" s="14">
        <v>-3097.64</v>
      </c>
      <c r="F110" s="5" t="s">
        <v>387</v>
      </c>
      <c r="G110" s="2">
        <v>46027</v>
      </c>
      <c r="H110" s="9">
        <v>1170</v>
      </c>
      <c r="I110" s="4"/>
      <c r="J110" s="4" t="s">
        <v>466</v>
      </c>
      <c r="K110" s="7" t="s">
        <v>467</v>
      </c>
      <c r="L110" s="1" t="s">
        <v>428</v>
      </c>
      <c r="M110" s="9" t="s">
        <v>468</v>
      </c>
      <c r="N110" s="4" t="str">
        <f>VLOOKUP(H110,Clientes!B:D,3,)</f>
        <v>BGC LIQUIDEZ DTVM LTDA</v>
      </c>
      <c r="P110" t="e">
        <f>_xlfn.XLOOKUP(K110,#REF!,#REF!,0,0,1)</f>
        <v>#REF!</v>
      </c>
    </row>
    <row r="111" spans="1:16" x14ac:dyDescent="0.25">
      <c r="A111" s="4" t="str">
        <f t="shared" si="1"/>
        <v>DESPESA DE REPRESENTAÇÃO - ACRESCIMO PASSAGEM SÃO PAULO X RIO DE JANEIRO-ESPOSA-DANIELA CAMARINHO (AGENDA 39689)</v>
      </c>
      <c r="B111" s="11">
        <v>46023</v>
      </c>
      <c r="C111" s="4">
        <v>817991</v>
      </c>
      <c r="D111" s="1" t="s">
        <v>650</v>
      </c>
      <c r="E111" s="14">
        <v>-140</v>
      </c>
      <c r="F111" s="5" t="s">
        <v>388</v>
      </c>
      <c r="G111" s="2">
        <v>46028</v>
      </c>
      <c r="H111" s="9">
        <v>1170</v>
      </c>
      <c r="I111" s="4"/>
      <c r="J111" s="4" t="s">
        <v>469</v>
      </c>
      <c r="K111" s="7" t="s">
        <v>470</v>
      </c>
      <c r="L111" s="1" t="s">
        <v>471</v>
      </c>
      <c r="M111" s="9" t="s">
        <v>472</v>
      </c>
      <c r="N111" s="4" t="str">
        <f>VLOOKUP(H111,Clientes!B:D,3,)</f>
        <v>BGC LIQUIDEZ DTVM LTDA</v>
      </c>
      <c r="P111" t="e">
        <f>_xlfn.XLOOKUP(K111,#REF!,#REF!,0,0,1)</f>
        <v>#REF!</v>
      </c>
    </row>
    <row r="112" spans="1:16" x14ac:dyDescent="0.25">
      <c r="A112" s="4" t="str">
        <f t="shared" si="1"/>
        <v>DESPESA DE REPRESENTAÇÃO - ALMOÇO-TRADER-ANDRE ALBUQUERQUE BAUM (152835-3688FB)</v>
      </c>
      <c r="B112" s="11">
        <v>46023</v>
      </c>
      <c r="C112" s="4">
        <v>817991</v>
      </c>
      <c r="D112" s="1" t="s">
        <v>475</v>
      </c>
      <c r="E112" s="14">
        <v>-1727.77</v>
      </c>
      <c r="F112" s="5" t="s">
        <v>447</v>
      </c>
      <c r="G112" s="2">
        <v>46030</v>
      </c>
      <c r="H112" s="9">
        <v>12413</v>
      </c>
      <c r="I112" s="4"/>
      <c r="J112" s="4" t="s">
        <v>447</v>
      </c>
      <c r="K112" s="7" t="s">
        <v>474</v>
      </c>
      <c r="L112" s="1" t="s">
        <v>473</v>
      </c>
      <c r="M112" s="9" t="s">
        <v>335</v>
      </c>
      <c r="N112" s="4" t="str">
        <f>VLOOKUP(H112,Clientes!B:D,3,)</f>
        <v>KAPITALO INVESTIMENTOS LTDA</v>
      </c>
      <c r="P112" t="e">
        <f>_xlfn.XLOOKUP(K112,#REF!,#REF!,0,0,1)</f>
        <v>#REF!</v>
      </c>
    </row>
    <row r="113" spans="1:16" x14ac:dyDescent="0.25">
      <c r="A113" s="4" t="str">
        <f t="shared" si="1"/>
        <v>DESPESA DE REPRESENTAÇÃO - JANTAR-TRADER-GUILHERME MANGILI (170216-3688FB)</v>
      </c>
      <c r="B113" s="11">
        <v>46023</v>
      </c>
      <c r="C113" s="4">
        <v>817991</v>
      </c>
      <c r="D113" s="1" t="s">
        <v>477</v>
      </c>
      <c r="E113" s="14">
        <v>-1334.53</v>
      </c>
      <c r="F113" s="5" t="s">
        <v>380</v>
      </c>
      <c r="G113" s="2">
        <v>46030</v>
      </c>
      <c r="H113" s="9">
        <v>81407</v>
      </c>
      <c r="I113" s="4"/>
      <c r="J113" s="4" t="s">
        <v>380</v>
      </c>
      <c r="K113" s="7" t="s">
        <v>476</v>
      </c>
      <c r="L113" s="1" t="s">
        <v>478</v>
      </c>
      <c r="M113" s="9" t="s">
        <v>335</v>
      </c>
      <c r="N113" s="4" t="str">
        <f>VLOOKUP(H113,Clientes!B:D,3,)</f>
        <v>KAPITALO INVESTIMENTOS LTDA</v>
      </c>
      <c r="P113" t="e">
        <f>_xlfn.XLOOKUP(K113,#REF!,#REF!,0,0,1)</f>
        <v>#REF!</v>
      </c>
    </row>
    <row r="114" spans="1:16" x14ac:dyDescent="0.25">
      <c r="A114" s="4" t="str">
        <f t="shared" si="1"/>
        <v>DESPESA DE REPRESENTAÇÃO - ALMOÇO-TRADER-VINICIUS PIOVESAN (103806-3688FC)</v>
      </c>
      <c r="B114" s="11">
        <v>46023</v>
      </c>
      <c r="C114" s="4">
        <v>817991</v>
      </c>
      <c r="D114" s="1" t="s">
        <v>480</v>
      </c>
      <c r="E114" s="14">
        <v>-421.94</v>
      </c>
      <c r="F114" s="5" t="s">
        <v>447</v>
      </c>
      <c r="G114" s="2">
        <v>46030</v>
      </c>
      <c r="H114" s="9">
        <v>79449</v>
      </c>
      <c r="I114" s="4"/>
      <c r="J114" s="4" t="s">
        <v>447</v>
      </c>
      <c r="K114" s="7" t="s">
        <v>479</v>
      </c>
      <c r="L114" s="1" t="s">
        <v>481</v>
      </c>
      <c r="M114" s="9" t="s">
        <v>335</v>
      </c>
      <c r="N114" s="4" t="str">
        <f>VLOOKUP(H114,Clientes!B:D,3,)</f>
        <v>BANCO CREDIT AGRICOLE BRASIL S/A</v>
      </c>
      <c r="P114" t="e">
        <f>_xlfn.XLOOKUP(K114,#REF!,#REF!,0,0,1)</f>
        <v>#REF!</v>
      </c>
    </row>
    <row r="115" spans="1:16" x14ac:dyDescent="0.25">
      <c r="A115" s="4" t="str">
        <f t="shared" si="1"/>
        <v>DESPESA DE REPRESENTAÇÃO - ALMOÇO-TRADER-RODRIGO ASSIS (110930-3688RP)</v>
      </c>
      <c r="B115" s="11">
        <v>46023</v>
      </c>
      <c r="C115" s="4">
        <v>817991</v>
      </c>
      <c r="D115" s="1" t="s">
        <v>482</v>
      </c>
      <c r="E115" s="14">
        <v>-1634</v>
      </c>
      <c r="F115" s="5" t="s">
        <v>447</v>
      </c>
      <c r="G115" s="2">
        <v>46030</v>
      </c>
      <c r="H115" s="9">
        <v>81765</v>
      </c>
      <c r="I115" s="4"/>
      <c r="J115" s="4" t="s">
        <v>447</v>
      </c>
      <c r="K115" s="7" t="s">
        <v>483</v>
      </c>
      <c r="L115" s="1" t="s">
        <v>484</v>
      </c>
      <c r="M115" s="9" t="s">
        <v>335</v>
      </c>
      <c r="N115" s="4" t="str">
        <f>VLOOKUP(H115,Clientes!B:D,3,)</f>
        <v>UBS AG, LONDON BRANCH NOVO</v>
      </c>
      <c r="P115" t="e">
        <f>_xlfn.XLOOKUP(K115,#REF!,#REF!,0,0,1)</f>
        <v>#REF!</v>
      </c>
    </row>
    <row r="116" spans="1:16" x14ac:dyDescent="0.25">
      <c r="A116" s="4" t="str">
        <f t="shared" si="1"/>
        <v>DESPESA DE REPRESENTAÇÃO - HAPPY HOUR-TRADER-KAUE GUIMARAES CHINELLATO (135856-3688RC)</v>
      </c>
      <c r="B116" s="11">
        <v>46023</v>
      </c>
      <c r="C116" s="4">
        <v>817991</v>
      </c>
      <c r="D116" s="1" t="s">
        <v>646</v>
      </c>
      <c r="E116" s="14">
        <v>-1146</v>
      </c>
      <c r="F116" s="5" t="s">
        <v>387</v>
      </c>
      <c r="G116" s="2">
        <v>46030</v>
      </c>
      <c r="H116" s="9">
        <v>14334</v>
      </c>
      <c r="I116" s="4"/>
      <c r="J116" s="4" t="s">
        <v>485</v>
      </c>
      <c r="K116" s="7" t="s">
        <v>486</v>
      </c>
      <c r="L116" s="1" t="s">
        <v>487</v>
      </c>
      <c r="M116" s="9" t="s">
        <v>335</v>
      </c>
      <c r="N116" s="4" t="str">
        <f>VLOOKUP(H116,Clientes!B:D,3,)</f>
        <v>BANCO SOCIETE GENERALE BRASIL S/A</v>
      </c>
      <c r="P116" t="e">
        <f>_xlfn.XLOOKUP(K116,#REF!,#REF!,0,0,1)</f>
        <v>#REF!</v>
      </c>
    </row>
    <row r="117" spans="1:16" x14ac:dyDescent="0.25">
      <c r="A117" s="4" t="str">
        <f t="shared" si="1"/>
        <v>DESPESA DE REPRESENTAÇÃO - ALMOÇOS, JANTARES, TRANSPORTES, HOTEL ENTRE OUTROS-CEO-ERMINIO OLIVI LUCCI (AGENDA 39751)</v>
      </c>
      <c r="B117" s="11">
        <v>46023</v>
      </c>
      <c r="C117" s="4">
        <v>817991</v>
      </c>
      <c r="D117" s="1" t="s">
        <v>650</v>
      </c>
      <c r="E117" s="14">
        <v>-21888.19</v>
      </c>
      <c r="F117" s="5" t="s">
        <v>387</v>
      </c>
      <c r="G117" s="2">
        <v>46030</v>
      </c>
      <c r="H117" s="9">
        <v>1170</v>
      </c>
      <c r="I117" s="4"/>
      <c r="J117" s="4" t="s">
        <v>488</v>
      </c>
      <c r="K117" s="7" t="s">
        <v>489</v>
      </c>
      <c r="L117" s="1" t="s">
        <v>650</v>
      </c>
      <c r="M117" s="9" t="s">
        <v>490</v>
      </c>
      <c r="N117" s="4" t="str">
        <f>VLOOKUP(H117,Clientes!B:D,3,)</f>
        <v>BGC LIQUIDEZ DTVM LTDA</v>
      </c>
      <c r="P117" t="e">
        <f>_xlfn.XLOOKUP(K117,#REF!,#REF!,0,0,1)</f>
        <v>#REF!</v>
      </c>
    </row>
    <row r="118" spans="1:16" x14ac:dyDescent="0.25">
      <c r="A118" s="4" t="str">
        <f t="shared" si="1"/>
        <v>DESPESA DE REPRESENTAÇÃO - ALMOÇO MACRO NO VARANDA GRILL NO DIA 16/12-SALES-JOSE ANTONIO DEZENE JUNIOR (AGENDA 39604)</v>
      </c>
      <c r="B118" s="11">
        <v>46023</v>
      </c>
      <c r="C118" s="4">
        <v>817991</v>
      </c>
      <c r="D118" s="1" t="s">
        <v>428</v>
      </c>
      <c r="E118" s="14">
        <v>-7402.81</v>
      </c>
      <c r="F118" s="5" t="s">
        <v>387</v>
      </c>
      <c r="G118" s="2">
        <v>46034</v>
      </c>
      <c r="H118" s="9">
        <v>1170</v>
      </c>
      <c r="I118" s="4"/>
      <c r="J118" s="4" t="s">
        <v>491</v>
      </c>
      <c r="K118" s="7" t="s">
        <v>492</v>
      </c>
      <c r="L118" s="1" t="s">
        <v>428</v>
      </c>
      <c r="M118" s="9" t="s">
        <v>468</v>
      </c>
      <c r="N118" s="4" t="str">
        <f>VLOOKUP(H118,Clientes!B:D,3,)</f>
        <v>BGC LIQUIDEZ DTVM LTDA</v>
      </c>
      <c r="P118" t="e">
        <f>_xlfn.XLOOKUP(K118,#REF!,#REF!,0,0,1)</f>
        <v>#REF!</v>
      </c>
    </row>
    <row r="119" spans="1:16" x14ac:dyDescent="0.25">
      <c r="A119" s="4" t="str">
        <f t="shared" si="1"/>
        <v>DESPESA DE REPRESENTAÇÃO - JANTAR COM DANIEL NARZETTI NO DIA 10/12-SALES-JOSE ANTONIO DEZENE JUNIOR (AGENDA 39857)</v>
      </c>
      <c r="B119" s="11">
        <v>46023</v>
      </c>
      <c r="C119" s="4">
        <v>817991</v>
      </c>
      <c r="D119" s="1" t="s">
        <v>428</v>
      </c>
      <c r="E119" s="14">
        <v>-5055.4399999999996</v>
      </c>
      <c r="F119" s="5" t="s">
        <v>387</v>
      </c>
      <c r="G119" s="2">
        <v>46036</v>
      </c>
      <c r="H119" s="9">
        <v>1170</v>
      </c>
      <c r="I119" s="4"/>
      <c r="J119" s="4" t="s">
        <v>493</v>
      </c>
      <c r="K119" s="7" t="s">
        <v>494</v>
      </c>
      <c r="L119" s="1" t="s">
        <v>428</v>
      </c>
      <c r="M119" s="9" t="s">
        <v>468</v>
      </c>
      <c r="N119" s="4" t="str">
        <f>VLOOKUP(H119,Clientes!B:D,3,)</f>
        <v>BGC LIQUIDEZ DTVM LTDA</v>
      </c>
      <c r="P119" t="e">
        <f>_xlfn.XLOOKUP(K119,#REF!,#REF!,0,0,1)</f>
        <v>#REF!</v>
      </c>
    </row>
    <row r="120" spans="1:16" x14ac:dyDescent="0.25">
      <c r="A120" s="4" t="str">
        <f t="shared" si="1"/>
        <v>DESPESA DE REPRESENTAÇÃO - PASSAGEM RIO DE JANEIRO X SÃO PAULO-BROKER-FREDERICO PADILHA (AGENDA 39661)</v>
      </c>
      <c r="B120" s="11">
        <v>46023</v>
      </c>
      <c r="C120" s="4">
        <v>817991</v>
      </c>
      <c r="D120" s="1" t="s">
        <v>60</v>
      </c>
      <c r="E120" s="14">
        <v>-758.01</v>
      </c>
      <c r="F120" s="5" t="s">
        <v>388</v>
      </c>
      <c r="G120" s="2">
        <v>46037</v>
      </c>
      <c r="H120" s="9">
        <v>1170</v>
      </c>
      <c r="I120" s="4"/>
      <c r="J120" s="4" t="s">
        <v>495</v>
      </c>
      <c r="K120" s="7" t="s">
        <v>496</v>
      </c>
      <c r="L120" s="1" t="s">
        <v>497</v>
      </c>
      <c r="M120" s="9" t="s">
        <v>2</v>
      </c>
      <c r="N120" s="4" t="str">
        <f>VLOOKUP(H120,Clientes!B:D,3,)</f>
        <v>BGC LIQUIDEZ DTVM LTDA</v>
      </c>
      <c r="P120" t="e">
        <f>_xlfn.XLOOKUP(K120,#REF!,#REF!,0,0,1)</f>
        <v>#REF!</v>
      </c>
    </row>
    <row r="121" spans="1:16" x14ac:dyDescent="0.25">
      <c r="A121" s="4" t="str">
        <f t="shared" si="1"/>
        <v>DESPESA DE REPRESENTAÇÃO - PASSAGEM RIO DE JANEIRO X SÃO PAULO-BROKER-FREDERICO PADILHA (AGENDA 39661)</v>
      </c>
      <c r="B121" s="11">
        <v>46023</v>
      </c>
      <c r="C121" s="4">
        <v>817991</v>
      </c>
      <c r="D121" s="1" t="s">
        <v>60</v>
      </c>
      <c r="E121" s="14">
        <v>-607.89</v>
      </c>
      <c r="F121" s="5" t="s">
        <v>388</v>
      </c>
      <c r="G121" s="2">
        <v>46037</v>
      </c>
      <c r="H121" s="9">
        <v>1170</v>
      </c>
      <c r="I121" s="4"/>
      <c r="J121" s="4" t="s">
        <v>495</v>
      </c>
      <c r="K121" s="7" t="s">
        <v>496</v>
      </c>
      <c r="L121" s="1" t="s">
        <v>497</v>
      </c>
      <c r="M121" s="9" t="s">
        <v>2</v>
      </c>
      <c r="N121" s="4" t="str">
        <f>VLOOKUP(H121,Clientes!B:D,3,)</f>
        <v>BGC LIQUIDEZ DTVM LTDA</v>
      </c>
      <c r="P121" t="e">
        <f>_xlfn.XLOOKUP(K121,#REF!,#REF!,0,0,1)</f>
        <v>#REF!</v>
      </c>
    </row>
    <row r="122" spans="1:16" x14ac:dyDescent="0.25">
      <c r="A122" s="4" t="str">
        <f t="shared" si="1"/>
        <v>DESPESA DE REPRESENTAÇÃO - PASSAGEM RIO DE JANEIRO X SÃO PAULO-BROKER-FREDERICO PADILHA (AGENDA 39661)</v>
      </c>
      <c r="B122" s="11">
        <v>46023</v>
      </c>
      <c r="C122" s="4">
        <v>817991</v>
      </c>
      <c r="D122" s="1" t="s">
        <v>60</v>
      </c>
      <c r="E122" s="14">
        <v>-607.89</v>
      </c>
      <c r="F122" s="5" t="s">
        <v>388</v>
      </c>
      <c r="G122" s="2">
        <v>46037</v>
      </c>
      <c r="H122" s="9">
        <v>1170</v>
      </c>
      <c r="I122" s="4"/>
      <c r="J122" s="4" t="s">
        <v>495</v>
      </c>
      <c r="K122" s="7" t="s">
        <v>496</v>
      </c>
      <c r="L122" s="1" t="s">
        <v>497</v>
      </c>
      <c r="M122" s="9" t="s">
        <v>2</v>
      </c>
      <c r="N122" s="4" t="str">
        <f>VLOOKUP(H122,Clientes!B:D,3,)</f>
        <v>BGC LIQUIDEZ DTVM LTDA</v>
      </c>
      <c r="P122" t="e">
        <f>_xlfn.XLOOKUP(K122,#REF!,#REF!,0,0,1)</f>
        <v>#REF!</v>
      </c>
    </row>
    <row r="123" spans="1:16" x14ac:dyDescent="0.25">
      <c r="A123" s="4" t="str">
        <f t="shared" si="1"/>
        <v>DESPESA DE REPRESENTAÇÃO - PASSAGEM RIO DE JANEIRO X SÃO PAULO-BROKER-FREDERICO PADILHA (AGENDA 39661)</v>
      </c>
      <c r="B123" s="11">
        <v>46023</v>
      </c>
      <c r="C123" s="4">
        <v>817991</v>
      </c>
      <c r="D123" s="1" t="s">
        <v>60</v>
      </c>
      <c r="E123" s="14">
        <v>-694.11</v>
      </c>
      <c r="F123" s="5" t="s">
        <v>388</v>
      </c>
      <c r="G123" s="2">
        <v>46037</v>
      </c>
      <c r="H123" s="9">
        <v>1170</v>
      </c>
      <c r="I123" s="4"/>
      <c r="J123" s="4" t="s">
        <v>495</v>
      </c>
      <c r="K123" s="7" t="s">
        <v>496</v>
      </c>
      <c r="L123" s="1" t="s">
        <v>497</v>
      </c>
      <c r="M123" s="9" t="s">
        <v>2</v>
      </c>
      <c r="N123" s="4" t="str">
        <f>VLOOKUP(H123,Clientes!B:D,3,)</f>
        <v>BGC LIQUIDEZ DTVM LTDA</v>
      </c>
      <c r="P123" t="e">
        <f>_xlfn.XLOOKUP(K123,#REF!,#REF!,0,0,1)</f>
        <v>#REF!</v>
      </c>
    </row>
    <row r="124" spans="1:16" x14ac:dyDescent="0.25">
      <c r="A124" s="4" t="str">
        <f t="shared" si="1"/>
        <v>DESPESA DE REPRESENTAÇÃO - HAPPY HOUR-BROKER-LEONARDO MACHADO (131258-3688MP)</v>
      </c>
      <c r="B124" s="11">
        <v>46023</v>
      </c>
      <c r="C124" s="4">
        <v>817991</v>
      </c>
      <c r="D124" s="1" t="s">
        <v>477</v>
      </c>
      <c r="E124" s="14">
        <v>-676.36</v>
      </c>
      <c r="F124" s="5" t="s">
        <v>387</v>
      </c>
      <c r="G124" s="2">
        <v>46037</v>
      </c>
      <c r="H124" s="9">
        <v>80111</v>
      </c>
      <c r="I124" s="4"/>
      <c r="J124" s="4" t="s">
        <v>485</v>
      </c>
      <c r="K124" s="7" t="s">
        <v>498</v>
      </c>
      <c r="L124" s="1" t="s">
        <v>499</v>
      </c>
      <c r="M124" s="9" t="s">
        <v>2</v>
      </c>
      <c r="N124" s="4" t="str">
        <f>VLOOKUP(H124,Clientes!B:D,3,)</f>
        <v>IBIUNA GESTAO DE RECURSOS LTDA</v>
      </c>
      <c r="P124" t="e">
        <f>_xlfn.XLOOKUP(K124,#REF!,#REF!,0,0,1)</f>
        <v>#REF!</v>
      </c>
    </row>
    <row r="125" spans="1:16" x14ac:dyDescent="0.25">
      <c r="A125" s="4" t="str">
        <f t="shared" si="1"/>
        <v>DESPESA DE REPRESENTAÇÃO - ALMOÇO-TRADER-BENY (135357-3688RP)</v>
      </c>
      <c r="B125" s="11">
        <v>46023</v>
      </c>
      <c r="C125" s="4">
        <v>817991</v>
      </c>
      <c r="D125" s="1" t="s">
        <v>482</v>
      </c>
      <c r="E125" s="14">
        <v>-460</v>
      </c>
      <c r="F125" s="5" t="s">
        <v>447</v>
      </c>
      <c r="G125" s="2">
        <v>46037</v>
      </c>
      <c r="H125" s="9">
        <v>81319</v>
      </c>
      <c r="I125" s="4"/>
      <c r="J125" s="4" t="s">
        <v>447</v>
      </c>
      <c r="K125" s="7" t="s">
        <v>500</v>
      </c>
      <c r="L125" s="1" t="s">
        <v>501</v>
      </c>
      <c r="M125" s="9" t="s">
        <v>335</v>
      </c>
      <c r="N125" s="4" t="str">
        <f>VLOOKUP(H125,Clientes!B:D,3,)</f>
        <v>PRAGMA GESTAO DE PATRIMONIO LTDA</v>
      </c>
      <c r="P125" t="e">
        <f>_xlfn.XLOOKUP(K125,#REF!,#REF!,0,0,1)</f>
        <v>#REF!</v>
      </c>
    </row>
    <row r="126" spans="1:16" x14ac:dyDescent="0.25">
      <c r="A126" s="4" t="str">
        <f t="shared" si="1"/>
        <v>DESPESA DE REPRESENTAÇÃO - CARTÃO CORPORATIVO NACIONAL-CEO-ERMINIO OLIVI LUCCI (AGENDA 39749)</v>
      </c>
      <c r="B126" s="11">
        <v>46023</v>
      </c>
      <c r="C126" s="4">
        <v>817991</v>
      </c>
      <c r="D126" s="1" t="s">
        <v>650</v>
      </c>
      <c r="E126" s="14">
        <v>-6484.5</v>
      </c>
      <c r="F126" s="5" t="s">
        <v>389</v>
      </c>
      <c r="G126" s="2">
        <v>46037</v>
      </c>
      <c r="H126" s="9">
        <v>1170</v>
      </c>
      <c r="I126" s="4"/>
      <c r="J126" s="4" t="s">
        <v>984</v>
      </c>
      <c r="K126" s="7" t="s">
        <v>502</v>
      </c>
      <c r="L126" s="1" t="s">
        <v>650</v>
      </c>
      <c r="M126" s="9" t="s">
        <v>490</v>
      </c>
      <c r="N126" s="4" t="str">
        <f>VLOOKUP(H126,Clientes!B:D,3,)</f>
        <v>BGC LIQUIDEZ DTVM LTDA</v>
      </c>
      <c r="P126" t="e">
        <f>_xlfn.XLOOKUP(K126,#REF!,#REF!,0,0,1)</f>
        <v>#REF!</v>
      </c>
    </row>
    <row r="127" spans="1:16" x14ac:dyDescent="0.25">
      <c r="A127" s="4" t="str">
        <f t="shared" ref="A127:A132" si="2">CONCATENATE($J$1,J127,$I$3,M127,$I$3,L127,$I$1,K127,$I$2)</f>
        <v>DESPESA DE REPRESENTAÇÃO - CARTÃO CORPORATIVO INTERNACIONAL-CEO-ERMINIO OLIVI LUCCI (AGENDA 39749)</v>
      </c>
      <c r="B127" s="11">
        <v>46023</v>
      </c>
      <c r="C127" s="4">
        <v>817991</v>
      </c>
      <c r="D127" s="1" t="s">
        <v>650</v>
      </c>
      <c r="E127" s="14">
        <v>-4834.0200000000004</v>
      </c>
      <c r="F127" s="5" t="s">
        <v>389</v>
      </c>
      <c r="G127" s="2">
        <v>46037</v>
      </c>
      <c r="H127" s="9">
        <v>1170</v>
      </c>
      <c r="I127" s="4"/>
      <c r="J127" s="4" t="s">
        <v>983</v>
      </c>
      <c r="K127" s="7" t="s">
        <v>502</v>
      </c>
      <c r="L127" s="1" t="s">
        <v>650</v>
      </c>
      <c r="M127" s="9" t="s">
        <v>490</v>
      </c>
      <c r="N127" s="4" t="str">
        <f>VLOOKUP(H127,Clientes!B:D,3,)</f>
        <v>BGC LIQUIDEZ DTVM LTDA</v>
      </c>
      <c r="P127" t="e">
        <f>_xlfn.XLOOKUP(K127,#REF!,#REF!,0,0,1)</f>
        <v>#REF!</v>
      </c>
    </row>
    <row r="128" spans="1:16" x14ac:dyDescent="0.25">
      <c r="A128" s="4" t="str">
        <f t="shared" si="2"/>
        <v>DESPESA DE REPRESENTAÇÃO - CARTÃO CORPORATIVO EVENTO MELISSA E JOTA-SALES-JOSE ANTONIO DEZENE JUNIOR (AGENDA 39749)</v>
      </c>
      <c r="B128" s="11">
        <v>46023</v>
      </c>
      <c r="C128" s="4">
        <v>817991</v>
      </c>
      <c r="D128" s="1" t="s">
        <v>428</v>
      </c>
      <c r="E128" s="14">
        <v>-4000</v>
      </c>
      <c r="F128" s="5" t="s">
        <v>389</v>
      </c>
      <c r="G128" s="2">
        <v>46037</v>
      </c>
      <c r="H128" s="9">
        <v>1170</v>
      </c>
      <c r="I128" s="4"/>
      <c r="J128" s="4" t="s">
        <v>1018</v>
      </c>
      <c r="K128" s="7" t="s">
        <v>502</v>
      </c>
      <c r="L128" s="1" t="s">
        <v>428</v>
      </c>
      <c r="M128" s="9" t="s">
        <v>468</v>
      </c>
      <c r="N128" s="4" t="str">
        <f>VLOOKUP(H128,Clientes!B:D,3,)</f>
        <v>BGC LIQUIDEZ DTVM LTDA</v>
      </c>
      <c r="P128" t="e">
        <f>_xlfn.XLOOKUP(K128,#REF!,#REF!,0,0,1)</f>
        <v>#REF!</v>
      </c>
    </row>
    <row r="129" spans="1:16" x14ac:dyDescent="0.25">
      <c r="A129" s="4" t="str">
        <f t="shared" si="2"/>
        <v>DESPESA DE REPRESENTAÇÃO - CARTÃO CORPORATIVO COMPRA DE DONUTS-CEO-ERMINIO OLIVI LUCCI (AGENDA 39749)</v>
      </c>
      <c r="B129" s="11">
        <v>46023</v>
      </c>
      <c r="C129" s="4">
        <v>817991</v>
      </c>
      <c r="D129" s="1" t="s">
        <v>650</v>
      </c>
      <c r="E129" s="14">
        <v>-897.99</v>
      </c>
      <c r="F129" s="5" t="s">
        <v>389</v>
      </c>
      <c r="G129" s="2">
        <v>46037</v>
      </c>
      <c r="H129" s="9">
        <v>1170</v>
      </c>
      <c r="I129" s="4"/>
      <c r="J129" s="4" t="s">
        <v>1019</v>
      </c>
      <c r="K129" s="7" t="s">
        <v>502</v>
      </c>
      <c r="L129" s="1" t="s">
        <v>650</v>
      </c>
      <c r="M129" s="9" t="s">
        <v>490</v>
      </c>
      <c r="N129" s="4" t="str">
        <f>VLOOKUP(H129,Clientes!B:D,3,)</f>
        <v>BGC LIQUIDEZ DTVM LTDA</v>
      </c>
      <c r="P129" t="e">
        <f>_xlfn.XLOOKUP(K129,#REF!,#REF!,0,0,1)</f>
        <v>#REF!</v>
      </c>
    </row>
    <row r="130" spans="1:16" x14ac:dyDescent="0.25">
      <c r="A130" s="4" t="str">
        <f t="shared" si="2"/>
        <v>DESPESA DE REPRESENTAÇÃO - CARTÃO CORPORATIVO COMPRA DOS LIVROS A PSICOLOGIA FINANCEIRA-CEO-ERMINIO OLIVI LUCCI (AGENDA 39749)</v>
      </c>
      <c r="B130" s="11">
        <v>46023</v>
      </c>
      <c r="C130" s="4">
        <v>817991</v>
      </c>
      <c r="D130" s="1" t="s">
        <v>650</v>
      </c>
      <c r="E130" s="14">
        <v>-1771.5</v>
      </c>
      <c r="F130" s="5" t="s">
        <v>389</v>
      </c>
      <c r="G130" s="2">
        <v>46037</v>
      </c>
      <c r="H130" s="9">
        <v>1170</v>
      </c>
      <c r="I130" s="4"/>
      <c r="J130" s="4" t="s">
        <v>1020</v>
      </c>
      <c r="K130" s="7" t="s">
        <v>502</v>
      </c>
      <c r="L130" s="1" t="s">
        <v>650</v>
      </c>
      <c r="M130" s="9" t="s">
        <v>490</v>
      </c>
      <c r="N130" s="4" t="str">
        <f>VLOOKUP(H130,Clientes!B:D,3,)</f>
        <v>BGC LIQUIDEZ DTVM LTDA</v>
      </c>
      <c r="P130" t="e">
        <f>_xlfn.XLOOKUP(K130,#REF!,#REF!,0,0,1)</f>
        <v>#REF!</v>
      </c>
    </row>
    <row r="131" spans="1:16" x14ac:dyDescent="0.25">
      <c r="A131" s="4" t="str">
        <f t="shared" si="2"/>
        <v>DESPESA DE REPRESENTAÇÃO - CARTÃO CORPORATIVO VESTUARIO CF8 CONFECCO-CT TDA-CEO-ERMINIO OLIVI LUCCI (AGENDA 39749)</v>
      </c>
      <c r="B131" s="11">
        <v>46023</v>
      </c>
      <c r="C131" s="4">
        <v>817991</v>
      </c>
      <c r="D131" s="1" t="s">
        <v>650</v>
      </c>
      <c r="E131" s="14">
        <v>-358</v>
      </c>
      <c r="F131" s="5" t="s">
        <v>389</v>
      </c>
      <c r="G131" s="2">
        <v>46037</v>
      </c>
      <c r="H131" s="9">
        <v>1170</v>
      </c>
      <c r="I131" s="4"/>
      <c r="J131" s="4" t="s">
        <v>998</v>
      </c>
      <c r="K131" s="7" t="s">
        <v>502</v>
      </c>
      <c r="L131" s="1" t="s">
        <v>650</v>
      </c>
      <c r="M131" s="9" t="s">
        <v>490</v>
      </c>
      <c r="N131" s="4" t="str">
        <f>VLOOKUP(H131,Clientes!B:D,3,)</f>
        <v>BGC LIQUIDEZ DTVM LTDA</v>
      </c>
      <c r="P131" t="e">
        <f>_xlfn.XLOOKUP(K131,#REF!,#REF!,0,0,1)</f>
        <v>#REF!</v>
      </c>
    </row>
    <row r="132" spans="1:16" x14ac:dyDescent="0.25">
      <c r="A132" s="4" t="str">
        <f t="shared" si="2"/>
        <v>DESPESA DE REPRESENTAÇÃO - CARTÃO CORPORATIVO INTERNACIONAL PAGAMENTO DA  ZOOM.COM-CEO-ERMINIO OLIVI LUCCI (AGENDA 39749)</v>
      </c>
      <c r="B132" s="11">
        <v>46023</v>
      </c>
      <c r="C132" s="4">
        <v>817991</v>
      </c>
      <c r="D132" s="1" t="s">
        <v>650</v>
      </c>
      <c r="E132" s="14">
        <v>-2256.8200000000002</v>
      </c>
      <c r="F132" s="5" t="s">
        <v>389</v>
      </c>
      <c r="G132" s="2">
        <v>46037</v>
      </c>
      <c r="H132" s="9">
        <v>1170</v>
      </c>
      <c r="I132" s="4"/>
      <c r="J132" s="4" t="s">
        <v>1021</v>
      </c>
      <c r="K132" s="7" t="s">
        <v>502</v>
      </c>
      <c r="L132" s="1" t="s">
        <v>650</v>
      </c>
      <c r="M132" s="9" t="s">
        <v>490</v>
      </c>
      <c r="N132" s="4" t="str">
        <f>VLOOKUP(H132,Clientes!B:D,3,)</f>
        <v>BGC LIQUIDEZ DTVM LTDA</v>
      </c>
      <c r="P132" t="e">
        <f>_xlfn.XLOOKUP(K132,#REF!,#REF!,0,0,1)</f>
        <v>#REF!</v>
      </c>
    </row>
    <row r="133" spans="1:16" x14ac:dyDescent="0.25">
      <c r="A133" s="4" t="str">
        <f t="shared" si="1"/>
        <v>DESPESA DE REPRESENTAÇÃO - JANTAR-TRADER-BRUNO CESAR MIRANDA CARDOSO (115929-3688FP)</v>
      </c>
      <c r="B133" s="11">
        <v>46023</v>
      </c>
      <c r="C133" s="4">
        <v>817991</v>
      </c>
      <c r="D133" s="1" t="s">
        <v>503</v>
      </c>
      <c r="E133" s="14">
        <v>-1002.31</v>
      </c>
      <c r="F133" s="5" t="s">
        <v>380</v>
      </c>
      <c r="G133" s="2">
        <v>46037</v>
      </c>
      <c r="H133" s="9">
        <v>14416</v>
      </c>
      <c r="I133" s="4"/>
      <c r="J133" s="4" t="s">
        <v>380</v>
      </c>
      <c r="K133" s="7" t="s">
        <v>504</v>
      </c>
      <c r="L133" s="1" t="s">
        <v>505</v>
      </c>
      <c r="M133" s="9" t="s">
        <v>335</v>
      </c>
      <c r="N133" s="4" t="str">
        <f>VLOOKUP(H133,Clientes!B:D,3,)</f>
        <v>BANCO JP MORGAN S/A</v>
      </c>
      <c r="P133" t="e">
        <f>_xlfn.XLOOKUP(K133,#REF!,#REF!,0,0,1)</f>
        <v>#REF!</v>
      </c>
    </row>
    <row r="134" spans="1:16" x14ac:dyDescent="0.25">
      <c r="A134" s="4" t="str">
        <f t="shared" si="1"/>
        <v>DESPESA DE REPRESENTAÇÃO - PASSAGEM RIO DE JANEIRO X SÃO PAULO-SALES-MARCELLE DA SILVEIRA GIL CADILHE (AGENDA 39856)</v>
      </c>
      <c r="B134" s="11">
        <v>46023</v>
      </c>
      <c r="C134" s="4">
        <v>817991</v>
      </c>
      <c r="D134" s="1" t="s">
        <v>428</v>
      </c>
      <c r="E134" s="14">
        <v>-890.86</v>
      </c>
      <c r="F134" s="5" t="s">
        <v>388</v>
      </c>
      <c r="G134" s="2">
        <v>46041</v>
      </c>
      <c r="H134" s="9">
        <v>1170</v>
      </c>
      <c r="I134" s="4"/>
      <c r="J134" s="4" t="s">
        <v>495</v>
      </c>
      <c r="K134" s="7" t="s">
        <v>506</v>
      </c>
      <c r="L134" s="1" t="s">
        <v>658</v>
      </c>
      <c r="M134" s="9" t="s">
        <v>468</v>
      </c>
      <c r="N134" s="4" t="str">
        <f>VLOOKUP(H134,Clientes!B:D,3,)</f>
        <v>BGC LIQUIDEZ DTVM LTDA</v>
      </c>
      <c r="P134" t="e">
        <f>_xlfn.XLOOKUP(K134,#REF!,#REF!,0,0,1)</f>
        <v>#REF!</v>
      </c>
    </row>
    <row r="135" spans="1:16" x14ac:dyDescent="0.25">
      <c r="A135" s="4" t="str">
        <f t="shared" si="1"/>
        <v>DESPESA DE REPRESENTAÇÃO - PASSAGEM RIO DE JANEIRO X SÃO PAULO-BROKER-JOSE MAURICIO GOMES TEIXEIRA (AGENDA 39856)</v>
      </c>
      <c r="B135" s="11">
        <v>46023</v>
      </c>
      <c r="C135" s="4">
        <v>817991</v>
      </c>
      <c r="D135" s="1" t="s">
        <v>23</v>
      </c>
      <c r="E135" s="14">
        <v>-675.5</v>
      </c>
      <c r="F135" s="5" t="s">
        <v>388</v>
      </c>
      <c r="G135" s="2">
        <v>46041</v>
      </c>
      <c r="H135" s="9">
        <v>1170</v>
      </c>
      <c r="I135" s="4"/>
      <c r="J135" s="4" t="s">
        <v>495</v>
      </c>
      <c r="K135" s="7" t="s">
        <v>506</v>
      </c>
      <c r="L135" s="1" t="s">
        <v>23</v>
      </c>
      <c r="M135" s="9" t="s">
        <v>2</v>
      </c>
      <c r="N135" s="4" t="str">
        <f>VLOOKUP(H135,Clientes!B:D,3,)</f>
        <v>BGC LIQUIDEZ DTVM LTDA</v>
      </c>
      <c r="P135" t="e">
        <f>_xlfn.XLOOKUP(K135,#REF!,#REF!,0,0,1)</f>
        <v>#REF!</v>
      </c>
    </row>
    <row r="136" spans="1:16" x14ac:dyDescent="0.25">
      <c r="A136" s="4" t="str">
        <f t="shared" si="1"/>
        <v>DESPESA DE REPRESENTAÇÃO - MENSALIDADE DA ASSOCIAÇÃO AO WTC BUSSINESS CLUB-CEO-ERMINIO OLIVI LUCCI (AGENDA 39934)</v>
      </c>
      <c r="B136" s="11">
        <v>46023</v>
      </c>
      <c r="C136" s="4">
        <v>817991</v>
      </c>
      <c r="D136" s="1" t="s">
        <v>650</v>
      </c>
      <c r="E136" s="14">
        <v>-2000</v>
      </c>
      <c r="F136" s="5" t="s">
        <v>389</v>
      </c>
      <c r="G136" s="2">
        <v>46041</v>
      </c>
      <c r="H136" s="9">
        <v>1170</v>
      </c>
      <c r="I136" s="4"/>
      <c r="J136" s="4" t="s">
        <v>507</v>
      </c>
      <c r="K136" s="7" t="s">
        <v>508</v>
      </c>
      <c r="L136" s="1" t="s">
        <v>650</v>
      </c>
      <c r="M136" s="9" t="s">
        <v>490</v>
      </c>
      <c r="N136" s="4" t="str">
        <f>VLOOKUP(H136,Clientes!B:D,3,)</f>
        <v>BGC LIQUIDEZ DTVM LTDA</v>
      </c>
      <c r="P136" t="e">
        <f>_xlfn.XLOOKUP(K136,#REF!,#REF!,0,0,1)</f>
        <v>#REF!</v>
      </c>
    </row>
    <row r="137" spans="1:16" x14ac:dyDescent="0.25">
      <c r="A137" s="4" t="str">
        <f t="shared" ref="A137:A188" si="3">CONCATENATE($J$1,J137,$I$3,M137,$I$3,L137,$I$1,K137,$I$2)</f>
        <v>DESPESA DE REPRESENTAÇÃO - FILIAÇÃO DO WTC BUSSINESS CLUB-CEO-ERMINIO OLIVI LUCCI (AGENDA 39979)</v>
      </c>
      <c r="B137" s="11">
        <v>46023</v>
      </c>
      <c r="C137" s="4">
        <v>817991</v>
      </c>
      <c r="D137" s="1" t="s">
        <v>650</v>
      </c>
      <c r="E137" s="14">
        <v>-6000</v>
      </c>
      <c r="F137" s="5" t="s">
        <v>389</v>
      </c>
      <c r="G137" s="2">
        <v>46043</v>
      </c>
      <c r="H137" s="9">
        <v>1170</v>
      </c>
      <c r="I137" s="4"/>
      <c r="J137" s="4" t="s">
        <v>509</v>
      </c>
      <c r="K137" s="7" t="s">
        <v>510</v>
      </c>
      <c r="L137" s="1" t="s">
        <v>650</v>
      </c>
      <c r="M137" s="9" t="s">
        <v>490</v>
      </c>
      <c r="N137" s="4" t="str">
        <f>VLOOKUP(H137,Clientes!B:D,3,)</f>
        <v>BGC LIQUIDEZ DTVM LTDA</v>
      </c>
      <c r="P137" t="e">
        <f>_xlfn.XLOOKUP(K137,#REF!,#REF!,0,0,1)</f>
        <v>#REF!</v>
      </c>
    </row>
    <row r="138" spans="1:16" x14ac:dyDescent="0.25">
      <c r="A138" s="4" t="str">
        <f t="shared" si="3"/>
        <v>DESPESA DE REPRESENTAÇÃO - ALMOÇO CLIENTE AZIMUT-TRADER-FELIPE FREITAS (111937-3688FB)</v>
      </c>
      <c r="B138" s="11">
        <v>46023</v>
      </c>
      <c r="C138" s="4">
        <v>817991</v>
      </c>
      <c r="D138" s="1" t="s">
        <v>475</v>
      </c>
      <c r="E138" s="14">
        <v>-462.56</v>
      </c>
      <c r="F138" s="5" t="s">
        <v>447</v>
      </c>
      <c r="G138" s="2">
        <v>46044</v>
      </c>
      <c r="H138" s="9">
        <v>1170</v>
      </c>
      <c r="I138" s="4"/>
      <c r="J138" s="4" t="s">
        <v>512</v>
      </c>
      <c r="K138" s="7" t="s">
        <v>511</v>
      </c>
      <c r="L138" s="1" t="s">
        <v>513</v>
      </c>
      <c r="M138" s="9" t="s">
        <v>335</v>
      </c>
      <c r="N138" s="4" t="str">
        <f>VLOOKUP(H138,Clientes!B:D,3,)</f>
        <v>BGC LIQUIDEZ DTVM LTDA</v>
      </c>
      <c r="P138" t="e">
        <f>_xlfn.XLOOKUP(K138,#REF!,#REF!,0,0,1)</f>
        <v>#REF!</v>
      </c>
    </row>
    <row r="139" spans="1:16" x14ac:dyDescent="0.25">
      <c r="A139" s="4" t="str">
        <f t="shared" si="3"/>
        <v>DESPESA DE REPRESENTAÇÃO - ALMOÇO-TRADER-THIAGO MARINHEIRO (154031-3688DG)</v>
      </c>
      <c r="B139" s="11">
        <v>46023</v>
      </c>
      <c r="C139" s="4">
        <v>817991</v>
      </c>
      <c r="D139" s="1" t="s">
        <v>516</v>
      </c>
      <c r="E139" s="14">
        <v>-417.65</v>
      </c>
      <c r="F139" s="5" t="s">
        <v>447</v>
      </c>
      <c r="G139" s="2">
        <v>46044</v>
      </c>
      <c r="H139" s="9">
        <v>81259</v>
      </c>
      <c r="I139" s="4"/>
      <c r="J139" s="4" t="s">
        <v>447</v>
      </c>
      <c r="K139" s="7" t="s">
        <v>514</v>
      </c>
      <c r="L139" s="1" t="s">
        <v>515</v>
      </c>
      <c r="M139" s="9" t="s">
        <v>335</v>
      </c>
      <c r="N139" s="4" t="str">
        <f>VLOOKUP(H139,Clientes!B:D,3,)</f>
        <v>GOLDMAN SACHS DO BRASIL BANCO MULTIPLO S/A</v>
      </c>
      <c r="P139" t="e">
        <f>_xlfn.XLOOKUP(K139,#REF!,#REF!,0,0,1)</f>
        <v>#REF!</v>
      </c>
    </row>
    <row r="140" spans="1:16" x14ac:dyDescent="0.25">
      <c r="A140" s="4" t="str">
        <f t="shared" si="3"/>
        <v>DESPESA DE REPRESENTAÇÃO - ALMOÇO-TRADER-ROMULO MAGALHAES BRASIL (112814-3688FB)</v>
      </c>
      <c r="B140" s="11">
        <v>46023</v>
      </c>
      <c r="C140" s="4">
        <v>817991</v>
      </c>
      <c r="D140" s="1" t="s">
        <v>475</v>
      </c>
      <c r="E140" s="14">
        <v>-623.76</v>
      </c>
      <c r="F140" s="5" t="s">
        <v>447</v>
      </c>
      <c r="G140" s="2">
        <v>46044</v>
      </c>
      <c r="H140" s="9">
        <v>79258</v>
      </c>
      <c r="I140" s="4"/>
      <c r="J140" s="4" t="s">
        <v>447</v>
      </c>
      <c r="K140" s="7" t="s">
        <v>518</v>
      </c>
      <c r="L140" s="1" t="s">
        <v>517</v>
      </c>
      <c r="M140" s="9" t="s">
        <v>335</v>
      </c>
      <c r="N140" s="4" t="str">
        <f>VLOOKUP(H140,Clientes!B:D,3,)</f>
        <v>ITAU UNIBANCO S/A</v>
      </c>
      <c r="P140" t="e">
        <f>_xlfn.XLOOKUP(K140,#REF!,#REF!,0,0,1)</f>
        <v>#REF!</v>
      </c>
    </row>
    <row r="141" spans="1:16" x14ac:dyDescent="0.25">
      <c r="A141" s="4" t="str">
        <f t="shared" si="3"/>
        <v>DESPESA DE REPRESENTAÇÃO - ALMOÇO-TRADER-BRUNO DE MATTOS A DOS SANTOS (155512-3688FR)</v>
      </c>
      <c r="B141" s="11">
        <v>46023</v>
      </c>
      <c r="C141" s="4">
        <v>817991</v>
      </c>
      <c r="D141" s="1" t="s">
        <v>632</v>
      </c>
      <c r="E141" s="14">
        <v>-1533.41</v>
      </c>
      <c r="F141" s="5" t="s">
        <v>447</v>
      </c>
      <c r="G141" s="2">
        <v>46044</v>
      </c>
      <c r="H141" s="9">
        <v>80375</v>
      </c>
      <c r="I141" s="4"/>
      <c r="J141" s="4" t="s">
        <v>447</v>
      </c>
      <c r="K141" s="7" t="s">
        <v>656</v>
      </c>
      <c r="L141" s="1" t="s">
        <v>520</v>
      </c>
      <c r="M141" s="9" t="s">
        <v>335</v>
      </c>
      <c r="N141" s="4" t="str">
        <f>VLOOKUP(H141,Clientes!B:D,3,)</f>
        <v>ITAU UNIBANCO S/A</v>
      </c>
      <c r="P141" t="e">
        <f>_xlfn.XLOOKUP(K141,#REF!,#REF!,0,0,1)</f>
        <v>#REF!</v>
      </c>
    </row>
    <row r="142" spans="1:16" x14ac:dyDescent="0.25">
      <c r="A142" s="4" t="str">
        <f t="shared" si="3"/>
        <v>DESPESA DE REPRESENTAÇÃO - ALMOÇO-TRADER-BRUNO SAVARIS (171054-3688RP)</v>
      </c>
      <c r="B142" s="11">
        <v>46023</v>
      </c>
      <c r="C142" s="4">
        <v>817991</v>
      </c>
      <c r="D142" s="1" t="s">
        <v>482</v>
      </c>
      <c r="E142" s="14">
        <v>-292</v>
      </c>
      <c r="F142" s="5" t="s">
        <v>447</v>
      </c>
      <c r="G142" s="2">
        <v>46044</v>
      </c>
      <c r="H142" s="9">
        <v>80510</v>
      </c>
      <c r="I142" s="4"/>
      <c r="J142" s="4" t="s">
        <v>447</v>
      </c>
      <c r="K142" s="7" t="s">
        <v>521</v>
      </c>
      <c r="L142" s="1" t="s">
        <v>522</v>
      </c>
      <c r="M142" s="9" t="s">
        <v>335</v>
      </c>
      <c r="N142" s="4" t="str">
        <f>VLOOKUP(H142,Clientes!B:D,3,)</f>
        <v>ITAU UNIBANCO ASSET - TACO</v>
      </c>
      <c r="P142" t="e">
        <f>_xlfn.XLOOKUP(K142,#REF!,#REF!,0,0,1)</f>
        <v>#REF!</v>
      </c>
    </row>
    <row r="143" spans="1:16" x14ac:dyDescent="0.25">
      <c r="A143" s="4" t="str">
        <f t="shared" si="3"/>
        <v>DESPESA DE REPRESENTAÇÃO - ALMOÇO-TRADER-BRUNO PEREIRA GUEDES (141955-3688AC)</v>
      </c>
      <c r="B143" s="11">
        <v>46023</v>
      </c>
      <c r="C143" s="4">
        <v>817991</v>
      </c>
      <c r="D143" s="1" t="s">
        <v>331</v>
      </c>
      <c r="E143" s="14">
        <v>-1655.45</v>
      </c>
      <c r="F143" s="5" t="s">
        <v>447</v>
      </c>
      <c r="G143" s="2">
        <v>46044</v>
      </c>
      <c r="H143" s="9">
        <v>15501</v>
      </c>
      <c r="I143" s="4"/>
      <c r="J143" s="4" t="s">
        <v>447</v>
      </c>
      <c r="K143" s="7" t="s">
        <v>523</v>
      </c>
      <c r="L143" s="1" t="s">
        <v>524</v>
      </c>
      <c r="M143" s="9" t="s">
        <v>335</v>
      </c>
      <c r="N143" s="4" t="str">
        <f>VLOOKUP(H143,Clientes!B:D,3,)</f>
        <v>BANCO BTG PACTUAL S/A</v>
      </c>
      <c r="P143" t="e">
        <f>_xlfn.XLOOKUP(K143,#REF!,#REF!,0,0,1)</f>
        <v>#REF!</v>
      </c>
    </row>
    <row r="144" spans="1:16" x14ac:dyDescent="0.25">
      <c r="A144" s="4" t="str">
        <f t="shared" si="3"/>
        <v>DESPESA DE REPRESENTAÇÃO - TAXI-BROKER-FREDERICO PADILHA (104706-3688FP)</v>
      </c>
      <c r="B144" s="11">
        <v>46023</v>
      </c>
      <c r="C144" s="4">
        <v>817991</v>
      </c>
      <c r="D144" s="1" t="s">
        <v>60</v>
      </c>
      <c r="E144" s="14">
        <v>-54.15</v>
      </c>
      <c r="F144" s="5" t="s">
        <v>388</v>
      </c>
      <c r="G144" s="2">
        <v>46044</v>
      </c>
      <c r="H144" s="9">
        <v>1170</v>
      </c>
      <c r="I144" s="4"/>
      <c r="J144" s="4" t="s">
        <v>525</v>
      </c>
      <c r="K144" s="7" t="s">
        <v>526</v>
      </c>
      <c r="L144" s="1" t="s">
        <v>497</v>
      </c>
      <c r="M144" s="9" t="s">
        <v>2</v>
      </c>
      <c r="N144" s="4" t="str">
        <f>VLOOKUP(H144,Clientes!B:D,3,)</f>
        <v>BGC LIQUIDEZ DTVM LTDA</v>
      </c>
      <c r="P144" t="e">
        <f>_xlfn.XLOOKUP(K144,#REF!,#REF!,0,0,1)</f>
        <v>#REF!</v>
      </c>
    </row>
    <row r="145" spans="1:16" x14ac:dyDescent="0.25">
      <c r="A145" s="4" t="str">
        <f t="shared" si="3"/>
        <v>DESPESA DE REPRESENTAÇÃO - ALMOÇO-TRADER-VICTOR DE ABREU PINHEIRO MIRAN (104414-3688FP)</v>
      </c>
      <c r="B145" s="11">
        <v>46023</v>
      </c>
      <c r="C145" s="4">
        <v>817991</v>
      </c>
      <c r="D145" s="1" t="s">
        <v>60</v>
      </c>
      <c r="E145" s="14">
        <v>-790.83</v>
      </c>
      <c r="F145" s="5" t="s">
        <v>447</v>
      </c>
      <c r="G145" s="2">
        <v>46044</v>
      </c>
      <c r="H145" s="9">
        <v>80883</v>
      </c>
      <c r="I145" s="4"/>
      <c r="J145" s="4" t="s">
        <v>447</v>
      </c>
      <c r="K145" s="7" t="s">
        <v>528</v>
      </c>
      <c r="L145" s="1" t="s">
        <v>527</v>
      </c>
      <c r="M145" s="9" t="s">
        <v>335</v>
      </c>
      <c r="N145" s="4" t="str">
        <f>VLOOKUP(H145,Clientes!B:D,3,)</f>
        <v>GENOA CAPITAL GESTORA DE RECURSOS LTDA</v>
      </c>
      <c r="P145" t="e">
        <f>_xlfn.XLOOKUP(K145,#REF!,#REF!,0,0,1)</f>
        <v>#REF!</v>
      </c>
    </row>
    <row r="146" spans="1:16" x14ac:dyDescent="0.25">
      <c r="A146" s="4" t="str">
        <f t="shared" si="3"/>
        <v>DESPESA DE REPRESENTAÇÃO - HAPPY HOUR-TRADER-PEDRO ROMANO (133219-3688RU)</v>
      </c>
      <c r="B146" s="11">
        <v>46023</v>
      </c>
      <c r="C146" s="4">
        <v>817991</v>
      </c>
      <c r="D146" s="1" t="s">
        <v>652</v>
      </c>
      <c r="E146" s="14">
        <v>-1355.85</v>
      </c>
      <c r="F146" s="5" t="s">
        <v>387</v>
      </c>
      <c r="G146" s="2">
        <v>46044</v>
      </c>
      <c r="H146" s="9">
        <v>81501</v>
      </c>
      <c r="I146" s="4"/>
      <c r="J146" s="4" t="s">
        <v>485</v>
      </c>
      <c r="K146" s="7" t="s">
        <v>529</v>
      </c>
      <c r="L146" s="1" t="s">
        <v>530</v>
      </c>
      <c r="M146" s="9" t="s">
        <v>335</v>
      </c>
      <c r="N146" s="4" t="str">
        <f>VLOOKUP(H146,Clientes!B:D,3,)</f>
        <v>PORTO SEGURO INVESTIMENTOS LTDA</v>
      </c>
      <c r="P146" t="e">
        <f>_xlfn.XLOOKUP(K146,#REF!,#REF!,0,0,1)</f>
        <v>#REF!</v>
      </c>
    </row>
    <row r="147" spans="1:16" x14ac:dyDescent="0.25">
      <c r="A147" s="4" t="str">
        <f t="shared" si="3"/>
        <v>DESPESA DE REPRESENTAÇÃO - ALMOÇO-TRADER-DANIEL BARRETO (151000-3688AL)</v>
      </c>
      <c r="B147" s="11">
        <v>46023</v>
      </c>
      <c r="C147" s="4">
        <v>817991</v>
      </c>
      <c r="D147" s="1" t="s">
        <v>39</v>
      </c>
      <c r="E147" s="14">
        <v>-1954.9</v>
      </c>
      <c r="F147" s="5" t="s">
        <v>447</v>
      </c>
      <c r="G147" s="2">
        <v>46044</v>
      </c>
      <c r="H147" s="9">
        <v>14416</v>
      </c>
      <c r="I147" s="4"/>
      <c r="J147" s="4" t="s">
        <v>447</v>
      </c>
      <c r="K147" s="7" t="s">
        <v>531</v>
      </c>
      <c r="L147" s="1" t="s">
        <v>532</v>
      </c>
      <c r="M147" s="9" t="s">
        <v>335</v>
      </c>
      <c r="N147" s="4" t="str">
        <f>VLOOKUP(H147,Clientes!B:D,3,)</f>
        <v>BANCO JP MORGAN S/A</v>
      </c>
      <c r="P147" t="e">
        <f>_xlfn.XLOOKUP(K147,#REF!,#REF!,0,0,1)</f>
        <v>#REF!</v>
      </c>
    </row>
    <row r="148" spans="1:16" x14ac:dyDescent="0.25">
      <c r="A148" s="4" t="str">
        <f t="shared" si="3"/>
        <v>DESPESA DE REPRESENTAÇÃO - EVENTO ROLEX 6 HOURS SÃO PAULO-TRADER-BRUNO BUDANT PEROTTONI (152316-3688JV)</v>
      </c>
      <c r="B148" s="11">
        <v>46023</v>
      </c>
      <c r="C148" s="4">
        <v>817991</v>
      </c>
      <c r="D148" s="1" t="s">
        <v>459</v>
      </c>
      <c r="E148" s="14">
        <v>-9910.44</v>
      </c>
      <c r="F148" s="5" t="s">
        <v>387</v>
      </c>
      <c r="G148" s="2">
        <v>46044</v>
      </c>
      <c r="H148" s="9">
        <v>81794</v>
      </c>
      <c r="I148" s="4"/>
      <c r="J148" s="4" t="s">
        <v>534</v>
      </c>
      <c r="K148" s="7" t="s">
        <v>533</v>
      </c>
      <c r="L148" s="1" t="s">
        <v>535</v>
      </c>
      <c r="M148" s="9" t="s">
        <v>335</v>
      </c>
      <c r="N148" s="4" t="str">
        <f>VLOOKUP(H148,Clientes!B:D,3,)</f>
        <v>BRAZA BANK S/A BANCO DE CAMBIO</v>
      </c>
      <c r="P148" t="e">
        <f>_xlfn.XLOOKUP(K148,#REF!,#REF!,0,0,1)</f>
        <v>#REF!</v>
      </c>
    </row>
    <row r="149" spans="1:16" x14ac:dyDescent="0.25">
      <c r="A149" s="4" t="str">
        <f t="shared" si="3"/>
        <v>DESPESA DE REPRESENTAÇÃO - CONFRATERNIZAÇÃO MESA SPOT-BROKER-JOSÉ VERGARA (112852-3688JV)</v>
      </c>
      <c r="B149" s="11">
        <v>46023</v>
      </c>
      <c r="C149" s="4">
        <v>817991</v>
      </c>
      <c r="D149" s="1" t="s">
        <v>459</v>
      </c>
      <c r="E149" s="14">
        <v>-2289.38</v>
      </c>
      <c r="F149" s="5" t="s">
        <v>447</v>
      </c>
      <c r="G149" s="2">
        <v>46044</v>
      </c>
      <c r="H149" s="9">
        <v>1170</v>
      </c>
      <c r="I149" s="4"/>
      <c r="J149" s="4" t="s">
        <v>536</v>
      </c>
      <c r="K149" s="7" t="s">
        <v>537</v>
      </c>
      <c r="L149" s="1" t="s">
        <v>459</v>
      </c>
      <c r="M149" s="9" t="s">
        <v>2</v>
      </c>
      <c r="N149" s="4" t="str">
        <f>VLOOKUP(H149,Clientes!B:D,3,)</f>
        <v>BGC LIQUIDEZ DTVM LTDA</v>
      </c>
      <c r="P149" t="e">
        <f>_xlfn.XLOOKUP(K149,#REF!,#REF!,0,0,1)</f>
        <v>#REF!</v>
      </c>
    </row>
    <row r="150" spans="1:16" x14ac:dyDescent="0.25">
      <c r="A150" s="4" t="str">
        <f t="shared" si="3"/>
        <v>DESPESA DE REPRESENTAÇÃO - PASSAGEM BRASILIA X RIO DE JANEIRO-CONSULTOR-RENAN REIS CRUVINEL (AGENDA 39834)</v>
      </c>
      <c r="B150" s="11">
        <v>46023</v>
      </c>
      <c r="C150" s="4">
        <v>817991</v>
      </c>
      <c r="D150" s="1" t="s">
        <v>538</v>
      </c>
      <c r="E150" s="14">
        <v>-1191.28</v>
      </c>
      <c r="F150" s="5" t="s">
        <v>388</v>
      </c>
      <c r="G150" s="2">
        <v>46044</v>
      </c>
      <c r="H150" s="9">
        <v>1170</v>
      </c>
      <c r="I150" s="4"/>
      <c r="J150" s="4" t="s">
        <v>540</v>
      </c>
      <c r="K150" s="7" t="s">
        <v>543</v>
      </c>
      <c r="L150" s="1" t="s">
        <v>538</v>
      </c>
      <c r="M150" s="9" t="s">
        <v>655</v>
      </c>
      <c r="N150" s="4" t="str">
        <f>VLOOKUP(H150,Clientes!B:D,3,)</f>
        <v>BGC LIQUIDEZ DTVM LTDA</v>
      </c>
      <c r="P150" t="e">
        <f>_xlfn.XLOOKUP(K150,#REF!,#REF!,0,0,1)</f>
        <v>#REF!</v>
      </c>
    </row>
    <row r="151" spans="1:16" x14ac:dyDescent="0.25">
      <c r="A151" s="4" t="str">
        <f t="shared" si="3"/>
        <v>DESPESA DE REPRESENTAÇÃO - PASSAGEM RIO DE JANEIRO X BRASILIA-CONSULTOR-RENAN REIS CRUVINEL (AGENDA 39834)</v>
      </c>
      <c r="B151" s="11">
        <v>46023</v>
      </c>
      <c r="C151" s="4">
        <v>817991</v>
      </c>
      <c r="D151" s="1" t="s">
        <v>538</v>
      </c>
      <c r="E151" s="14">
        <v>-1809.57</v>
      </c>
      <c r="F151" s="5" t="s">
        <v>388</v>
      </c>
      <c r="G151" s="2">
        <v>46044</v>
      </c>
      <c r="H151" s="9">
        <v>1170</v>
      </c>
      <c r="I151" s="4"/>
      <c r="J151" s="4" t="s">
        <v>541</v>
      </c>
      <c r="K151" s="7" t="s">
        <v>543</v>
      </c>
      <c r="L151" s="1" t="s">
        <v>538</v>
      </c>
      <c r="M151" s="9" t="s">
        <v>655</v>
      </c>
      <c r="N151" s="4" t="str">
        <f>VLOOKUP(H151,Clientes!B:D,3,)</f>
        <v>BGC LIQUIDEZ DTVM LTDA</v>
      </c>
      <c r="P151" t="e">
        <f>_xlfn.XLOOKUP(K151,#REF!,#REF!,0,0,1)</f>
        <v>#REF!</v>
      </c>
    </row>
    <row r="152" spans="1:16" x14ac:dyDescent="0.25">
      <c r="A152" s="4" t="str">
        <f t="shared" si="3"/>
        <v>DESPESA DE REPRESENTAÇÃO - PASSAGEM BRASILIA X SÃO PAULO-CONSULTORA-CLAUDIA TAVARES FERNANDES (AGENDA 39834)</v>
      </c>
      <c r="B152" s="11">
        <v>46023</v>
      </c>
      <c r="C152" s="4">
        <v>817991</v>
      </c>
      <c r="D152" s="1" t="s">
        <v>539</v>
      </c>
      <c r="E152" s="14">
        <v>-1270.8399999999999</v>
      </c>
      <c r="F152" s="5" t="s">
        <v>388</v>
      </c>
      <c r="G152" s="2">
        <v>46044</v>
      </c>
      <c r="H152" s="9">
        <v>1170</v>
      </c>
      <c r="I152" s="4"/>
      <c r="J152" s="4" t="s">
        <v>542</v>
      </c>
      <c r="K152" s="7" t="s">
        <v>543</v>
      </c>
      <c r="L152" s="1" t="s">
        <v>539</v>
      </c>
      <c r="M152" s="9" t="s">
        <v>654</v>
      </c>
      <c r="N152" s="4" t="str">
        <f>VLOOKUP(H152,Clientes!B:D,3,)</f>
        <v>BGC LIQUIDEZ DTVM LTDA</v>
      </c>
      <c r="P152" t="e">
        <f>_xlfn.XLOOKUP(K152,#REF!,#REF!,0,0,1)</f>
        <v>#REF!</v>
      </c>
    </row>
    <row r="153" spans="1:16" x14ac:dyDescent="0.25">
      <c r="A153" s="4" t="str">
        <f t="shared" si="3"/>
        <v>DESPESA DE REPRESENTAÇÃO - ALUGUEL FLAT -BROKER-PAULO GUILHERME MENEZES FELIX (AGENDA 40025)</v>
      </c>
      <c r="B153" s="11">
        <v>46023</v>
      </c>
      <c r="C153" s="4">
        <v>817991</v>
      </c>
      <c r="D153" s="1" t="s">
        <v>424</v>
      </c>
      <c r="E153" s="14">
        <v>-5800</v>
      </c>
      <c r="F153" s="5" t="s">
        <v>422</v>
      </c>
      <c r="G153" s="2">
        <v>46045</v>
      </c>
      <c r="H153" s="9">
        <v>1170</v>
      </c>
      <c r="I153" s="4"/>
      <c r="J153" s="4" t="s">
        <v>425</v>
      </c>
      <c r="K153" s="7" t="s">
        <v>544</v>
      </c>
      <c r="L153" s="1" t="s">
        <v>424</v>
      </c>
      <c r="M153" s="9" t="s">
        <v>2</v>
      </c>
      <c r="N153" s="4" t="str">
        <f>VLOOKUP(H153,Clientes!B:D,3,)</f>
        <v>BGC LIQUIDEZ DTVM LTDA</v>
      </c>
      <c r="P153" t="e">
        <f>_xlfn.XLOOKUP(K153,#REF!,#REF!,0,0,1)</f>
        <v>#REF!</v>
      </c>
    </row>
    <row r="154" spans="1:16" x14ac:dyDescent="0.25">
      <c r="A154" s="4" t="str">
        <f t="shared" si="3"/>
        <v>DESPESA DE REPRESENTAÇÃO - HOSPEDAGEM RADISSON BLU SAO PAULO-BROKER-ALINE FAUSTINI (AGENDA 39962)</v>
      </c>
      <c r="B154" s="11">
        <v>46113</v>
      </c>
      <c r="C154" s="4">
        <v>817991</v>
      </c>
      <c r="D154" s="1" t="s">
        <v>393</v>
      </c>
      <c r="E154" s="14">
        <v>-7014</v>
      </c>
      <c r="F154" s="5" t="s">
        <v>422</v>
      </c>
      <c r="G154" s="2">
        <v>46050</v>
      </c>
      <c r="H154" s="9">
        <v>1170</v>
      </c>
      <c r="I154" s="4"/>
      <c r="J154" s="4" t="s">
        <v>426</v>
      </c>
      <c r="K154" s="7" t="s">
        <v>545</v>
      </c>
      <c r="L154" s="1" t="s">
        <v>393</v>
      </c>
      <c r="M154" s="9" t="s">
        <v>2</v>
      </c>
      <c r="N154" s="4" t="str">
        <f>VLOOKUP(H154,Clientes!B:D,3,)</f>
        <v>BGC LIQUIDEZ DTVM LTDA</v>
      </c>
      <c r="P154" t="e">
        <f>_xlfn.XLOOKUP(K154,#REF!,#REF!,0,0,1)</f>
        <v>#REF!</v>
      </c>
    </row>
    <row r="155" spans="1:16" x14ac:dyDescent="0.25">
      <c r="A155" s="4" t="str">
        <f t="shared" si="3"/>
        <v>DESPESA DE REPRESENTAÇÃO - PASSAGEM SÃO PAULO X MIAMI-BROKER-FELIPE MEIRELES RACCAH (AGENDA 39961)</v>
      </c>
      <c r="B155" s="11">
        <v>46023</v>
      </c>
      <c r="C155" s="4">
        <v>817991</v>
      </c>
      <c r="D155" s="1" t="s">
        <v>632</v>
      </c>
      <c r="E155" s="14">
        <v>-3909.8</v>
      </c>
      <c r="F155" s="5" t="s">
        <v>388</v>
      </c>
      <c r="G155" s="2">
        <v>46050</v>
      </c>
      <c r="H155" s="9">
        <v>1170</v>
      </c>
      <c r="I155" s="4"/>
      <c r="J155" s="4" t="s">
        <v>546</v>
      </c>
      <c r="K155" s="7" t="s">
        <v>547</v>
      </c>
      <c r="L155" s="1" t="s">
        <v>519</v>
      </c>
      <c r="M155" s="9" t="s">
        <v>2</v>
      </c>
      <c r="N155" s="4" t="str">
        <f>VLOOKUP(H155,Clientes!B:D,3,)</f>
        <v>BGC LIQUIDEZ DTVM LTDA</v>
      </c>
      <c r="P155" t="e">
        <f>_xlfn.XLOOKUP(K155,#REF!,#REF!,0,0,1)</f>
        <v>#REF!</v>
      </c>
    </row>
    <row r="156" spans="1:16" x14ac:dyDescent="0.25">
      <c r="A156" s="4" t="str">
        <f t="shared" si="3"/>
        <v>DESPESA DE REPRESENTAÇÃO - CORECON-SP-ECONOMISTA-RAFAEL COSTA (AGENDA 40037)</v>
      </c>
      <c r="B156" s="11">
        <v>46023</v>
      </c>
      <c r="C156" s="4">
        <v>817991</v>
      </c>
      <c r="D156" s="1" t="s">
        <v>651</v>
      </c>
      <c r="E156" s="14">
        <v>-604</v>
      </c>
      <c r="F156" s="5" t="s">
        <v>389</v>
      </c>
      <c r="G156" s="2">
        <v>46051</v>
      </c>
      <c r="H156" s="9">
        <v>1170</v>
      </c>
      <c r="I156" s="4"/>
      <c r="J156" s="4" t="s">
        <v>549</v>
      </c>
      <c r="K156" s="7" t="s">
        <v>550</v>
      </c>
      <c r="L156" s="1" t="s">
        <v>548</v>
      </c>
      <c r="M156" s="9" t="s">
        <v>551</v>
      </c>
      <c r="N156" s="4" t="str">
        <f>VLOOKUP(H156,Clientes!B:D,3,)</f>
        <v>BGC LIQUIDEZ DTVM LTDA</v>
      </c>
      <c r="P156" t="e">
        <f>_xlfn.XLOOKUP(K156,#REF!,#REF!,0,0,1)</f>
        <v>#REF!</v>
      </c>
    </row>
    <row r="157" spans="1:16" x14ac:dyDescent="0.25">
      <c r="A157" s="4" t="str">
        <f t="shared" si="3"/>
        <v>DESPESA DE REPRESENTAÇÃO - TAXI-BROKER-FREDERICO PADILHA (164712-3688FP)</v>
      </c>
      <c r="B157" s="11">
        <v>46023</v>
      </c>
      <c r="C157" s="4">
        <v>817991</v>
      </c>
      <c r="D157" s="1" t="s">
        <v>60</v>
      </c>
      <c r="E157" s="14">
        <v>-24</v>
      </c>
      <c r="F157" s="5" t="s">
        <v>388</v>
      </c>
      <c r="G157" s="2">
        <v>46051</v>
      </c>
      <c r="H157" s="9">
        <v>1170</v>
      </c>
      <c r="I157" s="4"/>
      <c r="J157" s="4" t="s">
        <v>525</v>
      </c>
      <c r="K157" s="7" t="s">
        <v>552</v>
      </c>
      <c r="L157" s="1" t="s">
        <v>497</v>
      </c>
      <c r="M157" s="9" t="s">
        <v>2</v>
      </c>
      <c r="N157" s="4" t="str">
        <f>VLOOKUP(H157,Clientes!B:D,3,)</f>
        <v>BGC LIQUIDEZ DTVM LTDA</v>
      </c>
      <c r="P157" t="e">
        <f>_xlfn.XLOOKUP(K157,#REF!,#REF!,0,0,1)</f>
        <v>#REF!</v>
      </c>
    </row>
    <row r="158" spans="1:16" x14ac:dyDescent="0.25">
      <c r="A158" s="4" t="str">
        <f t="shared" si="3"/>
        <v>DESPESA DE REPRESENTAÇÃO - HAPPY HOUR-TRADER-LEONARDO MASSAHIKO NAKAJIMA (134201-3688RU)</v>
      </c>
      <c r="B158" s="11">
        <v>46023</v>
      </c>
      <c r="C158" s="4">
        <v>817991</v>
      </c>
      <c r="D158" s="1" t="s">
        <v>652</v>
      </c>
      <c r="E158" s="14">
        <v>-2096.37</v>
      </c>
      <c r="F158" s="18" t="s">
        <v>387</v>
      </c>
      <c r="G158" s="2">
        <v>46051</v>
      </c>
      <c r="H158" s="9">
        <v>81501</v>
      </c>
      <c r="I158" s="4"/>
      <c r="J158" s="4" t="s">
        <v>485</v>
      </c>
      <c r="K158" s="7" t="s">
        <v>657</v>
      </c>
      <c r="L158" s="1" t="s">
        <v>553</v>
      </c>
      <c r="M158" s="9" t="s">
        <v>335</v>
      </c>
      <c r="N158" s="4" t="str">
        <f>VLOOKUP(H158,Clientes!B:D,3,)</f>
        <v>PORTO SEGURO INVESTIMENTOS LTDA</v>
      </c>
      <c r="P158" t="e">
        <f>_xlfn.XLOOKUP(K158,#REF!,#REF!,0,0,1)</f>
        <v>#REF!</v>
      </c>
    </row>
    <row r="159" spans="1:16" x14ac:dyDescent="0.25">
      <c r="A159" s="4" t="str">
        <f t="shared" si="3"/>
        <v>DESPESA DE REPRESENTAÇÃO - ALMOÇO COM CAIXA SEGURADORA-TRADER-RAFAEL OLIVEIRA (172247-3688JL)</v>
      </c>
      <c r="B159" s="11">
        <v>46023</v>
      </c>
      <c r="C159" s="4">
        <v>817991</v>
      </c>
      <c r="D159" s="1" t="s">
        <v>614</v>
      </c>
      <c r="E159" s="14">
        <v>-429.4</v>
      </c>
      <c r="F159" s="5" t="s">
        <v>447</v>
      </c>
      <c r="G159" s="2">
        <v>46051</v>
      </c>
      <c r="H159" s="9">
        <v>1170</v>
      </c>
      <c r="I159" s="4"/>
      <c r="J159" s="4" t="s">
        <v>554</v>
      </c>
      <c r="K159" s="7" t="s">
        <v>555</v>
      </c>
      <c r="L159" s="1" t="s">
        <v>556</v>
      </c>
      <c r="M159" s="9" t="s">
        <v>335</v>
      </c>
      <c r="N159" s="4" t="str">
        <f>VLOOKUP(H159,Clientes!B:D,3,)</f>
        <v>BGC LIQUIDEZ DTVM LTDA</v>
      </c>
      <c r="P159" t="e">
        <f>_xlfn.XLOOKUP(K159,#REF!,#REF!,0,0,1)</f>
        <v>#REF!</v>
      </c>
    </row>
    <row r="160" spans="1:16" x14ac:dyDescent="0.25">
      <c r="A160" s="4" t="str">
        <f t="shared" si="3"/>
        <v>DESPESA DE REPRESENTAÇÃO - ALMOÇO-ECONOMISTA-DANIEL LEAL (130806-3688RR)</v>
      </c>
      <c r="B160" s="11">
        <v>46023</v>
      </c>
      <c r="C160" s="4">
        <v>817991</v>
      </c>
      <c r="D160" s="1" t="s">
        <v>558</v>
      </c>
      <c r="E160" s="14">
        <v>-544.32000000000005</v>
      </c>
      <c r="F160" s="5" t="s">
        <v>447</v>
      </c>
      <c r="G160" s="2">
        <v>46051</v>
      </c>
      <c r="H160" s="9">
        <v>1170</v>
      </c>
      <c r="I160" s="4"/>
      <c r="J160" s="4" t="s">
        <v>447</v>
      </c>
      <c r="K160" s="7" t="s">
        <v>560</v>
      </c>
      <c r="L160" s="1" t="s">
        <v>557</v>
      </c>
      <c r="M160" s="9" t="s">
        <v>551</v>
      </c>
      <c r="N160" s="4" t="str">
        <f>VLOOKUP(H160,Clientes!B:D,3,)</f>
        <v>BGC LIQUIDEZ DTVM LTDA</v>
      </c>
      <c r="P160" t="e">
        <f>_xlfn.XLOOKUP(K160,#REF!,#REF!,0,0,1)</f>
        <v>#REF!</v>
      </c>
    </row>
    <row r="161" spans="1:16" x14ac:dyDescent="0.25">
      <c r="A161" s="4" t="str">
        <f t="shared" si="3"/>
        <v>DESPESA DE REPRESENTAÇÃO - ALMOÇO-TRADER-CARLOS R DE MENEZES JUNIOR (130620-3688RR)</v>
      </c>
      <c r="B161" s="11">
        <v>46023</v>
      </c>
      <c r="C161" s="4">
        <v>817991</v>
      </c>
      <c r="D161" s="1" t="s">
        <v>604</v>
      </c>
      <c r="E161" s="14">
        <v>-410.02</v>
      </c>
      <c r="F161" s="5" t="s">
        <v>447</v>
      </c>
      <c r="G161" s="2">
        <v>46051</v>
      </c>
      <c r="H161" s="9">
        <v>79258</v>
      </c>
      <c r="I161" s="4"/>
      <c r="J161" s="4" t="s">
        <v>447</v>
      </c>
      <c r="K161" s="7" t="s">
        <v>559</v>
      </c>
      <c r="L161" s="1" t="s">
        <v>362</v>
      </c>
      <c r="M161" s="9" t="s">
        <v>335</v>
      </c>
      <c r="N161" s="4" t="str">
        <f>VLOOKUP(H161,Clientes!B:D,3,)</f>
        <v>ITAU UNIBANCO S/A</v>
      </c>
      <c r="P161" t="e">
        <f>_xlfn.XLOOKUP(K161,#REF!,#REF!,0,0,1)</f>
        <v>#REF!</v>
      </c>
    </row>
    <row r="162" spans="1:16" x14ac:dyDescent="0.25">
      <c r="A162" s="4" t="str">
        <f t="shared" si="3"/>
        <v>DESPESA DE REPRESENTAÇÃO - TAXI-BROKER-FREDERICO PADILHA (164432-3688FP)</v>
      </c>
      <c r="B162" s="11">
        <v>46023</v>
      </c>
      <c r="C162" s="4">
        <v>817991</v>
      </c>
      <c r="D162" s="1" t="s">
        <v>60</v>
      </c>
      <c r="E162" s="14">
        <v>-52</v>
      </c>
      <c r="F162" s="5" t="s">
        <v>388</v>
      </c>
      <c r="G162" s="2">
        <v>46051</v>
      </c>
      <c r="H162" s="9">
        <v>1170</v>
      </c>
      <c r="I162" s="4"/>
      <c r="J162" s="4" t="s">
        <v>525</v>
      </c>
      <c r="K162" s="7" t="s">
        <v>561</v>
      </c>
      <c r="L162" s="1" t="s">
        <v>497</v>
      </c>
      <c r="M162" s="9" t="s">
        <v>2</v>
      </c>
      <c r="N162" s="4" t="str">
        <f>VLOOKUP(H162,Clientes!B:D,3,)</f>
        <v>BGC LIQUIDEZ DTVM LTDA</v>
      </c>
      <c r="P162" t="e">
        <f>_xlfn.XLOOKUP(K162,#REF!,#REF!,0,0,1)</f>
        <v>#REF!</v>
      </c>
    </row>
    <row r="163" spans="1:16" x14ac:dyDescent="0.25">
      <c r="A163" s="4" t="str">
        <f t="shared" si="3"/>
        <v>DESPESA DE REPRESENTAÇÃO - TAXI-BROKER-FREDERICO PADILHA (164601-3688FP)</v>
      </c>
      <c r="B163" s="11">
        <v>46023</v>
      </c>
      <c r="C163" s="4">
        <v>817991</v>
      </c>
      <c r="D163" s="1" t="s">
        <v>60</v>
      </c>
      <c r="E163" s="14">
        <v>-40</v>
      </c>
      <c r="F163" s="5" t="s">
        <v>388</v>
      </c>
      <c r="G163" s="2">
        <v>46051</v>
      </c>
      <c r="H163" s="9">
        <v>1170</v>
      </c>
      <c r="I163" s="4"/>
      <c r="J163" s="4" t="s">
        <v>525</v>
      </c>
      <c r="K163" s="7" t="s">
        <v>562</v>
      </c>
      <c r="L163" s="1" t="s">
        <v>497</v>
      </c>
      <c r="M163" s="9" t="s">
        <v>2</v>
      </c>
      <c r="N163" s="4" t="str">
        <f>VLOOKUP(H163,Clientes!B:D,3,)</f>
        <v>BGC LIQUIDEZ DTVM LTDA</v>
      </c>
      <c r="P163" t="e">
        <f>_xlfn.XLOOKUP(K163,#REF!,#REF!,0,0,1)</f>
        <v>#REF!</v>
      </c>
    </row>
    <row r="164" spans="1:16" x14ac:dyDescent="0.25">
      <c r="A164" s="4" t="str">
        <f t="shared" si="3"/>
        <v>DESPESA DE REPRESENTAÇÃO - TAXI-BROKER-FREDERICO PADILHA (160458-3688FP)</v>
      </c>
      <c r="B164" s="11">
        <v>46023</v>
      </c>
      <c r="C164" s="4">
        <v>817991</v>
      </c>
      <c r="D164" s="1" t="s">
        <v>60</v>
      </c>
      <c r="E164" s="14">
        <v>-55</v>
      </c>
      <c r="F164" s="5" t="s">
        <v>388</v>
      </c>
      <c r="G164" s="2">
        <v>46051</v>
      </c>
      <c r="H164" s="9">
        <v>1170</v>
      </c>
      <c r="I164" s="4"/>
      <c r="J164" s="4" t="s">
        <v>525</v>
      </c>
      <c r="K164" s="7" t="s">
        <v>563</v>
      </c>
      <c r="L164" s="1" t="s">
        <v>497</v>
      </c>
      <c r="M164" s="9" t="s">
        <v>2</v>
      </c>
      <c r="N164" s="4" t="str">
        <f>VLOOKUP(H164,Clientes!B:D,3,)</f>
        <v>BGC LIQUIDEZ DTVM LTDA</v>
      </c>
      <c r="P164" t="e">
        <f>_xlfn.XLOOKUP(K164,#REF!,#REF!,0,0,1)</f>
        <v>#REF!</v>
      </c>
    </row>
    <row r="165" spans="1:16" x14ac:dyDescent="0.25">
      <c r="A165" s="4" t="str">
        <f t="shared" si="3"/>
        <v>DESPESA DE REPRESENTAÇÃO - TAXI-BROKER-FREDERICO PADILHA (160824-3688FP)</v>
      </c>
      <c r="B165" s="11">
        <v>46023</v>
      </c>
      <c r="C165" s="4">
        <v>817991</v>
      </c>
      <c r="D165" s="1" t="s">
        <v>60</v>
      </c>
      <c r="E165" s="14">
        <v>-60</v>
      </c>
      <c r="F165" s="5" t="s">
        <v>388</v>
      </c>
      <c r="G165" s="2">
        <v>46051</v>
      </c>
      <c r="H165" s="9">
        <v>1170</v>
      </c>
      <c r="I165" s="4"/>
      <c r="J165" s="4" t="s">
        <v>525</v>
      </c>
      <c r="K165" s="7" t="s">
        <v>564</v>
      </c>
      <c r="L165" s="1" t="s">
        <v>497</v>
      </c>
      <c r="M165" s="9" t="s">
        <v>2</v>
      </c>
      <c r="N165" s="4" t="str">
        <f>VLOOKUP(H165,Clientes!B:D,3,)</f>
        <v>BGC LIQUIDEZ DTVM LTDA</v>
      </c>
      <c r="P165" t="e">
        <f>_xlfn.XLOOKUP(K165,#REF!,#REF!,0,0,1)</f>
        <v>#REF!</v>
      </c>
    </row>
    <row r="166" spans="1:16" x14ac:dyDescent="0.25">
      <c r="A166" s="4" t="str">
        <f t="shared" si="3"/>
        <v>DESPESA DE REPRESENTAÇÃO - JANTAR-TRADER-ROGERIO PEREIRA (161216-3688FP)</v>
      </c>
      <c r="B166" s="11">
        <v>46023</v>
      </c>
      <c r="C166" s="4">
        <v>817991</v>
      </c>
      <c r="D166" s="1" t="s">
        <v>60</v>
      </c>
      <c r="E166" s="14">
        <v>-574.04</v>
      </c>
      <c r="F166" s="5" t="s">
        <v>380</v>
      </c>
      <c r="G166" s="2">
        <v>46051</v>
      </c>
      <c r="H166" s="9">
        <v>80041</v>
      </c>
      <c r="I166" s="4"/>
      <c r="J166" s="4" t="s">
        <v>380</v>
      </c>
      <c r="K166" s="7" t="s">
        <v>565</v>
      </c>
      <c r="L166" s="1" t="s">
        <v>566</v>
      </c>
      <c r="M166" s="9" t="s">
        <v>335</v>
      </c>
      <c r="N166" s="4" t="str">
        <f>VLOOKUP(H166,Clientes!B:D,3,)</f>
        <v>HAITONG BANCO DE INVESTIMENTO DO BRASIL S/A</v>
      </c>
      <c r="P166" t="e">
        <f>_xlfn.XLOOKUP(K166,#REF!,#REF!,0,0,1)</f>
        <v>#REF!</v>
      </c>
    </row>
    <row r="167" spans="1:16" x14ac:dyDescent="0.25">
      <c r="A167" s="4" t="str">
        <f t="shared" si="3"/>
        <v>DESPESA DE REPRESENTAÇÃO - JANTAR-TRADER-ANDREW WOODS (093343-3688FP)</v>
      </c>
      <c r="B167" s="11">
        <v>46023</v>
      </c>
      <c r="C167" s="4">
        <v>817991</v>
      </c>
      <c r="D167" s="1" t="s">
        <v>60</v>
      </c>
      <c r="E167" s="14">
        <v>-593.25</v>
      </c>
      <c r="F167" s="5" t="s">
        <v>380</v>
      </c>
      <c r="G167" s="2">
        <v>46051</v>
      </c>
      <c r="H167" s="9">
        <v>82053</v>
      </c>
      <c r="I167" s="4"/>
      <c r="J167" s="4" t="s">
        <v>380</v>
      </c>
      <c r="K167" s="7" t="s">
        <v>567</v>
      </c>
      <c r="L167" s="1" t="s">
        <v>568</v>
      </c>
      <c r="M167" s="9" t="s">
        <v>335</v>
      </c>
      <c r="N167" s="4" t="str">
        <f>VLOOKUP(H167,Clientes!B:D,3,)</f>
        <v>ITAU UNIBANCO ASSET - LEGEND</v>
      </c>
      <c r="P167" t="e">
        <f>_xlfn.XLOOKUP(K167,#REF!,#REF!,0,0,1)</f>
        <v>#REF!</v>
      </c>
    </row>
    <row r="168" spans="1:16" x14ac:dyDescent="0.25">
      <c r="A168" s="4" t="str">
        <f t="shared" si="3"/>
        <v>DESPESA DE REPRESENTAÇÃO - ALMOÇO-TRADER-VICTOR DE ABREU PINHEIRO MIRAN (161000-3688FP)</v>
      </c>
      <c r="B168" s="11">
        <v>46023</v>
      </c>
      <c r="C168" s="4">
        <v>817991</v>
      </c>
      <c r="D168" s="1" t="s">
        <v>60</v>
      </c>
      <c r="E168" s="14">
        <v>-751.45</v>
      </c>
      <c r="F168" s="5" t="s">
        <v>447</v>
      </c>
      <c r="G168" s="2">
        <v>46051</v>
      </c>
      <c r="H168" s="9">
        <v>80883</v>
      </c>
      <c r="I168" s="4"/>
      <c r="J168" s="4" t="s">
        <v>447</v>
      </c>
      <c r="K168" s="7" t="s">
        <v>569</v>
      </c>
      <c r="L168" s="1" t="s">
        <v>527</v>
      </c>
      <c r="M168" s="9" t="s">
        <v>335</v>
      </c>
      <c r="N168" s="4" t="str">
        <f>VLOOKUP(H168,Clientes!B:D,3,)</f>
        <v>GENOA CAPITAL GESTORA DE RECURSOS LTDA</v>
      </c>
      <c r="P168" t="e">
        <f>_xlfn.XLOOKUP(K168,#REF!,#REF!,0,0,1)</f>
        <v>#REF!</v>
      </c>
    </row>
    <row r="169" spans="1:16" x14ac:dyDescent="0.25">
      <c r="A169" s="4" t="str">
        <f t="shared" si="3"/>
        <v>DESPESA DE REPRESENTAÇÃO - ALMOÇO-TRADER-ANDRE RADUAN (161622-3688FP)</v>
      </c>
      <c r="B169" s="11">
        <v>46023</v>
      </c>
      <c r="C169" s="4">
        <v>817991</v>
      </c>
      <c r="D169" s="1" t="s">
        <v>60</v>
      </c>
      <c r="E169" s="14">
        <v>-780.83</v>
      </c>
      <c r="F169" s="5" t="s">
        <v>447</v>
      </c>
      <c r="G169" s="2">
        <v>46051</v>
      </c>
      <c r="H169" s="9">
        <v>80883</v>
      </c>
      <c r="I169" s="4"/>
      <c r="J169" s="4" t="s">
        <v>447</v>
      </c>
      <c r="K169" s="7" t="s">
        <v>570</v>
      </c>
      <c r="L169" s="1" t="s">
        <v>571</v>
      </c>
      <c r="M169" s="9" t="s">
        <v>335</v>
      </c>
      <c r="N169" s="4" t="str">
        <f>VLOOKUP(H169,Clientes!B:D,3,)</f>
        <v>GENOA CAPITAL GESTORA DE RECURSOS LTDA</v>
      </c>
      <c r="P169" t="e">
        <f>_xlfn.XLOOKUP(K169,#REF!,#REF!,0,0,1)</f>
        <v>#REF!</v>
      </c>
    </row>
    <row r="170" spans="1:16" x14ac:dyDescent="0.25">
      <c r="A170" s="4" t="str">
        <f t="shared" si="3"/>
        <v>DESPESA DE REPRESENTAÇÃO - JANTAR-TRADER-RICARDO MAZIERO (160804-3688CB)</v>
      </c>
      <c r="B170" s="11">
        <v>46023</v>
      </c>
      <c r="C170" s="4">
        <v>817991</v>
      </c>
      <c r="D170" s="1" t="s">
        <v>574</v>
      </c>
      <c r="E170" s="14">
        <v>-2497.3000000000002</v>
      </c>
      <c r="F170" s="5" t="s">
        <v>380</v>
      </c>
      <c r="G170" s="2">
        <v>46051</v>
      </c>
      <c r="H170" s="9">
        <v>81259</v>
      </c>
      <c r="I170" s="4"/>
      <c r="J170" s="4" t="s">
        <v>380</v>
      </c>
      <c r="K170" s="7" t="s">
        <v>572</v>
      </c>
      <c r="L170" s="1" t="s">
        <v>573</v>
      </c>
      <c r="M170" s="9" t="s">
        <v>335</v>
      </c>
      <c r="N170" s="4" t="str">
        <f>VLOOKUP(H170,Clientes!B:D,3,)</f>
        <v>GOLDMAN SACHS DO BRASIL BANCO MULTIPLO S/A</v>
      </c>
      <c r="P170" t="e">
        <f>_xlfn.XLOOKUP(K170,#REF!,#REF!,0,0,1)</f>
        <v>#REF!</v>
      </c>
    </row>
    <row r="171" spans="1:16" x14ac:dyDescent="0.25">
      <c r="A171" s="4" t="str">
        <f t="shared" si="3"/>
        <v>DESPESA DE REPRESENTAÇÃO - ALMOÇO-TRADER-VAGNER ALVES (134120-3688EA)</v>
      </c>
      <c r="B171" s="11">
        <v>46023</v>
      </c>
      <c r="C171" s="4">
        <v>817991</v>
      </c>
      <c r="D171" s="1" t="s">
        <v>653</v>
      </c>
      <c r="E171" s="14">
        <v>-474.61</v>
      </c>
      <c r="F171" s="5" t="s">
        <v>447</v>
      </c>
      <c r="G171" s="2">
        <v>46051</v>
      </c>
      <c r="H171" s="9">
        <v>82847</v>
      </c>
      <c r="I171" s="4"/>
      <c r="J171" s="4" t="s">
        <v>447</v>
      </c>
      <c r="K171" s="7" t="s">
        <v>575</v>
      </c>
      <c r="L171" s="1" t="s">
        <v>576</v>
      </c>
      <c r="M171" s="9" t="s">
        <v>335</v>
      </c>
      <c r="N171" s="4" t="str">
        <f>VLOOKUP(H171,Clientes!B:D,3,)</f>
        <v>BANCO BRADESCO S/A</v>
      </c>
      <c r="P171" t="e">
        <f>_xlfn.XLOOKUP(K171,#REF!,#REF!,0,0,1)</f>
        <v>#REF!</v>
      </c>
    </row>
    <row r="172" spans="1:16" x14ac:dyDescent="0.25">
      <c r="A172" s="4" t="str">
        <f t="shared" si="3"/>
        <v>DESPESA DE REPRESENTAÇÃO - ALMOÇO-TRADER-ELLEN FLORENCIO (162423-3688CM)</v>
      </c>
      <c r="B172" s="11">
        <v>46023</v>
      </c>
      <c r="C172" s="4">
        <v>817991</v>
      </c>
      <c r="D172" s="1" t="s">
        <v>649</v>
      </c>
      <c r="E172" s="14">
        <v>-837</v>
      </c>
      <c r="F172" s="5" t="s">
        <v>447</v>
      </c>
      <c r="G172" s="2">
        <v>46051</v>
      </c>
      <c r="H172" s="9">
        <v>81765</v>
      </c>
      <c r="I172" s="4"/>
      <c r="J172" s="4" t="s">
        <v>447</v>
      </c>
      <c r="K172" s="7" t="s">
        <v>577</v>
      </c>
      <c r="L172" s="1" t="s">
        <v>578</v>
      </c>
      <c r="M172" s="9" t="s">
        <v>335</v>
      </c>
      <c r="N172" s="4" t="str">
        <f>VLOOKUP(H172,Clientes!B:D,3,)</f>
        <v>UBS AG, LONDON BRANCH NOVO</v>
      </c>
      <c r="P172" t="e">
        <f>_xlfn.XLOOKUP(K172,#REF!,#REF!,0,0,1)</f>
        <v>#REF!</v>
      </c>
    </row>
    <row r="173" spans="1:16" x14ac:dyDescent="0.25">
      <c r="A173" s="4" t="str">
        <f t="shared" si="3"/>
        <v>DESPESA DE REPRESENTAÇÃO - ALMOÇO-TRADER-KESLEY LEANDRO SILVA (154353-3688EA)</v>
      </c>
      <c r="B173" s="11">
        <v>46023</v>
      </c>
      <c r="C173" s="4">
        <v>817991</v>
      </c>
      <c r="D173" s="1" t="s">
        <v>653</v>
      </c>
      <c r="E173" s="14">
        <v>-1358.26</v>
      </c>
      <c r="F173" s="5" t="s">
        <v>447</v>
      </c>
      <c r="G173" s="2">
        <v>46051</v>
      </c>
      <c r="H173" s="9">
        <v>79804</v>
      </c>
      <c r="I173" s="4"/>
      <c r="J173" s="4" t="s">
        <v>447</v>
      </c>
      <c r="K173" s="7" t="s">
        <v>580</v>
      </c>
      <c r="L173" s="1" t="s">
        <v>579</v>
      </c>
      <c r="M173" s="9" t="s">
        <v>335</v>
      </c>
      <c r="N173" s="4" t="str">
        <f>VLOOKUP(H173,Clientes!B:D,3,)</f>
        <v>ITAU UNIBANCO S/A</v>
      </c>
      <c r="P173" t="e">
        <f>_xlfn.XLOOKUP(K173,#REF!,#REF!,0,0,1)</f>
        <v>#REF!</v>
      </c>
    </row>
    <row r="174" spans="1:16" x14ac:dyDescent="0.25">
      <c r="A174" s="4" t="str">
        <f t="shared" si="3"/>
        <v>DESPESA DE REPRESENTAÇÃO - ALMOÇO-TRADER-FERNANDO MONTEIRO (140831-3688PF)</v>
      </c>
      <c r="B174" s="11">
        <v>46023</v>
      </c>
      <c r="C174" s="4">
        <v>817991</v>
      </c>
      <c r="D174" s="1" t="s">
        <v>424</v>
      </c>
      <c r="E174" s="14">
        <v>-253.05</v>
      </c>
      <c r="F174" s="5" t="s">
        <v>447</v>
      </c>
      <c r="G174" s="2">
        <v>46051</v>
      </c>
      <c r="H174" s="9">
        <v>82847</v>
      </c>
      <c r="I174" s="4"/>
      <c r="J174" s="4" t="s">
        <v>447</v>
      </c>
      <c r="K174" s="7" t="s">
        <v>581</v>
      </c>
      <c r="L174" s="1" t="s">
        <v>582</v>
      </c>
      <c r="M174" s="9" t="s">
        <v>335</v>
      </c>
      <c r="N174" s="4" t="str">
        <f>VLOOKUP(H174,Clientes!B:D,3,)</f>
        <v>BANCO BRADESCO S/A</v>
      </c>
      <c r="P174" t="e">
        <f>_xlfn.XLOOKUP(K174,#REF!,#REF!,0,0,1)</f>
        <v>#REF!</v>
      </c>
    </row>
    <row r="175" spans="1:16" x14ac:dyDescent="0.25">
      <c r="A175" s="4" t="str">
        <f t="shared" si="3"/>
        <v>DESPESA DE REPRESENTAÇÃO - ALMOÇO-TRADER-GIOVANNE TELES (142712-3688AM)</v>
      </c>
      <c r="B175" s="11">
        <v>46023</v>
      </c>
      <c r="C175" s="4">
        <v>817991</v>
      </c>
      <c r="D175" s="1" t="s">
        <v>626</v>
      </c>
      <c r="E175" s="14">
        <v>-1380.96</v>
      </c>
      <c r="F175" s="5" t="s">
        <v>447</v>
      </c>
      <c r="G175" s="2">
        <v>46051</v>
      </c>
      <c r="H175" s="9">
        <v>14479</v>
      </c>
      <c r="I175" s="4"/>
      <c r="J175" s="4" t="s">
        <v>447</v>
      </c>
      <c r="K175" s="7" t="s">
        <v>584</v>
      </c>
      <c r="L175" s="1" t="s">
        <v>583</v>
      </c>
      <c r="M175" s="9" t="s">
        <v>335</v>
      </c>
      <c r="N175" s="4" t="str">
        <f>VLOOKUP(H175,Clientes!B:D,3,)</f>
        <v>BANCO SANTANDER (BRASIL) S/A</v>
      </c>
      <c r="P175" t="e">
        <f>_xlfn.XLOOKUP(K175,#REF!,#REF!,0,0,1)</f>
        <v>#REF!</v>
      </c>
    </row>
    <row r="176" spans="1:16" x14ac:dyDescent="0.25">
      <c r="A176" s="4" t="str">
        <f t="shared" si="3"/>
        <v>DESPESA DE REPRESENTAÇÃO - ALMOÇO-TRADER-FABIO GOMES (142933-3688AM)</v>
      </c>
      <c r="B176" s="11">
        <v>46023</v>
      </c>
      <c r="C176" s="4">
        <v>817991</v>
      </c>
      <c r="D176" s="1" t="s">
        <v>626</v>
      </c>
      <c r="E176" s="14">
        <v>-1587.65</v>
      </c>
      <c r="F176" s="5" t="s">
        <v>447</v>
      </c>
      <c r="G176" s="2">
        <v>46051</v>
      </c>
      <c r="H176" s="9">
        <v>80107</v>
      </c>
      <c r="I176" s="4"/>
      <c r="J176" s="4" t="s">
        <v>447</v>
      </c>
      <c r="K176" s="7" t="s">
        <v>585</v>
      </c>
      <c r="L176" s="1" t="s">
        <v>586</v>
      </c>
      <c r="M176" s="9" t="s">
        <v>335</v>
      </c>
      <c r="N176" s="4" t="str">
        <f>VLOOKUP(H176,Clientes!B:D,3,)</f>
        <v>FUNDACAO CESP</v>
      </c>
      <c r="P176" t="e">
        <f>_xlfn.XLOOKUP(K176,#REF!,#REF!,0,0,1)</f>
        <v>#REF!</v>
      </c>
    </row>
    <row r="177" spans="1:16" x14ac:dyDescent="0.25">
      <c r="A177" s="4" t="str">
        <f t="shared" si="3"/>
        <v>DESPESA DE REPRESENTAÇÃO - ALMOÇO-TRADER-HENRIQUE KASTEN PEINADO (142456-3688AM)</v>
      </c>
      <c r="B177" s="11">
        <v>46023</v>
      </c>
      <c r="C177" s="4">
        <v>817991</v>
      </c>
      <c r="D177" s="1" t="s">
        <v>626</v>
      </c>
      <c r="E177" s="14">
        <v>-422.51</v>
      </c>
      <c r="F177" s="5" t="s">
        <v>447</v>
      </c>
      <c r="G177" s="2">
        <v>46051</v>
      </c>
      <c r="H177" s="9">
        <v>80107</v>
      </c>
      <c r="I177" s="4"/>
      <c r="J177" s="4" t="s">
        <v>447</v>
      </c>
      <c r="K177" s="7" t="s">
        <v>588</v>
      </c>
      <c r="L177" s="1" t="s">
        <v>587</v>
      </c>
      <c r="M177" s="9" t="s">
        <v>335</v>
      </c>
      <c r="N177" s="4" t="str">
        <f>VLOOKUP(H177,Clientes!B:D,3,)</f>
        <v>FUNDACAO CESP</v>
      </c>
      <c r="P177" t="e">
        <f>_xlfn.XLOOKUP(K177,#REF!,#REF!,0,0,1)</f>
        <v>#REF!</v>
      </c>
    </row>
    <row r="178" spans="1:16" x14ac:dyDescent="0.25">
      <c r="A178" s="4" t="str">
        <f t="shared" si="3"/>
        <v>DESPESA DE REPRESENTAÇÃO - CHURRASCO PARA RECPECIONAR OS GRINGOS DO LAKESIDE-TRADER-MARCELO AUGUSTO DOS ANJOS (151426-3688DG)</v>
      </c>
      <c r="B178" s="11">
        <v>46023</v>
      </c>
      <c r="C178" s="4">
        <v>817991</v>
      </c>
      <c r="D178" s="1" t="s">
        <v>516</v>
      </c>
      <c r="E178" s="14">
        <v>-3116.05</v>
      </c>
      <c r="F178" s="5" t="s">
        <v>387</v>
      </c>
      <c r="G178" s="2">
        <v>46051</v>
      </c>
      <c r="H178" s="9">
        <v>80242</v>
      </c>
      <c r="I178" s="4"/>
      <c r="J178" s="4" t="s">
        <v>589</v>
      </c>
      <c r="K178" s="7" t="s">
        <v>590</v>
      </c>
      <c r="L178" s="1" t="s">
        <v>352</v>
      </c>
      <c r="M178" s="9" t="s">
        <v>335</v>
      </c>
      <c r="N178" s="4" t="str">
        <f>VLOOKUP(H178,Clientes!B:D,3,)</f>
        <v>CONCORDIA GESTAO DE RECURSOS LTDA</v>
      </c>
      <c r="P178" t="e">
        <f>_xlfn.XLOOKUP(K178,#REF!,#REF!,0,0,1)</f>
        <v>#REF!</v>
      </c>
    </row>
    <row r="179" spans="1:16" x14ac:dyDescent="0.25">
      <c r="A179" s="4" t="str">
        <f t="shared" si="3"/>
        <v>DESPESA DE REPRESENTAÇÃO - JANTAR-TRADER-CESAR SCARAMBONE (115533-3688CM)</v>
      </c>
      <c r="B179" s="11">
        <v>46023</v>
      </c>
      <c r="C179" s="4">
        <v>817991</v>
      </c>
      <c r="D179" s="1" t="s">
        <v>621</v>
      </c>
      <c r="E179" s="14">
        <v>-791.1</v>
      </c>
      <c r="F179" s="5" t="s">
        <v>380</v>
      </c>
      <c r="G179" s="2">
        <v>46051</v>
      </c>
      <c r="H179" s="9">
        <v>81648</v>
      </c>
      <c r="I179" s="4"/>
      <c r="J179" s="4" t="s">
        <v>380</v>
      </c>
      <c r="K179" s="7" t="s">
        <v>591</v>
      </c>
      <c r="L179" s="1" t="s">
        <v>592</v>
      </c>
      <c r="M179" s="9" t="s">
        <v>335</v>
      </c>
      <c r="N179" s="4" t="str">
        <f>VLOOKUP(H179,Clientes!B:D,3,)</f>
        <v>CLAVE GESTORA DE RECURSOS LTDA</v>
      </c>
      <c r="P179" t="e">
        <f>_xlfn.XLOOKUP(K179,#REF!,#REF!,0,0,1)</f>
        <v>#REF!</v>
      </c>
    </row>
    <row r="180" spans="1:16" x14ac:dyDescent="0.25">
      <c r="A180" s="4" t="str">
        <f t="shared" si="3"/>
        <v>DESPESA DE REPRESENTAÇÃO - ALMOÇO-TRADER-CARLOS R DE MENEZES JUNIOR (101544-3688FR)</v>
      </c>
      <c r="B180" s="11">
        <v>46023</v>
      </c>
      <c r="C180" s="4">
        <v>817991</v>
      </c>
      <c r="D180" s="1" t="s">
        <v>632</v>
      </c>
      <c r="E180" s="14">
        <v>-580.82000000000005</v>
      </c>
      <c r="F180" s="5" t="s">
        <v>447</v>
      </c>
      <c r="G180" s="2">
        <v>46051</v>
      </c>
      <c r="H180" s="9">
        <v>79258</v>
      </c>
      <c r="I180" s="4"/>
      <c r="J180" s="4" t="s">
        <v>447</v>
      </c>
      <c r="K180" s="7" t="s">
        <v>593</v>
      </c>
      <c r="L180" s="1" t="s">
        <v>362</v>
      </c>
      <c r="M180" s="9" t="s">
        <v>335</v>
      </c>
      <c r="N180" s="4" t="str">
        <f>VLOOKUP(H180,Clientes!B:D,3,)</f>
        <v>ITAU UNIBANCO S/A</v>
      </c>
      <c r="P180" t="e">
        <f>_xlfn.XLOOKUP(K180,#REF!,#REF!,0,0,1)</f>
        <v>#REF!</v>
      </c>
    </row>
    <row r="181" spans="1:16" x14ac:dyDescent="0.25">
      <c r="A181" s="4" t="str">
        <f t="shared" si="3"/>
        <v>DESPESA DE REPRESENTAÇÃO - ALMOÇO COM ASSOCIAÇÃO BRASILEIRA DAS EMPRESAS FINTECH-PRESIDENTE-DIEGO PEREZ (163105-3688JL)</v>
      </c>
      <c r="B181" s="11">
        <v>46023</v>
      </c>
      <c r="C181" s="4">
        <v>817991</v>
      </c>
      <c r="D181" s="1" t="s">
        <v>614</v>
      </c>
      <c r="E181" s="14">
        <v>-829.42</v>
      </c>
      <c r="F181" s="5" t="s">
        <v>447</v>
      </c>
      <c r="G181" s="2">
        <v>46051</v>
      </c>
      <c r="H181" s="9">
        <v>1170</v>
      </c>
      <c r="I181" s="4"/>
      <c r="J181" s="4" t="s">
        <v>596</v>
      </c>
      <c r="K181" s="7" t="s">
        <v>594</v>
      </c>
      <c r="L181" s="1" t="s">
        <v>595</v>
      </c>
      <c r="M181" s="9" t="s">
        <v>597</v>
      </c>
      <c r="N181" s="4" t="str">
        <f>VLOOKUP(H181,Clientes!B:D,3,)</f>
        <v>BGC LIQUIDEZ DTVM LTDA</v>
      </c>
      <c r="P181" t="e">
        <f>_xlfn.XLOOKUP(K181,#REF!,#REF!,0,0,1)</f>
        <v>#REF!</v>
      </c>
    </row>
    <row r="182" spans="1:16" x14ac:dyDescent="0.25">
      <c r="A182" s="4" t="str">
        <f t="shared" si="3"/>
        <v>DESPESA DE REPRESENTAÇÃO - ALMOÇO COM A ZURICH-GESTOR-ALAN BELO (152846-3688JL)</v>
      </c>
      <c r="B182" s="11">
        <v>46023</v>
      </c>
      <c r="C182" s="4">
        <v>817991</v>
      </c>
      <c r="D182" s="1" t="s">
        <v>614</v>
      </c>
      <c r="E182" s="14">
        <v>-935.64</v>
      </c>
      <c r="F182" s="5" t="s">
        <v>447</v>
      </c>
      <c r="G182" s="2">
        <v>46051</v>
      </c>
      <c r="H182" s="9">
        <v>1170</v>
      </c>
      <c r="I182" s="4"/>
      <c r="J182" s="4" t="s">
        <v>601</v>
      </c>
      <c r="K182" s="7" t="s">
        <v>600</v>
      </c>
      <c r="L182" s="1" t="s">
        <v>599</v>
      </c>
      <c r="M182" s="9" t="s">
        <v>598</v>
      </c>
      <c r="N182" s="4" t="str">
        <f>VLOOKUP(H182,Clientes!B:D,3,)</f>
        <v>BGC LIQUIDEZ DTVM LTDA</v>
      </c>
      <c r="P182" t="e">
        <f>_xlfn.XLOOKUP(K182,#REF!,#REF!,0,0,1)</f>
        <v>#REF!</v>
      </c>
    </row>
    <row r="183" spans="1:16" x14ac:dyDescent="0.25">
      <c r="A183" s="4" t="str">
        <f t="shared" si="3"/>
        <v>DESPESA DE REPRESENTAÇÃO - PASSAGEM SÃO PAULO X BRASILIA-BROKER-RICARDO ANDRE VASCONCELOS RAMOS (AGENDA 40020)</v>
      </c>
      <c r="B183" s="11">
        <v>46023</v>
      </c>
      <c r="C183" s="4">
        <v>817991</v>
      </c>
      <c r="D183" s="1" t="s">
        <v>604</v>
      </c>
      <c r="E183" s="14">
        <v>-3067.01</v>
      </c>
      <c r="F183" s="5" t="s">
        <v>388</v>
      </c>
      <c r="G183" s="2">
        <v>46052</v>
      </c>
      <c r="H183" s="9">
        <v>1170</v>
      </c>
      <c r="I183" s="4"/>
      <c r="J183" s="4" t="s">
        <v>602</v>
      </c>
      <c r="K183" s="7" t="s">
        <v>603</v>
      </c>
      <c r="L183" s="1" t="s">
        <v>604</v>
      </c>
      <c r="M183" s="9" t="s">
        <v>2</v>
      </c>
      <c r="N183" s="4" t="str">
        <f>VLOOKUP(H183,Clientes!B:D,3,)</f>
        <v>BGC LIQUIDEZ DTVM LTDA</v>
      </c>
      <c r="P183" t="e">
        <f>_xlfn.XLOOKUP(K183,#REF!,#REF!,0,0,1)</f>
        <v>#REF!</v>
      </c>
    </row>
    <row r="184" spans="1:16" x14ac:dyDescent="0.25">
      <c r="A184" s="4" t="str">
        <f t="shared" si="3"/>
        <v>DESPESA DE REPRESENTAÇÃO - UBER-BROKER-JUAREZ JOAQUIM DE LACERDA (E-MAIL 19/02/2025)</v>
      </c>
      <c r="B184" s="11">
        <v>46023</v>
      </c>
      <c r="C184" s="4">
        <v>817991</v>
      </c>
      <c r="D184" s="1" t="s">
        <v>614</v>
      </c>
      <c r="E184" s="14">
        <v>-76.290000000000006</v>
      </c>
      <c r="F184" s="5" t="s">
        <v>388</v>
      </c>
      <c r="G184" s="2">
        <v>46041</v>
      </c>
      <c r="H184" s="9">
        <v>1170</v>
      </c>
      <c r="I184" s="4"/>
      <c r="J184" s="4" t="s">
        <v>659</v>
      </c>
      <c r="K184" s="1" t="s">
        <v>661</v>
      </c>
      <c r="L184" s="1" t="s">
        <v>614</v>
      </c>
      <c r="M184" s="9" t="s">
        <v>2</v>
      </c>
      <c r="N184" s="4" t="str">
        <f>VLOOKUP(H184,Clientes!B:D,3,)</f>
        <v>BGC LIQUIDEZ DTVM LTDA</v>
      </c>
      <c r="P184" t="e">
        <f>_xlfn.XLOOKUP(K184,#REF!,#REF!,0,0,1)</f>
        <v>#REF!</v>
      </c>
    </row>
    <row r="185" spans="1:16" x14ac:dyDescent="0.25">
      <c r="A185" s="4" t="str">
        <f t="shared" si="3"/>
        <v>DESPESA DE REPRESENTAÇÃO - UBER-SALES-MARCELLE DA SILVEIRA GIL CADILHE (E-MAIL 19/02/2025)</v>
      </c>
      <c r="B185" s="11">
        <v>46023</v>
      </c>
      <c r="C185" s="4">
        <v>817991</v>
      </c>
      <c r="D185" s="1" t="s">
        <v>428</v>
      </c>
      <c r="E185" s="14">
        <v>-174.41</v>
      </c>
      <c r="F185" s="5" t="s">
        <v>388</v>
      </c>
      <c r="G185" s="2">
        <v>46048</v>
      </c>
      <c r="H185" s="9">
        <v>1170</v>
      </c>
      <c r="I185" s="4"/>
      <c r="J185" s="4" t="s">
        <v>659</v>
      </c>
      <c r="K185" s="7" t="s">
        <v>661</v>
      </c>
      <c r="L185" s="1" t="s">
        <v>658</v>
      </c>
      <c r="M185" s="9" t="s">
        <v>468</v>
      </c>
      <c r="N185" s="4" t="str">
        <f>VLOOKUP(H185,Clientes!B:D,3,)</f>
        <v>BGC LIQUIDEZ DTVM LTDA</v>
      </c>
      <c r="P185" t="e">
        <f>_xlfn.XLOOKUP(K185,#REF!,#REF!,0,0,1)</f>
        <v>#REF!</v>
      </c>
    </row>
    <row r="186" spans="1:16" x14ac:dyDescent="0.25">
      <c r="A186" s="4" t="str">
        <f t="shared" si="3"/>
        <v>DESPESA DE REPRESENTAÇÃO - UBER-SALES-MELISSA LEITE FIGUEIREDO ROCHA (E-MAIL 19/02/2025)</v>
      </c>
      <c r="B186" s="11">
        <v>46023</v>
      </c>
      <c r="C186" s="4">
        <v>817991</v>
      </c>
      <c r="D186" s="1" t="s">
        <v>428</v>
      </c>
      <c r="E186" s="14">
        <v>-78.930000000000007</v>
      </c>
      <c r="F186" s="5" t="s">
        <v>388</v>
      </c>
      <c r="G186" s="2">
        <v>46044</v>
      </c>
      <c r="H186" s="9">
        <v>1170</v>
      </c>
      <c r="I186" s="4"/>
      <c r="J186" s="4" t="s">
        <v>659</v>
      </c>
      <c r="K186" s="7" t="s">
        <v>661</v>
      </c>
      <c r="L186" s="1" t="s">
        <v>663</v>
      </c>
      <c r="M186" s="9" t="s">
        <v>468</v>
      </c>
      <c r="N186" s="4" t="str">
        <f>VLOOKUP(H186,Clientes!B:D,3,)</f>
        <v>BGC LIQUIDEZ DTVM LTDA</v>
      </c>
      <c r="P186" t="e">
        <f>_xlfn.XLOOKUP(K186,#REF!,#REF!,0,0,1)</f>
        <v>#REF!</v>
      </c>
    </row>
    <row r="187" spans="1:16" x14ac:dyDescent="0.25">
      <c r="A187" s="4" t="str">
        <f t="shared" si="3"/>
        <v>DESPESA DE REPRESENTAÇÃO - FRETE DOCUMENTAÇÃO-BROKER-RICARDO FERREIRA DA COSTA (AGENDA 39781)</v>
      </c>
      <c r="B187" s="11">
        <v>46023</v>
      </c>
      <c r="C187" s="4">
        <v>817991</v>
      </c>
      <c r="D187" s="1" t="s">
        <v>31</v>
      </c>
      <c r="E187" s="14">
        <v>-56.44</v>
      </c>
      <c r="F187" s="5" t="s">
        <v>389</v>
      </c>
      <c r="G187" s="2">
        <v>46009</v>
      </c>
      <c r="H187" s="9">
        <v>1170</v>
      </c>
      <c r="I187" s="4"/>
      <c r="J187" s="4" t="s">
        <v>660</v>
      </c>
      <c r="K187" s="1" t="s">
        <v>662</v>
      </c>
      <c r="L187" s="1" t="s">
        <v>31</v>
      </c>
      <c r="M187" s="9" t="s">
        <v>2</v>
      </c>
      <c r="N187" s="4" t="str">
        <f>VLOOKUP(H187,Clientes!B:D,3,)</f>
        <v>BGC LIQUIDEZ DTVM LTDA</v>
      </c>
      <c r="P187" t="e">
        <f>_xlfn.XLOOKUP(K187,#REF!,#REF!,0,0,1)</f>
        <v>#REF!</v>
      </c>
    </row>
    <row r="188" spans="1:16" x14ac:dyDescent="0.25">
      <c r="A188" s="4" t="str">
        <f t="shared" si="3"/>
        <v>DESPESA DE REPRESENTAÇÃO - FRETE DOCUMENTAÇÃO-BROKER-ALEXANDRE DA COSTA SOARES (AGENDA 39781)</v>
      </c>
      <c r="B188" s="11">
        <v>46023</v>
      </c>
      <c r="C188" s="4">
        <v>817991</v>
      </c>
      <c r="D188" s="1" t="s">
        <v>624</v>
      </c>
      <c r="E188" s="14">
        <v>-16.88</v>
      </c>
      <c r="F188" s="5" t="s">
        <v>389</v>
      </c>
      <c r="G188" s="2">
        <v>46007</v>
      </c>
      <c r="H188" s="9">
        <v>1170</v>
      </c>
      <c r="I188" s="4"/>
      <c r="J188" s="4" t="s">
        <v>660</v>
      </c>
      <c r="K188" s="1" t="s">
        <v>662</v>
      </c>
      <c r="L188" s="1" t="s">
        <v>624</v>
      </c>
      <c r="M188" s="9" t="s">
        <v>2</v>
      </c>
      <c r="N188" s="4" t="str">
        <f>VLOOKUP(H188,Clientes!B:D,3,)</f>
        <v>BGC LIQUIDEZ DTVM LTDA</v>
      </c>
      <c r="P188" t="e">
        <f>_xlfn.XLOOKUP(K188,#REF!,#REF!,0,0,1)</f>
        <v>#REF!</v>
      </c>
    </row>
    <row r="189" spans="1:16" x14ac:dyDescent="0.25">
      <c r="A189" s="4" t="str">
        <f>CONCATENATE($J$1,J189,$I$3,M189,$I$3,L189,$I$1,K189,$I$2)</f>
        <v>DESPESA DE REPRESENTAÇÃO - ALUGUEL FLAT -BROKER-PAULO GUILHERME MENEZES FELIX (AGENDA 39832)</v>
      </c>
      <c r="B189" s="11">
        <v>46023</v>
      </c>
      <c r="C189" s="4">
        <v>817991</v>
      </c>
      <c r="D189" s="1" t="s">
        <v>424</v>
      </c>
      <c r="E189" s="14">
        <v>236.14</v>
      </c>
      <c r="F189" s="5" t="s">
        <v>422</v>
      </c>
      <c r="G189" s="2">
        <v>46035</v>
      </c>
      <c r="H189" s="9">
        <v>1170</v>
      </c>
      <c r="I189" s="4"/>
      <c r="J189" s="4" t="s">
        <v>425</v>
      </c>
      <c r="K189" s="7" t="s">
        <v>1049</v>
      </c>
      <c r="L189" s="1" t="s">
        <v>424</v>
      </c>
      <c r="M189" s="9" t="s">
        <v>2</v>
      </c>
      <c r="N189" s="4" t="str">
        <f>VLOOKUP(H189,Clientes!B:D,3,)</f>
        <v>BGC LIQUIDEZ DTVM LTDA</v>
      </c>
      <c r="P189" t="e">
        <f>_xlfn.XLOOKUP(K189,#REF!,#REF!,0,0,1)</f>
        <v>#REF!</v>
      </c>
    </row>
    <row r="190" spans="1:16" x14ac:dyDescent="0.25">
      <c r="A190" s="4" t="str">
        <f>CONCATENATE($J$1,J190,$I$3,M190,$I$3,L190,$I$1,K190,$I$2)</f>
        <v>DESPESA DE REPRESENTAÇÃO - REEMBOLSO ALMOÇO POLITICA EM 10/12 NO LOCALE PARA 10 PESSOAS-SALES-JOSE ANTONIO DEZENE JUNIOR (AGENDA 39918)</v>
      </c>
      <c r="B190" s="11">
        <v>46023</v>
      </c>
      <c r="C190" s="4">
        <v>817991</v>
      </c>
      <c r="D190" s="1" t="s">
        <v>428</v>
      </c>
      <c r="E190" s="14">
        <v>4000</v>
      </c>
      <c r="F190" s="5" t="s">
        <v>447</v>
      </c>
      <c r="G190" s="2">
        <v>46036</v>
      </c>
      <c r="H190" s="9">
        <v>1170</v>
      </c>
      <c r="I190" s="4"/>
      <c r="J190" s="4" t="s">
        <v>1050</v>
      </c>
      <c r="K190" s="7" t="s">
        <v>1051</v>
      </c>
      <c r="L190" s="1" t="s">
        <v>428</v>
      </c>
      <c r="M190" s="9" t="s">
        <v>468</v>
      </c>
      <c r="N190" s="4" t="str">
        <f>VLOOKUP(H190,Clientes!B:D,3,)</f>
        <v>BGC LIQUIDEZ DTVM LTDA</v>
      </c>
      <c r="P190" t="e">
        <f>_xlfn.XLOOKUP(K190,#REF!,#REF!,0,0,1)</f>
        <v>#REF!</v>
      </c>
    </row>
    <row r="191" spans="1:16" x14ac:dyDescent="0.25">
      <c r="A191" s="4" t="str">
        <f>CONCATENATE($J$1,J191,$I$3,M191,$I$3,L191,$I$1,K191,$I$2)</f>
        <v>DESPESA DE REPRESENTAÇÃO - -- ()</v>
      </c>
      <c r="B191" s="11">
        <v>46023</v>
      </c>
      <c r="C191" s="4">
        <v>817991</v>
      </c>
      <c r="D191" s="1"/>
      <c r="E191" s="14"/>
      <c r="F191" s="5"/>
      <c r="G191" s="2"/>
      <c r="H191" s="9"/>
      <c r="I191" s="4"/>
      <c r="J191" s="4"/>
      <c r="K191" s="7"/>
      <c r="L191" s="1"/>
      <c r="M191" s="9"/>
      <c r="N191" s="4"/>
    </row>
    <row r="192" spans="1:16" x14ac:dyDescent="0.25">
      <c r="A192" s="4" t="str">
        <f>CONCATENATE($J$1,J192,$I$3,M192,$I$3,L192,$I$1,K192,$I$2)</f>
        <v>DESPESA DE REPRESENTAÇÃO - -- ()</v>
      </c>
      <c r="B192" s="11">
        <v>46023</v>
      </c>
      <c r="C192" s="4">
        <v>817991</v>
      </c>
      <c r="D192" s="1"/>
      <c r="E192" s="14"/>
      <c r="F192" s="5"/>
      <c r="G192" s="2"/>
      <c r="H192" s="9"/>
      <c r="I192" s="4"/>
      <c r="J192" s="4"/>
      <c r="K192" s="7"/>
      <c r="L192" s="1"/>
      <c r="M192" s="9"/>
      <c r="N192" s="4"/>
    </row>
    <row r="193" spans="1:14" x14ac:dyDescent="0.25">
      <c r="A193" s="4" t="str">
        <f>CONCATENATE($J$1,J193,$I$3,M193,$I$3,L193,$I$1,K193,$I$2)</f>
        <v>DESPESA DE REPRESENTAÇÃO - -- ()</v>
      </c>
      <c r="B193" s="11">
        <v>46023</v>
      </c>
      <c r="C193" s="4">
        <v>817991</v>
      </c>
      <c r="D193" s="1"/>
      <c r="E193" s="14"/>
      <c r="F193" s="5"/>
      <c r="G193" s="2"/>
      <c r="H193" s="9"/>
      <c r="I193" s="4"/>
      <c r="J193" s="4"/>
      <c r="K193" s="7"/>
      <c r="L193" s="1"/>
      <c r="M193" s="9"/>
      <c r="N193" s="4"/>
    </row>
    <row r="194" spans="1:14" x14ac:dyDescent="0.25">
      <c r="A194" s="4"/>
      <c r="B194" s="11"/>
      <c r="C194" s="4"/>
      <c r="D194" s="1"/>
      <c r="E194" s="14"/>
      <c r="F194" s="5"/>
      <c r="G194" s="2"/>
      <c r="H194" s="9"/>
      <c r="I194" s="4"/>
      <c r="J194" s="4"/>
      <c r="K194" s="7"/>
      <c r="L194" s="1"/>
      <c r="M194" s="9"/>
      <c r="N194" s="4"/>
    </row>
    <row r="195" spans="1:14" x14ac:dyDescent="0.25">
      <c r="A195" s="4"/>
      <c r="B195" s="11"/>
      <c r="C195" s="4"/>
      <c r="D195" s="1"/>
      <c r="E195" s="14"/>
      <c r="F195" s="5"/>
      <c r="G195" s="2"/>
      <c r="H195" s="9"/>
      <c r="I195" s="4"/>
      <c r="J195" s="4"/>
      <c r="K195" s="7"/>
      <c r="L195" s="1"/>
      <c r="M195" s="9"/>
      <c r="N195" s="4"/>
    </row>
    <row r="196" spans="1:14" x14ac:dyDescent="0.25">
      <c r="A196" s="4"/>
      <c r="B196" s="11"/>
      <c r="C196" s="4"/>
      <c r="D196" s="1"/>
      <c r="E196" s="14"/>
      <c r="F196" s="5"/>
      <c r="G196" s="2"/>
      <c r="H196" s="9"/>
      <c r="I196" s="4"/>
      <c r="J196" s="4"/>
      <c r="K196" s="7"/>
      <c r="L196" s="1"/>
      <c r="M196" s="9"/>
      <c r="N196" s="4"/>
    </row>
    <row r="197" spans="1:14" x14ac:dyDescent="0.25">
      <c r="A197" s="4"/>
      <c r="B197" s="11"/>
      <c r="C197" s="4"/>
      <c r="D197" s="1"/>
      <c r="E197" s="14"/>
      <c r="F197" s="5"/>
      <c r="G197" s="2"/>
      <c r="H197" s="9"/>
      <c r="I197" s="4"/>
      <c r="J197" s="4"/>
      <c r="K197" s="7"/>
      <c r="L197" s="1"/>
      <c r="M197" s="9"/>
      <c r="N197" s="4"/>
    </row>
    <row r="198" spans="1:14" x14ac:dyDescent="0.25">
      <c r="A198" s="4"/>
      <c r="B198" s="11"/>
      <c r="C198" s="4"/>
      <c r="D198" s="1"/>
      <c r="E198" s="14"/>
      <c r="F198" s="5"/>
      <c r="G198" s="2"/>
      <c r="H198" s="9"/>
      <c r="I198" s="4"/>
      <c r="J198" s="4"/>
      <c r="K198" s="7"/>
      <c r="L198" s="1"/>
      <c r="M198" s="9"/>
      <c r="N198" s="4"/>
    </row>
    <row r="199" spans="1:14" x14ac:dyDescent="0.25">
      <c r="A199" s="4"/>
      <c r="B199" s="11"/>
      <c r="C199" s="4"/>
      <c r="D199" s="1"/>
      <c r="E199" s="14"/>
      <c r="F199" s="5"/>
      <c r="G199" s="2"/>
      <c r="H199" s="9"/>
      <c r="I199" s="4"/>
      <c r="J199" s="4"/>
      <c r="K199" s="7"/>
      <c r="L199" s="1"/>
      <c r="M199" s="9"/>
      <c r="N199" s="4"/>
    </row>
    <row r="200" spans="1:14" x14ac:dyDescent="0.25">
      <c r="A200" s="4"/>
      <c r="B200" s="11"/>
      <c r="C200" s="4"/>
      <c r="D200" s="1"/>
      <c r="E200" s="14"/>
      <c r="F200" s="5"/>
      <c r="G200" s="2"/>
      <c r="H200" s="9"/>
      <c r="I200" s="4"/>
      <c r="J200" s="4"/>
      <c r="K200" s="7"/>
      <c r="L200" s="1"/>
      <c r="M200" s="9"/>
      <c r="N200" s="4"/>
    </row>
    <row r="201" spans="1:14" x14ac:dyDescent="0.25">
      <c r="A201" s="4"/>
      <c r="B201" s="11"/>
      <c r="C201" s="4"/>
      <c r="D201" s="1"/>
      <c r="E201" s="14"/>
      <c r="F201" s="5"/>
      <c r="G201" s="2"/>
      <c r="H201" s="9"/>
      <c r="I201" s="4"/>
      <c r="J201" s="4"/>
      <c r="K201" s="7"/>
      <c r="L201" s="1"/>
      <c r="M201" s="9"/>
      <c r="N201" s="4"/>
    </row>
    <row r="202" spans="1:14" x14ac:dyDescent="0.25">
      <c r="A202" s="4"/>
      <c r="B202" s="11"/>
      <c r="C202" s="4"/>
      <c r="L202" s="1"/>
      <c r="M202" s="9"/>
      <c r="N202" s="4"/>
    </row>
  </sheetData>
  <autoFilter ref="A1:P202" xr:uid="{F2AF4E5A-51E2-4233-8631-3F0FEBB4DF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6DD9-CF37-4777-8E12-E415D3F0673B}">
  <sheetPr codeName="Sheet15" filterMode="1"/>
  <dimension ref="A1:R128"/>
  <sheetViews>
    <sheetView showGridLines="0" workbookViewId="0">
      <selection activeCell="D16" sqref="D16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style="20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  <col min="18" max="18" width="11.5703125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21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hidden="1" x14ac:dyDescent="0.25">
      <c r="A2" s="4" t="str">
        <f>CONCATENATE($J$1,J2,$I$3,M2,$I$3,L2,$I$1,K2,$I$2)</f>
        <v>DESPESA DE REPRESENTAÇÃO - 4/4 PARCELA DO BOX DO RIO OPEN 2026--ESPOSA DO ANDRE ACCIOLY (AGENDA 38502)</v>
      </c>
      <c r="B2" s="11">
        <v>46054</v>
      </c>
      <c r="C2" s="4">
        <v>817991</v>
      </c>
      <c r="D2" s="16" t="s">
        <v>423</v>
      </c>
      <c r="E2" s="14">
        <v>-3100</v>
      </c>
      <c r="F2" s="2" t="s">
        <v>387</v>
      </c>
      <c r="G2" s="2">
        <v>46058</v>
      </c>
      <c r="H2" s="9">
        <v>1170</v>
      </c>
      <c r="I2" s="4" t="s">
        <v>333</v>
      </c>
      <c r="J2" s="4" t="s">
        <v>640</v>
      </c>
      <c r="K2" s="7" t="s">
        <v>641</v>
      </c>
      <c r="L2" s="4" t="s">
        <v>637</v>
      </c>
      <c r="M2" s="9"/>
      <c r="N2" s="4" t="str">
        <f>VLOOKUP(H2,Clientes!B:D,3,)</f>
        <v>BGC LIQUIDEZ DTVM LTDA</v>
      </c>
    </row>
    <row r="3" spans="1:14" hidden="1" x14ac:dyDescent="0.25">
      <c r="A3" s="4" t="str">
        <f t="shared" ref="A3:A65" si="0">CONCATENATE($J$1,J3,$I$3,M3,$I$3,L3,$I$1,K3,$I$2)</f>
        <v>DESPESA DE REPRESENTAÇÃO - 4/4 PARCELA DO BOX DO RIO OPEN 2026--FILHO DO ANDRE ACCIOLY (AGENDA 38502)</v>
      </c>
      <c r="B3" s="11">
        <v>46054</v>
      </c>
      <c r="C3" s="4">
        <v>817991</v>
      </c>
      <c r="D3" s="16" t="s">
        <v>423</v>
      </c>
      <c r="E3" s="14">
        <v>-3100</v>
      </c>
      <c r="F3" s="2" t="s">
        <v>387</v>
      </c>
      <c r="G3" s="2">
        <v>46058</v>
      </c>
      <c r="H3" s="9">
        <v>1170</v>
      </c>
      <c r="I3" s="4" t="s">
        <v>336</v>
      </c>
      <c r="J3" s="4" t="s">
        <v>640</v>
      </c>
      <c r="K3" s="7" t="s">
        <v>641</v>
      </c>
      <c r="L3" s="4" t="s">
        <v>636</v>
      </c>
      <c r="M3" s="9"/>
      <c r="N3" s="4" t="str">
        <f>VLOOKUP(H3,Clientes!B:D,3,)</f>
        <v>BGC LIQUIDEZ DTVM LTDA</v>
      </c>
    </row>
    <row r="4" spans="1:14" hidden="1" x14ac:dyDescent="0.25">
      <c r="A4" s="4" t="str">
        <f t="shared" si="0"/>
        <v>DESPESA DE REPRESENTAÇÃO - 4/4 PARCELA DO BOX DO RIO OPEN 2026-BROKER-JOSE MAURICIO GOMES TEIXEIRA (AGENDA 38502)</v>
      </c>
      <c r="B4" s="11">
        <v>46054</v>
      </c>
      <c r="C4" s="4">
        <v>817991</v>
      </c>
      <c r="D4" s="16" t="s">
        <v>23</v>
      </c>
      <c r="E4" s="14">
        <v>-3100</v>
      </c>
      <c r="F4" s="2" t="s">
        <v>387</v>
      </c>
      <c r="G4" s="2">
        <v>46058</v>
      </c>
      <c r="H4" s="9">
        <v>1170</v>
      </c>
      <c r="I4" s="4"/>
      <c r="J4" s="4" t="s">
        <v>640</v>
      </c>
      <c r="K4" s="7" t="s">
        <v>641</v>
      </c>
      <c r="L4" s="16" t="s">
        <v>23</v>
      </c>
      <c r="M4" s="9" t="s">
        <v>2</v>
      </c>
      <c r="N4" s="4" t="str">
        <f>VLOOKUP(H4,Clientes!B:D,3,)</f>
        <v>BGC LIQUIDEZ DTVM LTDA</v>
      </c>
    </row>
    <row r="5" spans="1:14" hidden="1" x14ac:dyDescent="0.25">
      <c r="A5" s="4" t="str">
        <f t="shared" si="0"/>
        <v>DESPESA DE REPRESENTAÇÃO - 4/4 PARCELA DO BOX DO RIO OPEN 2026--ESPOSA DO JOSE MAURICIO GOMES TEIXEIRA (AGENDA 38502)</v>
      </c>
      <c r="B5" s="11">
        <v>46054</v>
      </c>
      <c r="C5" s="4">
        <v>817991</v>
      </c>
      <c r="D5" s="16" t="s">
        <v>23</v>
      </c>
      <c r="E5" s="14">
        <v>-3100</v>
      </c>
      <c r="F5" s="2" t="s">
        <v>387</v>
      </c>
      <c r="G5" s="2">
        <v>46058</v>
      </c>
      <c r="H5" s="9">
        <v>1170</v>
      </c>
      <c r="I5" s="4"/>
      <c r="J5" s="4" t="s">
        <v>640</v>
      </c>
      <c r="K5" s="7" t="s">
        <v>641</v>
      </c>
      <c r="L5" s="16" t="s">
        <v>638</v>
      </c>
      <c r="M5" s="9"/>
      <c r="N5" s="4" t="str">
        <f>VLOOKUP(H5,Clientes!B:D,3,)</f>
        <v>BGC LIQUIDEZ DTVM LTDA</v>
      </c>
    </row>
    <row r="6" spans="1:14" hidden="1" x14ac:dyDescent="0.25">
      <c r="A6" s="4" t="str">
        <f t="shared" si="0"/>
        <v>DESPESA DE REPRESENTAÇÃO - 4/4 PARCELA DO BOX DO RIO OPEN 2026-TRADER-LUAN VALENTE (AGENDA 38502)</v>
      </c>
      <c r="B6" s="11">
        <v>46054</v>
      </c>
      <c r="C6" s="4">
        <v>817991</v>
      </c>
      <c r="D6" s="16" t="s">
        <v>23</v>
      </c>
      <c r="E6" s="14">
        <v>-3100</v>
      </c>
      <c r="F6" s="2" t="s">
        <v>387</v>
      </c>
      <c r="G6" s="2">
        <v>46058</v>
      </c>
      <c r="H6" s="9">
        <v>80132</v>
      </c>
      <c r="I6" s="4"/>
      <c r="J6" s="4" t="s">
        <v>640</v>
      </c>
      <c r="K6" s="7" t="s">
        <v>641</v>
      </c>
      <c r="L6" s="4" t="s">
        <v>639</v>
      </c>
      <c r="M6" s="9" t="s">
        <v>335</v>
      </c>
      <c r="N6" s="4" t="str">
        <f>VLOOKUP(H6,Clientes!B:D,3,)</f>
        <v>GLOBO COMUNICACAO E PARTICIPACOES S.A</v>
      </c>
    </row>
    <row r="7" spans="1:14" hidden="1" x14ac:dyDescent="0.25">
      <c r="A7" s="4" t="str">
        <f t="shared" si="0"/>
        <v>DESPESA DE REPRESENTAÇÃO - ALMOÇO -TRADER-RAFAEL PERES NABESHIMA (102527-3688FR)</v>
      </c>
      <c r="B7" s="11">
        <v>46054</v>
      </c>
      <c r="C7" s="4">
        <v>817991</v>
      </c>
      <c r="D7" s="1" t="s">
        <v>632</v>
      </c>
      <c r="E7" s="14">
        <v>-943.66</v>
      </c>
      <c r="F7" s="2" t="s">
        <v>447</v>
      </c>
      <c r="G7" s="2">
        <v>46058</v>
      </c>
      <c r="H7" s="9">
        <v>80375</v>
      </c>
      <c r="I7" s="4"/>
      <c r="J7" s="4" t="s">
        <v>673</v>
      </c>
      <c r="K7" s="7" t="s">
        <v>674</v>
      </c>
      <c r="L7" s="9" t="s">
        <v>675</v>
      </c>
      <c r="M7" s="9" t="s">
        <v>335</v>
      </c>
      <c r="N7" s="4" t="str">
        <f>VLOOKUP(H7,Clientes!B:D,3,)</f>
        <v>ITAU UNIBANCO S/A</v>
      </c>
    </row>
    <row r="8" spans="1:14" hidden="1" x14ac:dyDescent="0.25">
      <c r="A8" s="4" t="str">
        <f t="shared" si="0"/>
        <v>DESPESA DE REPRESENTAÇÃO - HAPPY HOUR-TRADER-RODRIGO SANTANA FERREIRA (103534-3688FR)</v>
      </c>
      <c r="B8" s="11">
        <v>46054</v>
      </c>
      <c r="C8" s="4">
        <v>817991</v>
      </c>
      <c r="D8" s="1" t="s">
        <v>632</v>
      </c>
      <c r="E8" s="14">
        <v>-1554.88</v>
      </c>
      <c r="F8" s="2" t="s">
        <v>387</v>
      </c>
      <c r="G8" s="2">
        <v>46058</v>
      </c>
      <c r="H8" s="9">
        <v>80005</v>
      </c>
      <c r="I8" s="4"/>
      <c r="J8" s="4" t="s">
        <v>485</v>
      </c>
      <c r="K8" s="7" t="s">
        <v>676</v>
      </c>
      <c r="L8" s="9" t="s">
        <v>677</v>
      </c>
      <c r="M8" s="9" t="s">
        <v>335</v>
      </c>
      <c r="N8" s="4" t="str">
        <f>VLOOKUP(H8,Clientes!B:D,3,)</f>
        <v>DEUTSCHE BANK S/A</v>
      </c>
    </row>
    <row r="9" spans="1:14" hidden="1" x14ac:dyDescent="0.25">
      <c r="A9" s="4" t="str">
        <f t="shared" si="0"/>
        <v>DESPESA DE REPRESENTAÇÃO - HAPPY HOUR-TRADER-HENRIQUE TEIXEIRA CASTAGNET (103728-3688AA)</v>
      </c>
      <c r="B9" s="11">
        <v>46054</v>
      </c>
      <c r="C9" s="4">
        <v>817991</v>
      </c>
      <c r="D9" s="1" t="s">
        <v>379</v>
      </c>
      <c r="E9" s="14">
        <v>-714</v>
      </c>
      <c r="F9" s="2" t="s">
        <v>387</v>
      </c>
      <c r="G9" s="2">
        <v>46058</v>
      </c>
      <c r="H9" s="9">
        <v>83577</v>
      </c>
      <c r="I9" s="4"/>
      <c r="J9" s="4" t="s">
        <v>485</v>
      </c>
      <c r="K9" s="7" t="s">
        <v>678</v>
      </c>
      <c r="L9" s="9" t="s">
        <v>679</v>
      </c>
      <c r="M9" s="9" t="s">
        <v>335</v>
      </c>
      <c r="N9" s="4" t="str">
        <f>VLOOKUP(H9,Clientes!B:D,3,)</f>
        <v>BANCO MIZUHO DO BRASIL S/A</v>
      </c>
    </row>
    <row r="10" spans="1:14" hidden="1" x14ac:dyDescent="0.25">
      <c r="A10" s="4" t="str">
        <f t="shared" si="0"/>
        <v>DESPESA DE REPRESENTAÇÃO - HAPPY HOUR-TRADER-MARCELO SCHOLZ ISSA (103235-3688AA)</v>
      </c>
      <c r="B10" s="11">
        <v>46054</v>
      </c>
      <c r="C10" s="4">
        <v>817991</v>
      </c>
      <c r="D10" s="1" t="s">
        <v>379</v>
      </c>
      <c r="E10" s="14">
        <v>-406</v>
      </c>
      <c r="F10" s="2" t="s">
        <v>387</v>
      </c>
      <c r="G10" s="2">
        <v>46058</v>
      </c>
      <c r="H10" s="9">
        <v>81259</v>
      </c>
      <c r="I10" s="4"/>
      <c r="J10" s="4" t="s">
        <v>485</v>
      </c>
      <c r="K10" s="7" t="s">
        <v>680</v>
      </c>
      <c r="L10" s="9" t="s">
        <v>681</v>
      </c>
      <c r="M10" s="9" t="s">
        <v>335</v>
      </c>
      <c r="N10" s="4" t="str">
        <f>VLOOKUP(H10,Clientes!B:D,3,)</f>
        <v>GOLDMAN SACHS DO BRASIL BANCO MULTIPLO S/A</v>
      </c>
    </row>
    <row r="11" spans="1:14" hidden="1" x14ac:dyDescent="0.25">
      <c r="A11" s="4" t="str">
        <f t="shared" si="0"/>
        <v>DESPESA DE REPRESENTAÇÃO - ALMOÇO -TRADER-DANILO BASTOS GALVÃO (162755-3688BG)</v>
      </c>
      <c r="B11" s="11">
        <v>46054</v>
      </c>
      <c r="C11" s="4">
        <v>817991</v>
      </c>
      <c r="D11" s="1" t="s">
        <v>23</v>
      </c>
      <c r="E11" s="14">
        <v>-1197.8</v>
      </c>
      <c r="F11" s="2" t="s">
        <v>447</v>
      </c>
      <c r="G11" s="2">
        <v>46058</v>
      </c>
      <c r="H11" s="9">
        <v>12402</v>
      </c>
      <c r="I11" s="4"/>
      <c r="J11" s="4" t="s">
        <v>673</v>
      </c>
      <c r="K11" s="7" t="s">
        <v>682</v>
      </c>
      <c r="L11" s="9" t="s">
        <v>683</v>
      </c>
      <c r="M11" s="9" t="s">
        <v>335</v>
      </c>
      <c r="N11" s="4" t="str">
        <f>VLOOKUP(H11,Clientes!B:D,3,)</f>
        <v>TRUXT INVESTIMENTOS LTDA</v>
      </c>
    </row>
    <row r="12" spans="1:14" hidden="1" x14ac:dyDescent="0.25">
      <c r="A12" s="4" t="str">
        <f t="shared" si="0"/>
        <v>DESPESA DE REPRESENTAÇÃO - ALMOÇO -TRADER-BENY (140730-3688RP)</v>
      </c>
      <c r="B12" s="11">
        <v>46054</v>
      </c>
      <c r="C12" s="4">
        <v>817991</v>
      </c>
      <c r="D12" s="1" t="s">
        <v>482</v>
      </c>
      <c r="E12" s="14">
        <v>-449</v>
      </c>
      <c r="F12" s="2" t="s">
        <v>447</v>
      </c>
      <c r="G12" s="2">
        <v>46058</v>
      </c>
      <c r="H12" s="9">
        <v>81319</v>
      </c>
      <c r="I12" s="4"/>
      <c r="J12" s="4" t="s">
        <v>673</v>
      </c>
      <c r="K12" s="7" t="s">
        <v>684</v>
      </c>
      <c r="L12" s="9" t="s">
        <v>501</v>
      </c>
      <c r="M12" s="9" t="s">
        <v>335</v>
      </c>
      <c r="N12" s="4" t="str">
        <f>VLOOKUP(H12,Clientes!B:D,3,)</f>
        <v>PRAGMA GESTAO DE PATRIMONIO LTDA</v>
      </c>
    </row>
    <row r="13" spans="1:14" hidden="1" x14ac:dyDescent="0.25">
      <c r="A13" s="4" t="str">
        <f t="shared" si="0"/>
        <v>DESPESA DE REPRESENTAÇÃO - ALMOÇO -TRADER-LEONARDO AKIRA IZUKA (174940-3688MN)</v>
      </c>
      <c r="B13" s="11">
        <v>46054</v>
      </c>
      <c r="C13" s="4">
        <v>817991</v>
      </c>
      <c r="D13" s="1" t="s">
        <v>60</v>
      </c>
      <c r="E13" s="14">
        <v>-661.84</v>
      </c>
      <c r="F13" s="2" t="s">
        <v>447</v>
      </c>
      <c r="G13" s="2">
        <v>46058</v>
      </c>
      <c r="H13" s="9">
        <v>82053</v>
      </c>
      <c r="I13" s="4"/>
      <c r="J13" s="4" t="s">
        <v>673</v>
      </c>
      <c r="K13" s="7" t="s">
        <v>685</v>
      </c>
      <c r="L13" s="9" t="s">
        <v>686</v>
      </c>
      <c r="M13" s="9" t="s">
        <v>335</v>
      </c>
      <c r="N13" s="4" t="str">
        <f>VLOOKUP(H13,Clientes!B:D,3,)</f>
        <v>ITAU UNIBANCO ASSET - LEGEND</v>
      </c>
    </row>
    <row r="14" spans="1:14" hidden="1" x14ac:dyDescent="0.25">
      <c r="A14" s="4" t="str">
        <f t="shared" si="0"/>
        <v>DESPESA DE REPRESENTAÇÃO - HAPPY HOUR-TRADER-EDUARDO ROSSI MELLO NOGUEIRA (180639-3688MN)</v>
      </c>
      <c r="B14" s="11">
        <v>46054</v>
      </c>
      <c r="C14" s="4">
        <v>817991</v>
      </c>
      <c r="D14" s="1" t="s">
        <v>60</v>
      </c>
      <c r="E14" s="14">
        <v>-496.16</v>
      </c>
      <c r="F14" s="2" t="s">
        <v>387</v>
      </c>
      <c r="G14" s="2">
        <v>46058</v>
      </c>
      <c r="H14" s="9">
        <v>81344</v>
      </c>
      <c r="I14" s="4"/>
      <c r="J14" s="4" t="s">
        <v>485</v>
      </c>
      <c r="K14" s="7" t="s">
        <v>687</v>
      </c>
      <c r="L14" s="9" t="s">
        <v>688</v>
      </c>
      <c r="M14" s="9" t="s">
        <v>335</v>
      </c>
      <c r="N14" s="4" t="str">
        <f>VLOOKUP(H14,Clientes!B:D,3,)</f>
        <v>TENAX CAPITAL LTDA</v>
      </c>
    </row>
    <row r="15" spans="1:14" hidden="1" x14ac:dyDescent="0.25">
      <c r="A15" s="4" t="str">
        <f t="shared" si="0"/>
        <v>DESPESA DE REPRESENTAÇÃO - ALMOÇO -TRADER-LUAN DE AGUIAR CORREIA (154918-3688JT)</v>
      </c>
      <c r="B15" s="11">
        <v>46054</v>
      </c>
      <c r="C15" s="4">
        <v>817991</v>
      </c>
      <c r="D15" s="1" t="s">
        <v>23</v>
      </c>
      <c r="E15" s="14">
        <v>-756</v>
      </c>
      <c r="F15" s="2" t="s">
        <v>447</v>
      </c>
      <c r="G15" s="2">
        <v>46065</v>
      </c>
      <c r="H15" s="9">
        <v>12416</v>
      </c>
      <c r="I15" s="4"/>
      <c r="J15" s="4" t="s">
        <v>673</v>
      </c>
      <c r="K15" s="7" t="s">
        <v>689</v>
      </c>
      <c r="L15" s="9" t="s">
        <v>690</v>
      </c>
      <c r="M15" s="9" t="s">
        <v>335</v>
      </c>
      <c r="N15" s="4" t="str">
        <f>VLOOKUP(H15,Clientes!B:D,3,)</f>
        <v>MONGERAL AEGON INVESTIMENTOS LTDA</v>
      </c>
    </row>
    <row r="16" spans="1:14" hidden="1" x14ac:dyDescent="0.25">
      <c r="A16" s="4" t="str">
        <f t="shared" si="0"/>
        <v>DESPESA DE REPRESENTAÇÃO - JANTAR DE COMEMORAÇÃO DA CONQUISTA NA PERMANENCIA DE DEALER-BROKER-BGC SEGUNDA VOLTA (141905-3688RR)</v>
      </c>
      <c r="B16" s="11">
        <v>46054</v>
      </c>
      <c r="C16" s="4">
        <v>817991</v>
      </c>
      <c r="D16" s="1" t="s">
        <v>558</v>
      </c>
      <c r="E16" s="14">
        <v>-6153.41</v>
      </c>
      <c r="F16" s="2" t="s">
        <v>380</v>
      </c>
      <c r="G16" s="2">
        <v>46065</v>
      </c>
      <c r="H16" s="9">
        <v>1170</v>
      </c>
      <c r="I16" s="4"/>
      <c r="J16" s="4" t="s">
        <v>691</v>
      </c>
      <c r="K16" s="7" t="s">
        <v>692</v>
      </c>
      <c r="L16" s="9" t="s">
        <v>558</v>
      </c>
      <c r="M16" s="9" t="s">
        <v>2</v>
      </c>
      <c r="N16" s="4" t="str">
        <f>VLOOKUP(H16,Clientes!B:D,3,)</f>
        <v>BGC LIQUIDEZ DTVM LTDA</v>
      </c>
    </row>
    <row r="17" spans="1:14" hidden="1" x14ac:dyDescent="0.25">
      <c r="A17" s="4" t="str">
        <f t="shared" si="0"/>
        <v>DESPESA DE REPRESENTAÇÃO - TAXI-BROKER-FREDERICO PADILHA (105319-3688FP)</v>
      </c>
      <c r="B17" s="11">
        <v>46054</v>
      </c>
      <c r="C17" s="4">
        <v>817991</v>
      </c>
      <c r="D17" s="1" t="s">
        <v>60</v>
      </c>
      <c r="E17" s="14">
        <v>-60</v>
      </c>
      <c r="F17" s="2" t="s">
        <v>388</v>
      </c>
      <c r="G17" s="2">
        <v>46065</v>
      </c>
      <c r="H17" s="9">
        <v>1170</v>
      </c>
      <c r="I17" s="4"/>
      <c r="J17" s="4" t="s">
        <v>525</v>
      </c>
      <c r="K17" s="7" t="s">
        <v>693</v>
      </c>
      <c r="L17" s="9" t="s">
        <v>497</v>
      </c>
      <c r="M17" s="9" t="s">
        <v>2</v>
      </c>
      <c r="N17" s="4" t="str">
        <f>VLOOKUP(H17,Clientes!B:D,3,)</f>
        <v>BGC LIQUIDEZ DTVM LTDA</v>
      </c>
    </row>
    <row r="18" spans="1:14" hidden="1" x14ac:dyDescent="0.25">
      <c r="A18" s="4" t="str">
        <f t="shared" si="0"/>
        <v>DESPESA DE REPRESENTAÇÃO - ALMOÇO -TRADER-BRUNO PAULO (105112-3688FP)</v>
      </c>
      <c r="B18" s="11">
        <v>46054</v>
      </c>
      <c r="C18" s="4">
        <v>817991</v>
      </c>
      <c r="D18" s="1" t="s">
        <v>60</v>
      </c>
      <c r="E18" s="14">
        <v>-1395.55</v>
      </c>
      <c r="F18" s="2" t="s">
        <v>447</v>
      </c>
      <c r="G18" s="2">
        <v>46065</v>
      </c>
      <c r="H18" s="9">
        <v>83063</v>
      </c>
      <c r="I18" s="4"/>
      <c r="J18" s="4" t="s">
        <v>673</v>
      </c>
      <c r="K18" s="7" t="s">
        <v>694</v>
      </c>
      <c r="L18" s="9" t="s">
        <v>622</v>
      </c>
      <c r="M18" s="9" t="s">
        <v>335</v>
      </c>
      <c r="N18" s="4" t="str">
        <f>VLOOKUP(H18,Clientes!B:D,3,)</f>
        <v>SCHONFELD STRATEGIC ADVISORS BRAZIL LTDA.</v>
      </c>
    </row>
    <row r="19" spans="1:14" hidden="1" x14ac:dyDescent="0.25">
      <c r="A19" s="4" t="str">
        <f t="shared" si="0"/>
        <v>DESPESA DE REPRESENTAÇÃO - ALMOÇO-TRADER-LEONARDO LOCATELLI (155409-3688PF)</v>
      </c>
      <c r="B19" s="11">
        <v>46054</v>
      </c>
      <c r="C19" s="4">
        <v>817991</v>
      </c>
      <c r="D19" s="1" t="s">
        <v>424</v>
      </c>
      <c r="E19" s="14">
        <v>-1048.25</v>
      </c>
      <c r="F19" s="5" t="s">
        <v>447</v>
      </c>
      <c r="G19" s="2">
        <v>46065</v>
      </c>
      <c r="H19" s="9">
        <v>16705</v>
      </c>
      <c r="I19" s="4"/>
      <c r="J19" s="4" t="s">
        <v>447</v>
      </c>
      <c r="K19" s="7" t="s">
        <v>695</v>
      </c>
      <c r="L19" s="1" t="s">
        <v>696</v>
      </c>
      <c r="M19" s="9" t="s">
        <v>335</v>
      </c>
      <c r="N19" s="4" t="str">
        <f>VLOOKUP(H19,Clientes!B:D,3,)</f>
        <v>BANCO BRADESCO S/A</v>
      </c>
    </row>
    <row r="20" spans="1:14" hidden="1" x14ac:dyDescent="0.25">
      <c r="A20" s="4" t="str">
        <f t="shared" si="0"/>
        <v>DESPESA DE REPRESENTAÇÃO - JANTAR-TRADER-TATIANA LUCKE DELL AQUILA (142615-3688NA)</v>
      </c>
      <c r="B20" s="11">
        <v>46054</v>
      </c>
      <c r="C20" s="4">
        <v>817991</v>
      </c>
      <c r="D20" s="1" t="s">
        <v>665</v>
      </c>
      <c r="E20" s="14">
        <v>-1389.9</v>
      </c>
      <c r="F20" s="5" t="s">
        <v>380</v>
      </c>
      <c r="G20" s="2">
        <v>46065</v>
      </c>
      <c r="H20" s="9">
        <v>79407</v>
      </c>
      <c r="I20" s="4"/>
      <c r="J20" s="4" t="s">
        <v>380</v>
      </c>
      <c r="K20" s="7" t="s">
        <v>697</v>
      </c>
      <c r="L20" s="1" t="s">
        <v>698</v>
      </c>
      <c r="M20" s="9" t="s">
        <v>335</v>
      </c>
      <c r="N20" s="4" t="str">
        <f>VLOOKUP(H20,Clientes!B:D,3,)</f>
        <v>BANCO MORGAN STANLEY S/A</v>
      </c>
    </row>
    <row r="21" spans="1:14" hidden="1" x14ac:dyDescent="0.25">
      <c r="A21" s="4" t="str">
        <f t="shared" si="0"/>
        <v>DESPESA DE REPRESENTAÇÃO - ALMOÇO-TRADER-MICHAEL KUSUNOKI (190140-3688AC)</v>
      </c>
      <c r="B21" s="11">
        <v>46054</v>
      </c>
      <c r="C21" s="4">
        <v>817991</v>
      </c>
      <c r="D21" s="1" t="s">
        <v>624</v>
      </c>
      <c r="E21" s="14">
        <v>-1535.78</v>
      </c>
      <c r="F21" s="5" t="s">
        <v>447</v>
      </c>
      <c r="G21" s="2">
        <v>46065</v>
      </c>
      <c r="H21" s="9">
        <v>80483</v>
      </c>
      <c r="I21" s="4"/>
      <c r="J21" s="4" t="s">
        <v>447</v>
      </c>
      <c r="K21" s="7" t="s">
        <v>699</v>
      </c>
      <c r="L21" s="1" t="s">
        <v>155</v>
      </c>
      <c r="M21" s="9" t="s">
        <v>335</v>
      </c>
      <c r="N21" s="4" t="str">
        <f>VLOOKUP(H21,Clientes!B:D,3,)</f>
        <v>BNP PARIBAS ASSET MANAGEMENT BRASIL LTDA</v>
      </c>
    </row>
    <row r="22" spans="1:14" hidden="1" x14ac:dyDescent="0.25">
      <c r="A22" s="4" t="str">
        <f t="shared" si="0"/>
        <v>DESPESA DE REPRESENTAÇÃO - ALMOÇO-TRADER-LEONARDO LOCATELLI (112548-3688RM)</v>
      </c>
      <c r="B22" s="11">
        <v>46054</v>
      </c>
      <c r="C22" s="4">
        <v>817991</v>
      </c>
      <c r="D22" s="1" t="s">
        <v>666</v>
      </c>
      <c r="E22" s="14">
        <v>-444.73</v>
      </c>
      <c r="F22" s="5" t="s">
        <v>447</v>
      </c>
      <c r="G22" s="2">
        <v>46065</v>
      </c>
      <c r="H22" s="9">
        <v>16705</v>
      </c>
      <c r="I22" s="4"/>
      <c r="J22" s="4" t="s">
        <v>447</v>
      </c>
      <c r="K22" s="7" t="s">
        <v>700</v>
      </c>
      <c r="L22" s="1" t="s">
        <v>696</v>
      </c>
      <c r="M22" s="9" t="s">
        <v>335</v>
      </c>
      <c r="N22" s="4" t="str">
        <f>VLOOKUP(H22,Clientes!B:D,3,)</f>
        <v>BANCO BRADESCO S/A</v>
      </c>
    </row>
    <row r="23" spans="1:14" hidden="1" x14ac:dyDescent="0.25">
      <c r="A23" s="4" t="str">
        <f t="shared" si="0"/>
        <v>DESPESA DE REPRESENTAÇÃO - ALMOÇO-TRADER-MARCELO MACHADO  (142118-3688JV)</v>
      </c>
      <c r="B23" s="11">
        <v>46054</v>
      </c>
      <c r="C23" s="4">
        <v>817991</v>
      </c>
      <c r="D23" s="1" t="s">
        <v>459</v>
      </c>
      <c r="E23" s="14">
        <v>-1543.58</v>
      </c>
      <c r="F23" s="5" t="s">
        <v>447</v>
      </c>
      <c r="G23" s="2">
        <v>46065</v>
      </c>
      <c r="H23" s="9">
        <v>83001</v>
      </c>
      <c r="I23" s="4"/>
      <c r="J23" s="4" t="s">
        <v>447</v>
      </c>
      <c r="K23" s="7" t="s">
        <v>701</v>
      </c>
      <c r="L23" s="1" t="s">
        <v>702</v>
      </c>
      <c r="M23" s="9" t="s">
        <v>335</v>
      </c>
      <c r="N23" s="4" t="str">
        <f>VLOOKUP(H23,Clientes!B:D,3,)</f>
        <v>BRM CARBYNE GESTAO DE RECURSOS SA</v>
      </c>
    </row>
    <row r="24" spans="1:14" hidden="1" x14ac:dyDescent="0.25">
      <c r="A24" s="4" t="str">
        <f t="shared" si="0"/>
        <v>DESPESA DE REPRESENTAÇÃO - ALMOÇO-TRADER-GUSTAVO MAZIERO (140934-3688RP)</v>
      </c>
      <c r="B24" s="11">
        <v>46054</v>
      </c>
      <c r="C24" s="4">
        <v>817991</v>
      </c>
      <c r="D24" s="1" t="s">
        <v>482</v>
      </c>
      <c r="E24" s="14">
        <v>-395</v>
      </c>
      <c r="F24" s="5" t="s">
        <v>447</v>
      </c>
      <c r="G24" s="2">
        <v>46065</v>
      </c>
      <c r="H24" s="9">
        <v>82841</v>
      </c>
      <c r="I24" s="4"/>
      <c r="J24" s="4" t="s">
        <v>447</v>
      </c>
      <c r="K24" s="7" t="s">
        <v>703</v>
      </c>
      <c r="L24" s="1" t="s">
        <v>704</v>
      </c>
      <c r="M24" s="9" t="s">
        <v>335</v>
      </c>
      <c r="N24" s="4" t="str">
        <f>VLOOKUP(H24,Clientes!B:D,3,)</f>
        <v>LOGOS GESTAO DE RECURSOS LTDA.</v>
      </c>
    </row>
    <row r="25" spans="1:14" hidden="1" x14ac:dyDescent="0.25">
      <c r="A25" s="4" t="str">
        <f t="shared" si="0"/>
        <v>DESPESA DE REPRESENTAÇÃO - ALMOÇO-TRADER-RENATO THEODORO (140918-3688RP)</v>
      </c>
      <c r="B25" s="11">
        <v>46054</v>
      </c>
      <c r="C25" s="4">
        <v>817991</v>
      </c>
      <c r="D25" s="1" t="s">
        <v>482</v>
      </c>
      <c r="E25" s="14">
        <v>-557</v>
      </c>
      <c r="F25" s="5" t="s">
        <v>447</v>
      </c>
      <c r="G25" s="2">
        <v>46065</v>
      </c>
      <c r="H25" s="9">
        <v>95007</v>
      </c>
      <c r="I25" s="4"/>
      <c r="J25" s="4" t="s">
        <v>447</v>
      </c>
      <c r="K25" s="7" t="s">
        <v>705</v>
      </c>
      <c r="L25" s="1" t="s">
        <v>706</v>
      </c>
      <c r="M25" s="9" t="s">
        <v>335</v>
      </c>
      <c r="N25" s="4" t="str">
        <f>VLOOKUP(H25,Clientes!B:D,3,)</f>
        <v>BANCO BNP PARIBAS BRASIL S/A</v>
      </c>
    </row>
    <row r="26" spans="1:14" hidden="1" x14ac:dyDescent="0.25">
      <c r="A26" s="4" t="str">
        <f t="shared" si="0"/>
        <v>DESPESA DE REPRESENTAÇÃO - ALMOÇO-TRADER-SERGIO GUIMARÃES (170750-3688RU)</v>
      </c>
      <c r="B26" s="11">
        <v>46054</v>
      </c>
      <c r="C26" s="4">
        <v>817991</v>
      </c>
      <c r="D26" s="1" t="s">
        <v>652</v>
      </c>
      <c r="E26" s="14">
        <v>-629.41</v>
      </c>
      <c r="F26" s="5" t="s">
        <v>447</v>
      </c>
      <c r="G26" s="2">
        <v>46065</v>
      </c>
      <c r="H26" s="9">
        <v>79793</v>
      </c>
      <c r="I26" s="4"/>
      <c r="J26" s="4" t="s">
        <v>447</v>
      </c>
      <c r="K26" s="7" t="s">
        <v>707</v>
      </c>
      <c r="L26" s="1" t="s">
        <v>708</v>
      </c>
      <c r="M26" s="9" t="s">
        <v>335</v>
      </c>
      <c r="N26" s="4" t="str">
        <f>VLOOKUP(H26,Clientes!B:D,3,)</f>
        <v>EMERALD GESTAO DE INVESTIMENTOS SOCIEDADE UNIPESSOAL LTDA</v>
      </c>
    </row>
    <row r="27" spans="1:14" hidden="1" x14ac:dyDescent="0.25">
      <c r="A27" s="4" t="str">
        <f t="shared" si="0"/>
        <v>DESPESA DE REPRESENTAÇÃO - ALMOÇO-TRADER-NORBERTO SUZIGAN FONSECA ALVES (180413-3688FP)</v>
      </c>
      <c r="B27" s="11">
        <v>46054</v>
      </c>
      <c r="C27" s="4">
        <v>817991</v>
      </c>
      <c r="D27" s="1" t="s">
        <v>503</v>
      </c>
      <c r="E27" s="14">
        <v>-2297.4</v>
      </c>
      <c r="F27" s="5" t="s">
        <v>447</v>
      </c>
      <c r="G27" s="2">
        <v>46065</v>
      </c>
      <c r="H27" s="9">
        <v>82764</v>
      </c>
      <c r="I27" s="4"/>
      <c r="J27" s="4" t="s">
        <v>447</v>
      </c>
      <c r="K27" s="7" t="s">
        <v>709</v>
      </c>
      <c r="L27" s="1" t="s">
        <v>710</v>
      </c>
      <c r="M27" s="9" t="s">
        <v>335</v>
      </c>
      <c r="N27" s="4" t="str">
        <f>VLOOKUP(H27,Clientes!B:D,3,)</f>
        <v>REACH CAPITAL INVESTIMENTOS LTDA</v>
      </c>
    </row>
    <row r="28" spans="1:14" hidden="1" x14ac:dyDescent="0.25">
      <c r="A28" s="4" t="str">
        <f t="shared" si="0"/>
        <v>DESPESA DE REPRESENTAÇÃO - ALMOÇO-TRADER-RODRIGO NATALI (100354-3688FP)</v>
      </c>
      <c r="B28" s="11">
        <v>46054</v>
      </c>
      <c r="C28" s="4">
        <v>817991</v>
      </c>
      <c r="D28" s="1" t="s">
        <v>503</v>
      </c>
      <c r="E28" s="14">
        <v>-856.8</v>
      </c>
      <c r="F28" s="5" t="s">
        <v>447</v>
      </c>
      <c r="G28" s="2">
        <v>46065</v>
      </c>
      <c r="H28" s="9">
        <v>82554</v>
      </c>
      <c r="I28" s="4"/>
      <c r="J28" s="4" t="s">
        <v>447</v>
      </c>
      <c r="K28" s="7" t="s">
        <v>711</v>
      </c>
      <c r="L28" s="1" t="s">
        <v>712</v>
      </c>
      <c r="M28" s="9" t="s">
        <v>335</v>
      </c>
      <c r="N28" s="4" t="str">
        <f>VLOOKUP(H28,Clientes!B:D,3,)</f>
        <v>SKOPOS INVESTIMENTOS LTDA</v>
      </c>
    </row>
    <row r="29" spans="1:14" hidden="1" x14ac:dyDescent="0.25">
      <c r="A29" s="4" t="str">
        <f t="shared" si="0"/>
        <v>DESPESA DE REPRESENTAÇÃO - ALMOÇO-TRADER-ALEXANDRE CALDAS (152516-3688CM)</v>
      </c>
      <c r="B29" s="11">
        <v>46054</v>
      </c>
      <c r="C29" s="4">
        <v>817991</v>
      </c>
      <c r="D29" s="1" t="s">
        <v>621</v>
      </c>
      <c r="E29" s="14">
        <v>-426.3</v>
      </c>
      <c r="F29" s="5" t="s">
        <v>447</v>
      </c>
      <c r="G29" s="2">
        <v>46065</v>
      </c>
      <c r="H29" s="9">
        <v>125262</v>
      </c>
      <c r="I29" s="4"/>
      <c r="J29" s="4" t="s">
        <v>447</v>
      </c>
      <c r="K29" s="7" t="s">
        <v>713</v>
      </c>
      <c r="L29" s="1" t="s">
        <v>714</v>
      </c>
      <c r="M29" s="9" t="s">
        <v>335</v>
      </c>
      <c r="N29" s="4" t="str">
        <f>VLOOKUP(H29,Clientes!B:D,3,)</f>
        <v>FUNDACAO PETROBRAS DE SEGURIDADE SOCIAL PETROS</v>
      </c>
    </row>
    <row r="30" spans="1:14" hidden="1" x14ac:dyDescent="0.25">
      <c r="A30" s="4" t="str">
        <f t="shared" si="0"/>
        <v>DESPESA DE REPRESENTAÇÃO - ALMOÇO-TRADER-WILLIAM JUGEICK BUSSI (162956-3688NA)</v>
      </c>
      <c r="B30" s="11">
        <v>46054</v>
      </c>
      <c r="C30" s="4">
        <v>817991</v>
      </c>
      <c r="D30" s="1" t="s">
        <v>665</v>
      </c>
      <c r="E30" s="14">
        <v>-2243.0500000000002</v>
      </c>
      <c r="F30" s="5" t="s">
        <v>447</v>
      </c>
      <c r="G30" s="2">
        <v>46065</v>
      </c>
      <c r="H30" s="9">
        <v>79852</v>
      </c>
      <c r="I30" s="4"/>
      <c r="J30" s="4" t="s">
        <v>447</v>
      </c>
      <c r="K30" s="7" t="s">
        <v>715</v>
      </c>
      <c r="L30" s="1" t="s">
        <v>716</v>
      </c>
      <c r="M30" s="9" t="s">
        <v>335</v>
      </c>
      <c r="N30" s="4" t="str">
        <f>VLOOKUP(H30,Clientes!B:D,3,)</f>
        <v>SANTANDER BRASIL GESTAO DE RECURSOS LTDA</v>
      </c>
    </row>
    <row r="31" spans="1:14" hidden="1" x14ac:dyDescent="0.25">
      <c r="A31" s="4" t="str">
        <f t="shared" si="0"/>
        <v>DESPESA DE REPRESENTAÇÃO - ALMOÇO-TRADER-GIOVANNE TELES (180359-3688FB)</v>
      </c>
      <c r="B31" s="11">
        <v>46054</v>
      </c>
      <c r="C31" s="4">
        <v>817991</v>
      </c>
      <c r="D31" s="1" t="s">
        <v>475</v>
      </c>
      <c r="E31" s="14">
        <v>-3463.45</v>
      </c>
      <c r="F31" s="5" t="s">
        <v>447</v>
      </c>
      <c r="G31" s="2">
        <v>46065</v>
      </c>
      <c r="H31" s="9">
        <v>80195</v>
      </c>
      <c r="I31" s="4"/>
      <c r="J31" s="4" t="s">
        <v>447</v>
      </c>
      <c r="K31" s="7" t="s">
        <v>717</v>
      </c>
      <c r="L31" s="1" t="s">
        <v>583</v>
      </c>
      <c r="M31" s="9" t="s">
        <v>335</v>
      </c>
      <c r="N31" s="4" t="str">
        <f>VLOOKUP(H31,Clientes!B:D,3,)</f>
        <v>BANCO SANTANDER S/A (HISPANO)</v>
      </c>
    </row>
    <row r="32" spans="1:14" hidden="1" x14ac:dyDescent="0.25">
      <c r="A32" s="4" t="str">
        <f t="shared" si="0"/>
        <v>DESPESA DE REPRESENTAÇÃO - ALMOÇO TAG INVESTIMENTOS -TRADER-GUSTAVO  (142238-3688GF)</v>
      </c>
      <c r="B32" s="11">
        <v>46054</v>
      </c>
      <c r="C32" s="4">
        <v>817991</v>
      </c>
      <c r="D32" s="1" t="s">
        <v>615</v>
      </c>
      <c r="E32" s="14">
        <v>-1067.05</v>
      </c>
      <c r="F32" s="5" t="s">
        <v>447</v>
      </c>
      <c r="G32" s="2">
        <v>46072</v>
      </c>
      <c r="H32" s="9">
        <v>1170</v>
      </c>
      <c r="I32" s="4"/>
      <c r="J32" s="4" t="s">
        <v>718</v>
      </c>
      <c r="K32" s="7" t="s">
        <v>719</v>
      </c>
      <c r="L32" s="1" t="s">
        <v>720</v>
      </c>
      <c r="M32" s="9" t="s">
        <v>335</v>
      </c>
      <c r="N32" s="4" t="str">
        <f>VLOOKUP(H32,Clientes!B:D,3,)</f>
        <v>BGC LIQUIDEZ DTVM LTDA</v>
      </c>
    </row>
    <row r="33" spans="1:14" hidden="1" x14ac:dyDescent="0.25">
      <c r="A33" s="4" t="str">
        <f t="shared" si="0"/>
        <v>DESPESA DE REPRESENTAÇÃO - ALMOÇO-TRADER-MARCELO KISHIMOTO (181853-3688PF)</v>
      </c>
      <c r="B33" s="11">
        <v>46054</v>
      </c>
      <c r="C33" s="4">
        <v>817991</v>
      </c>
      <c r="D33" s="1" t="s">
        <v>424</v>
      </c>
      <c r="E33" s="14">
        <v>-246.29</v>
      </c>
      <c r="F33" s="5" t="s">
        <v>447</v>
      </c>
      <c r="G33" s="2">
        <v>46072</v>
      </c>
      <c r="H33" s="9">
        <v>144310</v>
      </c>
      <c r="I33" s="4"/>
      <c r="J33" s="4" t="s">
        <v>447</v>
      </c>
      <c r="K33" s="7" t="s">
        <v>721</v>
      </c>
      <c r="L33" s="1" t="s">
        <v>722</v>
      </c>
      <c r="M33" s="9" t="s">
        <v>335</v>
      </c>
      <c r="N33" s="4" t="str">
        <f>VLOOKUP(H33,Clientes!B:D,3,)</f>
        <v>BW GESTAO DE INVESTIMENTOS LTDA</v>
      </c>
    </row>
    <row r="34" spans="1:14" hidden="1" x14ac:dyDescent="0.25">
      <c r="A34" s="4" t="str">
        <f t="shared" si="0"/>
        <v>DESPESA DE REPRESENTAÇÃO - HAPPY HOUR-TRADER-FILIPE SANTOS (170158-3688RU)</v>
      </c>
      <c r="B34" s="11">
        <v>46054</v>
      </c>
      <c r="C34" s="4">
        <v>817991</v>
      </c>
      <c r="D34" s="1" t="s">
        <v>652</v>
      </c>
      <c r="E34" s="14">
        <v>-3249.88</v>
      </c>
      <c r="F34" s="5" t="s">
        <v>387</v>
      </c>
      <c r="G34" s="2">
        <v>46072</v>
      </c>
      <c r="H34" s="9">
        <v>79956</v>
      </c>
      <c r="I34" s="4"/>
      <c r="J34" s="4" t="s">
        <v>485</v>
      </c>
      <c r="K34" s="7" t="s">
        <v>723</v>
      </c>
      <c r="L34" s="1" t="s">
        <v>724</v>
      </c>
      <c r="M34" s="9" t="s">
        <v>335</v>
      </c>
      <c r="N34" s="4" t="str">
        <f>VLOOKUP(H34,Clientes!B:D,3,)</f>
        <v>SUL AMERICA INVESTIMENTOS GESTORA DE RECURSOS S/A</v>
      </c>
    </row>
    <row r="35" spans="1:14" hidden="1" x14ac:dyDescent="0.25">
      <c r="A35" s="4" t="str">
        <f t="shared" si="0"/>
        <v>DESPESA DE REPRESENTAÇÃO - HAPPY HOUR-TRADER-THIAGO BALLARDINI (105508-3688FC)</v>
      </c>
      <c r="B35" s="11">
        <v>46054</v>
      </c>
      <c r="C35" s="4">
        <v>817991</v>
      </c>
      <c r="D35" s="1" t="s">
        <v>480</v>
      </c>
      <c r="E35" s="14">
        <v>-1000</v>
      </c>
      <c r="F35" s="5" t="s">
        <v>387</v>
      </c>
      <c r="G35" s="2">
        <v>46072</v>
      </c>
      <c r="H35" s="9">
        <v>79978</v>
      </c>
      <c r="I35" s="4"/>
      <c r="J35" s="4" t="s">
        <v>485</v>
      </c>
      <c r="K35" s="7" t="s">
        <v>725</v>
      </c>
      <c r="L35" s="1" t="s">
        <v>726</v>
      </c>
      <c r="M35" s="9" t="s">
        <v>335</v>
      </c>
      <c r="N35" s="4" t="str">
        <f>VLOOKUP(H35,Clientes!B:D,3,)</f>
        <v>CREDIT SUISSE (BRASIL) S/A CTVM</v>
      </c>
    </row>
    <row r="36" spans="1:14" hidden="1" x14ac:dyDescent="0.25">
      <c r="A36" s="4" t="str">
        <f t="shared" si="0"/>
        <v>DESPESA DE REPRESENTAÇÃO - ENTREGA DAS AMOSTRAS E RETIRADA DOS BONÉS E CAMISETAS - KART-SALES-JOSE ANTONIO DEZENE JUNIOR (AGENDA 40420)</v>
      </c>
      <c r="B36" s="11">
        <v>46054</v>
      </c>
      <c r="C36" s="4">
        <v>817991</v>
      </c>
      <c r="D36" s="1" t="s">
        <v>428</v>
      </c>
      <c r="E36" s="14">
        <v>-180</v>
      </c>
      <c r="F36" s="5" t="s">
        <v>387</v>
      </c>
      <c r="G36" s="2">
        <v>46072</v>
      </c>
      <c r="H36" s="9">
        <v>1170</v>
      </c>
      <c r="I36" s="4"/>
      <c r="J36" s="4" t="s">
        <v>1234</v>
      </c>
      <c r="K36" s="7" t="s">
        <v>727</v>
      </c>
      <c r="L36" s="1" t="s">
        <v>428</v>
      </c>
      <c r="M36" s="9" t="s">
        <v>468</v>
      </c>
      <c r="N36" s="4" t="str">
        <f>VLOOKUP(H36,Clientes!B:D,3,)</f>
        <v>BGC LIQUIDEZ DTVM LTDA</v>
      </c>
    </row>
    <row r="37" spans="1:14" hidden="1" x14ac:dyDescent="0.25">
      <c r="A37" s="4" t="str">
        <f t="shared" si="0"/>
        <v>DESPESA DE REPRESENTAÇÃO - HAPPY HOUR-TRADER-DANIEL ZANIN DELAGO (104210-3688FC)</v>
      </c>
      <c r="B37" s="11">
        <v>46054</v>
      </c>
      <c r="C37" s="4">
        <v>817991</v>
      </c>
      <c r="D37" s="1" t="s">
        <v>480</v>
      </c>
      <c r="E37" s="14">
        <v>-5196.43</v>
      </c>
      <c r="F37" s="5" t="s">
        <v>387</v>
      </c>
      <c r="G37" s="2">
        <v>46072</v>
      </c>
      <c r="H37" s="9">
        <v>15781</v>
      </c>
      <c r="I37" s="4"/>
      <c r="J37" s="4" t="s">
        <v>485</v>
      </c>
      <c r="K37" s="7" t="s">
        <v>728</v>
      </c>
      <c r="L37" s="1" t="s">
        <v>456</v>
      </c>
      <c r="M37" s="9" t="s">
        <v>335</v>
      </c>
      <c r="N37" s="4" t="str">
        <f>VLOOKUP(H37,Clientes!B:D,3,)</f>
        <v>BANCO SAFRA S/A</v>
      </c>
    </row>
    <row r="38" spans="1:14" hidden="1" x14ac:dyDescent="0.25">
      <c r="A38" s="4" t="str">
        <f t="shared" si="0"/>
        <v>DESPESA DE REPRESENTAÇÃO - ALMOÇO-DIRETOR DE OPERAÇÕES-FABIO MAEDA (105218-3688JL)</v>
      </c>
      <c r="B38" s="11">
        <v>46054</v>
      </c>
      <c r="C38" s="4">
        <v>817991</v>
      </c>
      <c r="D38" s="1" t="s">
        <v>614</v>
      </c>
      <c r="E38" s="14">
        <v>-648.62</v>
      </c>
      <c r="F38" s="5" t="s">
        <v>447</v>
      </c>
      <c r="G38" s="2">
        <v>46079</v>
      </c>
      <c r="H38" s="9">
        <v>81235</v>
      </c>
      <c r="I38" s="4"/>
      <c r="J38" s="4" t="s">
        <v>447</v>
      </c>
      <c r="K38" s="7" t="s">
        <v>729</v>
      </c>
      <c r="L38" s="1" t="s">
        <v>730</v>
      </c>
      <c r="M38" s="9" t="s">
        <v>731</v>
      </c>
      <c r="N38" s="4" t="e">
        <f>VLOOKUP(H38,Clientes!B:D,3,)</f>
        <v>#N/A</v>
      </c>
    </row>
    <row r="39" spans="1:14" hidden="1" x14ac:dyDescent="0.25">
      <c r="A39" s="4" t="str">
        <f t="shared" si="0"/>
        <v>DESPESA DE REPRESENTAÇÃO - ALMOÇO-TRADER-LUIZ OTAVIO MARQUES CALOBA (165507-3688DG)</v>
      </c>
      <c r="B39" s="11">
        <v>46054</v>
      </c>
      <c r="C39" s="4">
        <v>817991</v>
      </c>
      <c r="D39" s="1" t="s">
        <v>516</v>
      </c>
      <c r="E39" s="14">
        <v>-935.41</v>
      </c>
      <c r="F39" s="5" t="s">
        <v>447</v>
      </c>
      <c r="G39" s="2">
        <v>46079</v>
      </c>
      <c r="H39" s="9">
        <v>79931</v>
      </c>
      <c r="I39" s="4"/>
      <c r="J39" s="4" t="s">
        <v>447</v>
      </c>
      <c r="K39" s="7" t="s">
        <v>732</v>
      </c>
      <c r="L39" s="1" t="s">
        <v>733</v>
      </c>
      <c r="M39" s="9" t="s">
        <v>335</v>
      </c>
      <c r="N39" s="4" t="str">
        <f>VLOOKUP(H39,Clientes!B:D,3,)</f>
        <v>SPX GESTAO DE RECURSOS LTDA</v>
      </c>
    </row>
    <row r="40" spans="1:14" hidden="1" x14ac:dyDescent="0.25">
      <c r="A40" s="4" t="str">
        <f t="shared" si="0"/>
        <v>DESPESA DE REPRESENTAÇÃO - ALMOÇO-TRADER-THIAGO DIAS MARINHEIRO (165918-3688DG)</v>
      </c>
      <c r="B40" s="11">
        <v>46054</v>
      </c>
      <c r="C40" s="4">
        <v>817991</v>
      </c>
      <c r="D40" s="1" t="s">
        <v>516</v>
      </c>
      <c r="E40" s="14">
        <v>-878.01</v>
      </c>
      <c r="F40" s="5" t="s">
        <v>447</v>
      </c>
      <c r="G40" s="2">
        <v>46079</v>
      </c>
      <c r="H40" s="9">
        <v>81259</v>
      </c>
      <c r="I40" s="4"/>
      <c r="J40" s="4" t="s">
        <v>447</v>
      </c>
      <c r="K40" s="7" t="s">
        <v>734</v>
      </c>
      <c r="L40" s="1" t="s">
        <v>735</v>
      </c>
      <c r="M40" s="9" t="s">
        <v>335</v>
      </c>
      <c r="N40" s="4" t="str">
        <f>VLOOKUP(H40,Clientes!B:D,3,)</f>
        <v>GOLDMAN SACHS DO BRASIL BANCO MULTIPLO S/A</v>
      </c>
    </row>
    <row r="41" spans="1:14" hidden="1" x14ac:dyDescent="0.25">
      <c r="A41" s="4" t="str">
        <f t="shared" si="0"/>
        <v>DESPESA DE REPRESENTAÇÃO - HAPPY HOUR-TRADER-MATHEUS BRITO  (164251-3688RU)</v>
      </c>
      <c r="B41" s="11">
        <v>46054</v>
      </c>
      <c r="C41" s="4">
        <v>817991</v>
      </c>
      <c r="D41" s="1" t="s">
        <v>652</v>
      </c>
      <c r="E41" s="14">
        <v>-1233.96</v>
      </c>
      <c r="F41" s="5" t="s">
        <v>387</v>
      </c>
      <c r="G41" s="2">
        <v>46079</v>
      </c>
      <c r="H41" s="9">
        <v>82781</v>
      </c>
      <c r="I41" s="4"/>
      <c r="J41" s="4" t="s">
        <v>485</v>
      </c>
      <c r="K41" s="7" t="s">
        <v>736</v>
      </c>
      <c r="L41" s="1" t="s">
        <v>737</v>
      </c>
      <c r="M41" s="9" t="s">
        <v>335</v>
      </c>
      <c r="N41" s="4" t="str">
        <f>VLOOKUP(H41,Clientes!B:D,3,)</f>
        <v>BTG PACTUAL ASSET MANAGEMENT SA DTVM</v>
      </c>
    </row>
    <row r="42" spans="1:14" hidden="1" x14ac:dyDescent="0.25">
      <c r="A42" s="4" t="str">
        <f t="shared" si="0"/>
        <v>DESPESA DE REPRESENTAÇÃO - HAPPY HOUR-TRADER-LEONARDO MASSAHIKO NAKAJIMA (164638-3688RU)</v>
      </c>
      <c r="B42" s="11">
        <v>46054</v>
      </c>
      <c r="C42" s="4">
        <v>817991</v>
      </c>
      <c r="D42" s="1" t="s">
        <v>652</v>
      </c>
      <c r="E42" s="14">
        <v>-5948.32</v>
      </c>
      <c r="F42" s="5" t="s">
        <v>387</v>
      </c>
      <c r="G42" s="2">
        <v>46079</v>
      </c>
      <c r="H42" s="9">
        <v>81500</v>
      </c>
      <c r="I42" s="4"/>
      <c r="J42" s="4" t="s">
        <v>485</v>
      </c>
      <c r="K42" s="7" t="s">
        <v>738</v>
      </c>
      <c r="L42" s="1" t="s">
        <v>553</v>
      </c>
      <c r="M42" s="9" t="s">
        <v>335</v>
      </c>
      <c r="N42" s="4" t="str">
        <f>VLOOKUP(H42,Clientes!B:D,3,)</f>
        <v>PORTO SEGURO INVESTIMENTOS LTDA</v>
      </c>
    </row>
    <row r="43" spans="1:14" hidden="1" x14ac:dyDescent="0.25">
      <c r="A43" s="4" t="str">
        <f t="shared" si="0"/>
        <v>DESPESA DE REPRESENTAÇÃO - JANTAR-TRADER-THALITA SOARES (130406-3688EC)</v>
      </c>
      <c r="B43" s="11">
        <v>46054</v>
      </c>
      <c r="C43" s="4">
        <v>817991</v>
      </c>
      <c r="D43" s="1" t="s">
        <v>378</v>
      </c>
      <c r="E43" s="14">
        <v>-7180.45</v>
      </c>
      <c r="F43" s="5" t="s">
        <v>380</v>
      </c>
      <c r="G43" s="2">
        <v>46079</v>
      </c>
      <c r="H43" s="9">
        <v>80769</v>
      </c>
      <c r="I43" s="4"/>
      <c r="J43" s="4" t="s">
        <v>380</v>
      </c>
      <c r="K43" s="7" t="s">
        <v>739</v>
      </c>
      <c r="L43" s="1" t="s">
        <v>740</v>
      </c>
      <c r="M43" s="9" t="s">
        <v>335</v>
      </c>
      <c r="N43" s="4" t="str">
        <f>VLOOKUP(H43,Clientes!B:D,3,)</f>
        <v>BANCO XP S/A</v>
      </c>
    </row>
    <row r="44" spans="1:14" hidden="1" x14ac:dyDescent="0.25">
      <c r="A44" s="4" t="str">
        <f t="shared" si="0"/>
        <v>DESPESA DE REPRESENTAÇÃO - CONDOMINIO E IPTU - FLAT-BROKER-CHRISTIANO MARCONDES DE BARROS LIMA (AGENDA 40165)</v>
      </c>
      <c r="B44" s="11">
        <v>46054</v>
      </c>
      <c r="C44" s="4">
        <v>817991</v>
      </c>
      <c r="D44" s="1" t="s">
        <v>60</v>
      </c>
      <c r="E44" s="14">
        <v>-788</v>
      </c>
      <c r="F44" s="5" t="s">
        <v>667</v>
      </c>
      <c r="G44" s="2">
        <v>46056</v>
      </c>
      <c r="H44" s="9">
        <v>1170</v>
      </c>
      <c r="I44" s="4"/>
      <c r="J44" s="4" t="s">
        <v>429</v>
      </c>
      <c r="K44" s="7" t="s">
        <v>741</v>
      </c>
      <c r="L44" s="1" t="s">
        <v>60</v>
      </c>
      <c r="M44" s="9" t="s">
        <v>2</v>
      </c>
      <c r="N44" s="4" t="str">
        <f>VLOOKUP(H44,Clientes!B:D,3,)</f>
        <v>BGC LIQUIDEZ DTVM LTDA</v>
      </c>
    </row>
    <row r="45" spans="1:14" hidden="1" x14ac:dyDescent="0.25">
      <c r="A45" s="4" t="str">
        <f t="shared" si="0"/>
        <v>DESPESA DE REPRESENTAÇÃO - CONDOMINIO E IPTU - FLAT-BROKER-JOSE MAURICIO GOMES TEIXEIRA (AGENDA 40165)</v>
      </c>
      <c r="B45" s="11">
        <v>46054</v>
      </c>
      <c r="C45" s="4">
        <v>817991</v>
      </c>
      <c r="D45" s="1" t="s">
        <v>23</v>
      </c>
      <c r="E45" s="14">
        <v>-788</v>
      </c>
      <c r="F45" s="5" t="s">
        <v>667</v>
      </c>
      <c r="G45" s="2">
        <v>46056</v>
      </c>
      <c r="H45" s="9">
        <v>1170</v>
      </c>
      <c r="I45" s="4"/>
      <c r="J45" s="4" t="s">
        <v>429</v>
      </c>
      <c r="K45" s="7" t="s">
        <v>741</v>
      </c>
      <c r="L45" s="1" t="s">
        <v>23</v>
      </c>
      <c r="M45" s="9" t="s">
        <v>2</v>
      </c>
      <c r="N45" s="4" t="str">
        <f>VLOOKUP(H45,Clientes!B:D,3,)</f>
        <v>BGC LIQUIDEZ DTVM LTDA</v>
      </c>
    </row>
    <row r="46" spans="1:14" hidden="1" x14ac:dyDescent="0.25">
      <c r="A46" s="4" t="str">
        <f t="shared" si="0"/>
        <v>DESPESA DE REPRESENTAÇÃO - CONDOMINIO E IPTU - FLAT-GESTOR-ANDRE HALL ACCIOLY (AGENDA 40165)</v>
      </c>
      <c r="B46" s="11">
        <v>46054</v>
      </c>
      <c r="C46" s="4">
        <v>817991</v>
      </c>
      <c r="D46" s="1" t="s">
        <v>423</v>
      </c>
      <c r="E46" s="14">
        <v>-1576</v>
      </c>
      <c r="F46" s="5" t="s">
        <v>667</v>
      </c>
      <c r="G46" s="2">
        <v>46056</v>
      </c>
      <c r="H46" s="9">
        <v>1170</v>
      </c>
      <c r="I46" s="4"/>
      <c r="J46" s="4" t="s">
        <v>429</v>
      </c>
      <c r="K46" s="7" t="s">
        <v>741</v>
      </c>
      <c r="L46" s="1" t="s">
        <v>742</v>
      </c>
      <c r="M46" s="9" t="s">
        <v>598</v>
      </c>
      <c r="N46" s="4" t="str">
        <f>VLOOKUP(H46,Clientes!B:D,3,)</f>
        <v>BGC LIQUIDEZ DTVM LTDA</v>
      </c>
    </row>
    <row r="47" spans="1:14" hidden="1" x14ac:dyDescent="0.25">
      <c r="A47" s="4" t="str">
        <f t="shared" si="0"/>
        <v>DESPESA DE REPRESENTAÇÃO - ALUGUEL FLAT -BROKER-CHRISTIANO MARCONDES DE BARROS LIMA (AGENDA 40163)</v>
      </c>
      <c r="B47" s="11">
        <v>46054</v>
      </c>
      <c r="C47" s="4">
        <v>817991</v>
      </c>
      <c r="D47" s="1" t="s">
        <v>60</v>
      </c>
      <c r="E47" s="14">
        <v>-1287.1324999999999</v>
      </c>
      <c r="F47" s="5" t="s">
        <v>667</v>
      </c>
      <c r="G47" s="2">
        <v>46056</v>
      </c>
      <c r="H47" s="9">
        <v>1170</v>
      </c>
      <c r="I47" s="4"/>
      <c r="J47" s="4" t="s">
        <v>425</v>
      </c>
      <c r="K47" s="7" t="s">
        <v>743</v>
      </c>
      <c r="L47" s="1" t="s">
        <v>60</v>
      </c>
      <c r="M47" s="9" t="s">
        <v>2</v>
      </c>
      <c r="N47" s="4" t="str">
        <f>VLOOKUP(H47,Clientes!B:D,3,)</f>
        <v>BGC LIQUIDEZ DTVM LTDA</v>
      </c>
    </row>
    <row r="48" spans="1:14" hidden="1" x14ac:dyDescent="0.25">
      <c r="A48" s="4" t="str">
        <f t="shared" si="0"/>
        <v>DESPESA DE REPRESENTAÇÃO - ALUGUEL FLAT -BROKER-JOSE MAURICIO GOMES TEIXEIRA (AGENDA 40163)</v>
      </c>
      <c r="B48" s="11">
        <v>46054</v>
      </c>
      <c r="C48" s="4">
        <v>817991</v>
      </c>
      <c r="D48" s="1" t="s">
        <v>23</v>
      </c>
      <c r="E48" s="14">
        <v>-1287.1324999999999</v>
      </c>
      <c r="F48" s="5" t="s">
        <v>667</v>
      </c>
      <c r="G48" s="2">
        <v>46056</v>
      </c>
      <c r="H48" s="9">
        <v>1170</v>
      </c>
      <c r="I48" s="4"/>
      <c r="J48" s="4" t="s">
        <v>425</v>
      </c>
      <c r="K48" s="7" t="s">
        <v>743</v>
      </c>
      <c r="L48" s="1" t="s">
        <v>23</v>
      </c>
      <c r="M48" s="9" t="s">
        <v>2</v>
      </c>
      <c r="N48" s="4" t="str">
        <f>VLOOKUP(H48,Clientes!B:D,3,)</f>
        <v>BGC LIQUIDEZ DTVM LTDA</v>
      </c>
    </row>
    <row r="49" spans="1:14" hidden="1" x14ac:dyDescent="0.25">
      <c r="A49" s="4" t="str">
        <f t="shared" si="0"/>
        <v>DESPESA DE REPRESENTAÇÃO - ALUGUEL FLAT -GESTOR-ANDRE HALL ACCIOLY (AGENDA 40163)</v>
      </c>
      <c r="B49" s="11">
        <v>46054</v>
      </c>
      <c r="C49" s="4">
        <v>817991</v>
      </c>
      <c r="D49" s="1" t="s">
        <v>423</v>
      </c>
      <c r="E49" s="14">
        <v>-2574.2649999999999</v>
      </c>
      <c r="F49" s="5" t="s">
        <v>667</v>
      </c>
      <c r="G49" s="2">
        <v>46056</v>
      </c>
      <c r="H49" s="9">
        <v>1170</v>
      </c>
      <c r="I49" s="4"/>
      <c r="J49" s="4" t="s">
        <v>425</v>
      </c>
      <c r="K49" s="7" t="s">
        <v>743</v>
      </c>
      <c r="L49" s="1" t="s">
        <v>742</v>
      </c>
      <c r="M49" s="9" t="s">
        <v>598</v>
      </c>
      <c r="N49" s="4" t="str">
        <f>VLOOKUP(H49,Clientes!B:D,3,)</f>
        <v>BGC LIQUIDEZ DTVM LTDA</v>
      </c>
    </row>
    <row r="50" spans="1:14" hidden="1" x14ac:dyDescent="0.25">
      <c r="A50" s="4" t="str">
        <f t="shared" si="0"/>
        <v>DESPESA DE REPRESENTAÇÃO - PASSAGEM BRASILIA X SÃO PAULO-CONSULTORA-CLAUDIA TAVARES FERNANDES (AGENDA 40042)</v>
      </c>
      <c r="B50" s="11">
        <v>46054</v>
      </c>
      <c r="C50" s="4">
        <v>817991</v>
      </c>
      <c r="D50" s="1" t="s">
        <v>539</v>
      </c>
      <c r="E50" s="14">
        <v>-3648.48</v>
      </c>
      <c r="F50" s="5" t="s">
        <v>388</v>
      </c>
      <c r="G50" s="2">
        <v>46058</v>
      </c>
      <c r="H50" s="9">
        <v>1170</v>
      </c>
      <c r="I50" s="4"/>
      <c r="J50" s="4" t="s">
        <v>542</v>
      </c>
      <c r="K50" s="7" t="s">
        <v>744</v>
      </c>
      <c r="L50" s="1" t="s">
        <v>539</v>
      </c>
      <c r="M50" s="9" t="s">
        <v>654</v>
      </c>
      <c r="N50" s="4" t="str">
        <f>VLOOKUP(H50,Clientes!B:D,3,)</f>
        <v>BGC LIQUIDEZ DTVM LTDA</v>
      </c>
    </row>
    <row r="51" spans="1:14" hidden="1" x14ac:dyDescent="0.25">
      <c r="A51" s="4" t="str">
        <f t="shared" si="0"/>
        <v>DESPESA DE REPRESENTAÇÃO - 1/2 COMPRA DE BONÉS E CAMISETAS - KART-SALES-JOSE ANTONIO DEZENE JUNIOR (AGENDA 40280)</v>
      </c>
      <c r="B51" s="11">
        <v>46054</v>
      </c>
      <c r="C51" s="4">
        <v>817991</v>
      </c>
      <c r="D51" s="1" t="s">
        <v>428</v>
      </c>
      <c r="E51" s="14">
        <v>-2200</v>
      </c>
      <c r="F51" s="5" t="s">
        <v>387</v>
      </c>
      <c r="G51" s="2">
        <v>46063</v>
      </c>
      <c r="H51" s="9">
        <v>1170</v>
      </c>
      <c r="I51" s="4"/>
      <c r="J51" s="4" t="s">
        <v>1235</v>
      </c>
      <c r="K51" s="7" t="s">
        <v>745</v>
      </c>
      <c r="L51" s="1" t="s">
        <v>428</v>
      </c>
      <c r="M51" s="9" t="s">
        <v>468</v>
      </c>
      <c r="N51" s="4" t="str">
        <f>VLOOKUP(H51,Clientes!B:D,3,)</f>
        <v>BGC LIQUIDEZ DTVM LTDA</v>
      </c>
    </row>
    <row r="52" spans="1:14" hidden="1" x14ac:dyDescent="0.25">
      <c r="A52" s="4" t="str">
        <f t="shared" si="0"/>
        <v>DESPESA DE REPRESENTAÇÃO - COMPRA DE TROFÉUS E MEDALHAS - KART -SALES-JOSE ANTONIO DEZENE JUNIOR (AGENDA 40318)</v>
      </c>
      <c r="B52" s="11">
        <v>46054</v>
      </c>
      <c r="C52" s="4">
        <v>817991</v>
      </c>
      <c r="D52" s="1" t="s">
        <v>428</v>
      </c>
      <c r="E52" s="14">
        <v>-942.84</v>
      </c>
      <c r="F52" s="5" t="s">
        <v>387</v>
      </c>
      <c r="G52" s="2">
        <v>46064</v>
      </c>
      <c r="H52" s="9">
        <v>1170</v>
      </c>
      <c r="I52" s="4"/>
      <c r="J52" s="4" t="s">
        <v>1236</v>
      </c>
      <c r="K52" s="7" t="s">
        <v>746</v>
      </c>
      <c r="L52" s="1" t="s">
        <v>428</v>
      </c>
      <c r="M52" s="9" t="s">
        <v>468</v>
      </c>
      <c r="N52" s="4" t="str">
        <f>VLOOKUP(H52,Clientes!B:D,3,)</f>
        <v>BGC LIQUIDEZ DTVM LTDA</v>
      </c>
    </row>
    <row r="53" spans="1:14" hidden="1" x14ac:dyDescent="0.25">
      <c r="A53" s="4" t="str">
        <f t="shared" si="0"/>
        <v>DESPESA DE REPRESENTAÇÃO - PASSAGEM SÃO PAULO X NOVA YORK -BROKER-CARLOS BASILE (AGENDA 40200)</v>
      </c>
      <c r="B53" s="11">
        <v>46054</v>
      </c>
      <c r="C53" s="4">
        <v>817991</v>
      </c>
      <c r="D53" s="1" t="s">
        <v>132</v>
      </c>
      <c r="E53" s="14">
        <v>-9118.7999999999993</v>
      </c>
      <c r="F53" s="5" t="s">
        <v>388</v>
      </c>
      <c r="G53" s="2">
        <v>46065</v>
      </c>
      <c r="H53" s="9">
        <v>1170</v>
      </c>
      <c r="I53" s="4"/>
      <c r="J53" s="4" t="s">
        <v>747</v>
      </c>
      <c r="K53" s="7" t="s">
        <v>748</v>
      </c>
      <c r="L53" s="1" t="s">
        <v>132</v>
      </c>
      <c r="M53" s="9" t="s">
        <v>2</v>
      </c>
      <c r="N53" s="4" t="str">
        <f>VLOOKUP(H53,Clientes!B:D,3,)</f>
        <v>BGC LIQUIDEZ DTVM LTDA</v>
      </c>
    </row>
    <row r="54" spans="1:14" hidden="1" x14ac:dyDescent="0.25">
      <c r="A54" s="4" t="str">
        <f t="shared" si="0"/>
        <v>DESPESA DE REPRESENTAÇÃO - PASSAGEM SÃO PAULO X NOVA YORK -BROKER-RODRIGO BETTI MARQUES (AGENDA 40200)</v>
      </c>
      <c r="B54" s="11">
        <v>46054</v>
      </c>
      <c r="C54" s="4">
        <v>817991</v>
      </c>
      <c r="D54" s="1" t="s">
        <v>668</v>
      </c>
      <c r="E54" s="14">
        <v>-9018</v>
      </c>
      <c r="F54" s="5" t="s">
        <v>388</v>
      </c>
      <c r="G54" s="2">
        <v>46065</v>
      </c>
      <c r="H54" s="9">
        <v>1170</v>
      </c>
      <c r="I54" s="4"/>
      <c r="J54" s="4" t="s">
        <v>747</v>
      </c>
      <c r="K54" s="7" t="s">
        <v>748</v>
      </c>
      <c r="L54" s="1" t="s">
        <v>668</v>
      </c>
      <c r="M54" s="9" t="s">
        <v>2</v>
      </c>
      <c r="N54" s="4" t="str">
        <f>VLOOKUP(H54,Clientes!B:D,3,)</f>
        <v>BGC LIQUIDEZ DTVM LTDA</v>
      </c>
    </row>
    <row r="55" spans="1:14" hidden="1" x14ac:dyDescent="0.25">
      <c r="A55" s="4" t="str">
        <f t="shared" si="0"/>
        <v>DESPESA DE REPRESENTAÇÃO - PASSAGEM SÃO PAULO x MONTEVIDÉO-CONSULTORA-CLAUDIA TAVARES FERNANDES (AGENDA 40201)</v>
      </c>
      <c r="B55" s="11">
        <v>46054</v>
      </c>
      <c r="C55" s="4">
        <v>817991</v>
      </c>
      <c r="D55" s="1" t="s">
        <v>539</v>
      </c>
      <c r="E55" s="14">
        <v>-1344.74</v>
      </c>
      <c r="F55" s="5" t="s">
        <v>388</v>
      </c>
      <c r="G55" s="2">
        <v>46065</v>
      </c>
      <c r="H55" s="9">
        <v>1170</v>
      </c>
      <c r="I55" s="4"/>
      <c r="J55" s="4" t="s">
        <v>749</v>
      </c>
      <c r="K55" s="7" t="s">
        <v>750</v>
      </c>
      <c r="L55" s="1" t="s">
        <v>539</v>
      </c>
      <c r="M55" s="9" t="s">
        <v>654</v>
      </c>
      <c r="N55" s="4" t="str">
        <f>VLOOKUP(H55,Clientes!B:D,3,)</f>
        <v>BGC LIQUIDEZ DTVM LTDA</v>
      </c>
    </row>
    <row r="56" spans="1:14" hidden="1" x14ac:dyDescent="0.25">
      <c r="A56" s="4" t="str">
        <f t="shared" si="0"/>
        <v>DESPESA DE REPRESENTAÇÃO - HOSPEDAGEM NO RADISSON BLU SÃO PAULO -CONSULTORA-CLAUDIA TAVARES FERNANDES (AGENDA 40197)</v>
      </c>
      <c r="B56" s="11">
        <v>46054</v>
      </c>
      <c r="C56" s="4">
        <v>817991</v>
      </c>
      <c r="D56" s="1" t="s">
        <v>539</v>
      </c>
      <c r="E56" s="14">
        <v>-1356.8</v>
      </c>
      <c r="F56" s="5" t="s">
        <v>667</v>
      </c>
      <c r="G56" s="2">
        <v>46065</v>
      </c>
      <c r="H56" s="9">
        <v>1170</v>
      </c>
      <c r="I56" s="4"/>
      <c r="J56" s="4" t="s">
        <v>751</v>
      </c>
      <c r="K56" s="7" t="s">
        <v>752</v>
      </c>
      <c r="L56" s="1" t="s">
        <v>539</v>
      </c>
      <c r="M56" s="9" t="s">
        <v>654</v>
      </c>
      <c r="N56" s="4" t="str">
        <f>VLOOKUP(H56,Clientes!B:D,3,)</f>
        <v>BGC LIQUIDEZ DTVM LTDA</v>
      </c>
    </row>
    <row r="57" spans="1:14" hidden="1" x14ac:dyDescent="0.25">
      <c r="A57" s="4" t="str">
        <f t="shared" si="0"/>
        <v>DESPESA DE REPRESENTAÇÃO - 2/2 COMPRA DE BONÉS E CAMISETAS - KART-SALES-JOSE ANTONIO DEZENE JUNIOR (AGENDA 40328)</v>
      </c>
      <c r="B57" s="11">
        <v>46054</v>
      </c>
      <c r="C57" s="4">
        <v>817991</v>
      </c>
      <c r="D57" s="1" t="s">
        <v>428</v>
      </c>
      <c r="E57" s="14">
        <v>-2151</v>
      </c>
      <c r="F57" s="5" t="s">
        <v>387</v>
      </c>
      <c r="G57" s="2">
        <v>46065</v>
      </c>
      <c r="H57" s="9">
        <v>1170</v>
      </c>
      <c r="I57" s="4"/>
      <c r="J57" s="4" t="s">
        <v>1237</v>
      </c>
      <c r="K57" s="7" t="s">
        <v>753</v>
      </c>
      <c r="L57" s="1" t="s">
        <v>428</v>
      </c>
      <c r="M57" s="9" t="s">
        <v>468</v>
      </c>
      <c r="N57" s="4" t="str">
        <f>VLOOKUP(H57,Clientes!B:D,3,)</f>
        <v>BGC LIQUIDEZ DTVM LTDA</v>
      </c>
    </row>
    <row r="58" spans="1:14" hidden="1" x14ac:dyDescent="0.25">
      <c r="A58" s="4" t="str">
        <f t="shared" si="0"/>
        <v>DESPESA DE REPRESENTAÇÃO - HOSPEDAGEM FAIRMONT RIO DE JANEIRO -CEO-ERMINIO OLIVER LUCCI  (AGENDA 40196)</v>
      </c>
      <c r="B58" s="11">
        <v>46054</v>
      </c>
      <c r="C58" s="4">
        <v>817991</v>
      </c>
      <c r="D58" s="1" t="s">
        <v>650</v>
      </c>
      <c r="E58" s="14">
        <v>-4664.3999999999996</v>
      </c>
      <c r="F58" s="5" t="s">
        <v>667</v>
      </c>
      <c r="G58" s="2">
        <v>46065</v>
      </c>
      <c r="H58" s="9">
        <v>1170</v>
      </c>
      <c r="I58" s="4"/>
      <c r="J58" s="4" t="s">
        <v>754</v>
      </c>
      <c r="K58" s="7" t="s">
        <v>755</v>
      </c>
      <c r="L58" s="1" t="s">
        <v>669</v>
      </c>
      <c r="M58" s="9" t="s">
        <v>490</v>
      </c>
      <c r="N58" s="4" t="str">
        <f>VLOOKUP(H58,Clientes!B:D,3,)</f>
        <v>BGC LIQUIDEZ DTVM LTDA</v>
      </c>
    </row>
    <row r="59" spans="1:14" hidden="1" x14ac:dyDescent="0.25">
      <c r="A59" s="4" t="str">
        <f t="shared" si="0"/>
        <v>DESPESA DE REPRESENTAÇÃO - PASSAGEM SÃO PAULO X RIO DE JANEIRO-BROKER-ANDRE WATT VIANNA (AGENDA 40178)</v>
      </c>
      <c r="B59" s="11">
        <v>46054</v>
      </c>
      <c r="C59" s="4">
        <v>817991</v>
      </c>
      <c r="D59" s="1" t="s">
        <v>23</v>
      </c>
      <c r="E59" s="14">
        <v>-552.62</v>
      </c>
      <c r="F59" s="5" t="s">
        <v>388</v>
      </c>
      <c r="G59" s="2">
        <v>46066</v>
      </c>
      <c r="H59" s="9">
        <v>1170</v>
      </c>
      <c r="I59" s="4"/>
      <c r="J59" s="4" t="s">
        <v>756</v>
      </c>
      <c r="K59" s="7" t="s">
        <v>757</v>
      </c>
      <c r="L59" s="1" t="s">
        <v>670</v>
      </c>
      <c r="M59" s="9" t="s">
        <v>2</v>
      </c>
      <c r="N59" s="4" t="str">
        <f>VLOOKUP(H59,Clientes!B:D,3,)</f>
        <v>BGC LIQUIDEZ DTVM LTDA</v>
      </c>
    </row>
    <row r="60" spans="1:14" hidden="1" x14ac:dyDescent="0.25">
      <c r="A60" s="4" t="str">
        <f t="shared" si="0"/>
        <v>DESPESA DE REPRESENTAÇÃO - PASSAGEM SÃO PAULO X RIO DE JANEIRO-BROKER-FREDERICO PADILHA (AGENDA 40178)</v>
      </c>
      <c r="B60" s="11">
        <v>46054</v>
      </c>
      <c r="C60" s="4">
        <v>817991</v>
      </c>
      <c r="D60" s="1" t="s">
        <v>60</v>
      </c>
      <c r="E60" s="14">
        <v>-556.16999999999996</v>
      </c>
      <c r="F60" s="5" t="s">
        <v>388</v>
      </c>
      <c r="G60" s="2">
        <v>46066</v>
      </c>
      <c r="H60" s="9">
        <v>1170</v>
      </c>
      <c r="I60" s="4"/>
      <c r="J60" s="4" t="s">
        <v>756</v>
      </c>
      <c r="K60" s="7" t="s">
        <v>757</v>
      </c>
      <c r="L60" s="1" t="s">
        <v>497</v>
      </c>
      <c r="M60" s="9" t="s">
        <v>2</v>
      </c>
      <c r="N60" s="4" t="str">
        <f>VLOOKUP(H60,Clientes!B:D,3,)</f>
        <v>BGC LIQUIDEZ DTVM LTDA</v>
      </c>
    </row>
    <row r="61" spans="1:14" hidden="1" x14ac:dyDescent="0.25">
      <c r="A61" s="4" t="str">
        <f t="shared" si="0"/>
        <v>DESPESA DE REPRESENTAÇÃO - PASSAGEM SÃO PAULO X RIO DE JANEIRO-BROKER-FREDERICO PADILHA (AGENDA 40178)</v>
      </c>
      <c r="B61" s="11">
        <v>46054</v>
      </c>
      <c r="C61" s="4">
        <v>817991</v>
      </c>
      <c r="D61" s="1" t="s">
        <v>60</v>
      </c>
      <c r="E61" s="14">
        <v>-815.56</v>
      </c>
      <c r="F61" s="5" t="s">
        <v>388</v>
      </c>
      <c r="G61" s="2">
        <v>46066</v>
      </c>
      <c r="H61" s="9">
        <v>1170</v>
      </c>
      <c r="I61" s="4"/>
      <c r="J61" s="4" t="s">
        <v>756</v>
      </c>
      <c r="K61" s="7" t="s">
        <v>757</v>
      </c>
      <c r="L61" s="1" t="s">
        <v>497</v>
      </c>
      <c r="M61" s="9" t="s">
        <v>2</v>
      </c>
      <c r="N61" s="4" t="str">
        <f>VLOOKUP(H61,Clientes!B:D,3,)</f>
        <v>BGC LIQUIDEZ DTVM LTDA</v>
      </c>
    </row>
    <row r="62" spans="1:14" hidden="1" x14ac:dyDescent="0.25">
      <c r="A62" s="4" t="str">
        <f t="shared" si="0"/>
        <v>DESPESA DE REPRESENTAÇÃO - PASSAGEM SÃO PAULO X RIO DE JANEIRO-BROKER-CHRISTIANO MARCONDES DE BARROS LIMA (AGENDA 40178)</v>
      </c>
      <c r="B62" s="11">
        <v>46054</v>
      </c>
      <c r="C62" s="4">
        <v>817991</v>
      </c>
      <c r="D62" s="1" t="s">
        <v>60</v>
      </c>
      <c r="E62" s="14">
        <v>-620.55999999999995</v>
      </c>
      <c r="F62" s="5" t="s">
        <v>388</v>
      </c>
      <c r="G62" s="2">
        <v>46066</v>
      </c>
      <c r="H62" s="9">
        <v>1170</v>
      </c>
      <c r="I62" s="4"/>
      <c r="J62" s="4" t="s">
        <v>756</v>
      </c>
      <c r="K62" s="7" t="s">
        <v>757</v>
      </c>
      <c r="L62" s="1" t="s">
        <v>60</v>
      </c>
      <c r="M62" s="9" t="s">
        <v>2</v>
      </c>
      <c r="N62" s="4" t="str">
        <f>VLOOKUP(H62,Clientes!B:D,3,)</f>
        <v>BGC LIQUIDEZ DTVM LTDA</v>
      </c>
    </row>
    <row r="63" spans="1:14" hidden="1" x14ac:dyDescent="0.25">
      <c r="A63" s="4" t="str">
        <f t="shared" si="0"/>
        <v>DESPESA DE REPRESENTAÇÃO - PASSAGEM SÃO PAULO X RIO DE JANEIRO-BROKER-CHRISTIANO MARCONDES DE BARROS LIMA (AGENDA 40178)</v>
      </c>
      <c r="B63" s="11">
        <v>46054</v>
      </c>
      <c r="C63" s="4">
        <v>817991</v>
      </c>
      <c r="D63" s="1" t="s">
        <v>60</v>
      </c>
      <c r="E63" s="14">
        <v>-720.48</v>
      </c>
      <c r="F63" s="5" t="s">
        <v>388</v>
      </c>
      <c r="G63" s="2">
        <v>46066</v>
      </c>
      <c r="H63" s="9">
        <v>1170</v>
      </c>
      <c r="I63" s="4"/>
      <c r="J63" s="4" t="s">
        <v>756</v>
      </c>
      <c r="K63" s="7" t="s">
        <v>757</v>
      </c>
      <c r="L63" s="1" t="s">
        <v>60</v>
      </c>
      <c r="M63" s="9" t="s">
        <v>2</v>
      </c>
      <c r="N63" s="4" t="str">
        <f>VLOOKUP(H63,Clientes!B:D,3,)</f>
        <v>BGC LIQUIDEZ DTVM LTDA</v>
      </c>
    </row>
    <row r="64" spans="1:14" hidden="1" x14ac:dyDescent="0.25">
      <c r="A64" s="4" t="str">
        <f t="shared" si="0"/>
        <v>DESPESA DE REPRESENTAÇÃO - PASSAGEM SÃO PAULO X RIO DE JANEIRO-BROKER-BRUNO FERREIRA GOMES (AGENDA 40178)</v>
      </c>
      <c r="B64" s="11">
        <v>46054</v>
      </c>
      <c r="C64" s="4">
        <v>817991</v>
      </c>
      <c r="D64" s="1" t="s">
        <v>23</v>
      </c>
      <c r="E64" s="14">
        <v>-748.98</v>
      </c>
      <c r="F64" s="5" t="s">
        <v>388</v>
      </c>
      <c r="G64" s="2">
        <v>46066</v>
      </c>
      <c r="H64" s="9">
        <v>1170</v>
      </c>
      <c r="I64" s="4"/>
      <c r="J64" s="4" t="s">
        <v>756</v>
      </c>
      <c r="K64" s="7" t="s">
        <v>757</v>
      </c>
      <c r="L64" s="1" t="s">
        <v>664</v>
      </c>
      <c r="M64" s="9" t="s">
        <v>2</v>
      </c>
      <c r="N64" s="4" t="str">
        <f>VLOOKUP(H64,Clientes!B:D,3,)</f>
        <v>BGC LIQUIDEZ DTVM LTDA</v>
      </c>
    </row>
    <row r="65" spans="1:14" hidden="1" x14ac:dyDescent="0.25">
      <c r="A65" s="4" t="str">
        <f t="shared" si="0"/>
        <v>DESPESA DE REPRESENTAÇÃO - PASSAGEM SÃO PAULO X RIO DE JANEIRO-BROKER-MARYLIA CARVALHO PONCE (AGENDA 40178)</v>
      </c>
      <c r="B65" s="11">
        <v>46054</v>
      </c>
      <c r="C65" s="4">
        <v>817991</v>
      </c>
      <c r="D65" s="1" t="s">
        <v>477</v>
      </c>
      <c r="E65" s="14">
        <v>-708.56</v>
      </c>
      <c r="F65" s="5" t="s">
        <v>388</v>
      </c>
      <c r="G65" s="2">
        <v>46066</v>
      </c>
      <c r="H65" s="9">
        <v>1170</v>
      </c>
      <c r="I65" s="4"/>
      <c r="J65" s="4" t="s">
        <v>756</v>
      </c>
      <c r="K65" s="7" t="s">
        <v>757</v>
      </c>
      <c r="L65" s="1" t="s">
        <v>477</v>
      </c>
      <c r="M65" s="9" t="s">
        <v>2</v>
      </c>
      <c r="N65" s="4" t="str">
        <f>VLOOKUP(H65,Clientes!B:D,3,)</f>
        <v>BGC LIQUIDEZ DTVM LTDA</v>
      </c>
    </row>
    <row r="66" spans="1:14" hidden="1" x14ac:dyDescent="0.25">
      <c r="A66" s="4" t="str">
        <f t="shared" ref="A66:A106" si="1">CONCATENATE($J$1,J66,$I$3,M66,$I$3,L66,$I$1,K66,$I$2)</f>
        <v>DESPESA DE REPRESENTAÇÃO - PASSAGEM GUARULHOS X NOVA YORK -CEO-ERMINIO OLIVER LUCCI  (AGENDA 40200)</v>
      </c>
      <c r="B66" s="11">
        <v>46054</v>
      </c>
      <c r="C66" s="4">
        <v>817991</v>
      </c>
      <c r="D66" s="1" t="s">
        <v>650</v>
      </c>
      <c r="E66" s="14">
        <v>-19534.78</v>
      </c>
      <c r="F66" s="5" t="s">
        <v>388</v>
      </c>
      <c r="G66" s="2">
        <v>46066</v>
      </c>
      <c r="H66" s="9">
        <v>1170</v>
      </c>
      <c r="I66" s="4"/>
      <c r="J66" s="4" t="s">
        <v>758</v>
      </c>
      <c r="K66" s="7" t="s">
        <v>748</v>
      </c>
      <c r="L66" s="1" t="s">
        <v>669</v>
      </c>
      <c r="M66" s="9" t="s">
        <v>490</v>
      </c>
      <c r="N66" s="4" t="str">
        <f>VLOOKUP(H66,Clientes!B:D,3,)</f>
        <v>BGC LIQUIDEZ DTVM LTDA</v>
      </c>
    </row>
    <row r="67" spans="1:14" hidden="1" x14ac:dyDescent="0.25">
      <c r="A67" s="4" t="str">
        <f t="shared" si="1"/>
        <v>DESPESA DE REPRESENTAÇÃO - REEMBOLSO VALE TRANSPORTE COMPLEMENTAR -BROKER-RODRIGO MAZZARELLA PINO (AGENDA 40419)</v>
      </c>
      <c r="B67" s="11">
        <v>46054</v>
      </c>
      <c r="C67" s="4">
        <v>817991</v>
      </c>
      <c r="D67" s="1" t="s">
        <v>60</v>
      </c>
      <c r="E67" s="14">
        <v>-170.8</v>
      </c>
      <c r="F67" s="5" t="s">
        <v>388</v>
      </c>
      <c r="G67" s="2">
        <v>46072</v>
      </c>
      <c r="H67" s="9">
        <v>1170</v>
      </c>
      <c r="I67" s="4"/>
      <c r="J67" s="4" t="s">
        <v>759</v>
      </c>
      <c r="K67" s="7" t="s">
        <v>760</v>
      </c>
      <c r="L67" s="1" t="s">
        <v>671</v>
      </c>
      <c r="M67" s="9" t="s">
        <v>2</v>
      </c>
      <c r="N67" s="4" t="str">
        <f>VLOOKUP(H67,Clientes!B:D,3,)</f>
        <v>BGC LIQUIDEZ DTVM LTDA</v>
      </c>
    </row>
    <row r="68" spans="1:14" hidden="1" x14ac:dyDescent="0.25">
      <c r="A68" s="4" t="str">
        <f t="shared" si="1"/>
        <v>DESPESA DE REPRESENTAÇÃO - HOSPEDAGEM NO RADISSON BLU SÃO PAULO -CONSULTORA-CLAUDIA TAVARES FERNANDES (AGENDA 40329)</v>
      </c>
      <c r="B68" s="11">
        <v>46054</v>
      </c>
      <c r="C68" s="4">
        <v>817991</v>
      </c>
      <c r="D68" s="1" t="s">
        <v>539</v>
      </c>
      <c r="E68" s="14">
        <v>-4107.6000000000004</v>
      </c>
      <c r="F68" s="5" t="s">
        <v>667</v>
      </c>
      <c r="G68" s="2">
        <v>46072</v>
      </c>
      <c r="H68" s="9">
        <v>1170</v>
      </c>
      <c r="I68" s="4"/>
      <c r="J68" s="4" t="s">
        <v>751</v>
      </c>
      <c r="K68" s="7" t="s">
        <v>761</v>
      </c>
      <c r="L68" s="1" t="s">
        <v>539</v>
      </c>
      <c r="M68" s="9" t="s">
        <v>654</v>
      </c>
      <c r="N68" s="4" t="str">
        <f>VLOOKUP(H68,Clientes!B:D,3,)</f>
        <v>BGC LIQUIDEZ DTVM LTDA</v>
      </c>
    </row>
    <row r="69" spans="1:14" hidden="1" x14ac:dyDescent="0.25">
      <c r="A69" s="4" t="str">
        <f t="shared" si="1"/>
        <v>DESPESA DE REPRESENTAÇÃO - COMPRA DE FOTOS POLAROID - KART -SALES-JOSE ANTONIO DEZENE JUNIOR (AGENDA 40404)</v>
      </c>
      <c r="B69" s="11">
        <v>46054</v>
      </c>
      <c r="C69" s="4">
        <v>817991</v>
      </c>
      <c r="D69" s="1" t="s">
        <v>428</v>
      </c>
      <c r="E69" s="14">
        <v>-3600</v>
      </c>
      <c r="F69" s="5" t="s">
        <v>387</v>
      </c>
      <c r="G69" s="2">
        <v>46072</v>
      </c>
      <c r="H69" s="9">
        <v>1170</v>
      </c>
      <c r="I69" s="4"/>
      <c r="J69" s="4" t="s">
        <v>1238</v>
      </c>
      <c r="K69" s="7" t="s">
        <v>762</v>
      </c>
      <c r="L69" s="1" t="s">
        <v>428</v>
      </c>
      <c r="M69" s="9" t="s">
        <v>468</v>
      </c>
      <c r="N69" s="4" t="str">
        <f>VLOOKUP(H69,Clientes!B:D,3,)</f>
        <v>BGC LIQUIDEZ DTVM LTDA</v>
      </c>
    </row>
    <row r="70" spans="1:14" hidden="1" x14ac:dyDescent="0.25">
      <c r="A70" s="4" t="str">
        <f t="shared" si="1"/>
        <v>DESPESA DE REPRESENTAÇÃO - 1/2 COBERTURA FOTOGRÁFICA - KART -SALES-JOSE ANTONIO DEZENE JUNIOR (AGENDA 40409)</v>
      </c>
      <c r="B70" s="11">
        <v>46054</v>
      </c>
      <c r="C70" s="4">
        <v>817991</v>
      </c>
      <c r="D70" s="1" t="s">
        <v>428</v>
      </c>
      <c r="E70" s="14">
        <v>-1940</v>
      </c>
      <c r="F70" s="5" t="s">
        <v>387</v>
      </c>
      <c r="G70" s="2">
        <v>46072</v>
      </c>
      <c r="H70" s="9">
        <v>1170</v>
      </c>
      <c r="I70" s="4"/>
      <c r="J70" s="4" t="s">
        <v>1239</v>
      </c>
      <c r="K70" s="7" t="s">
        <v>763</v>
      </c>
      <c r="L70" s="1" t="s">
        <v>428</v>
      </c>
      <c r="M70" s="9" t="s">
        <v>468</v>
      </c>
      <c r="N70" s="4" t="str">
        <f>VLOOKUP(H70,Clientes!B:D,3,)</f>
        <v>BGC LIQUIDEZ DTVM LTDA</v>
      </c>
    </row>
    <row r="71" spans="1:14" hidden="1" x14ac:dyDescent="0.25">
      <c r="A71" s="4" t="str">
        <f t="shared" si="1"/>
        <v>DESPESA DE REPRESENTAÇÃO - PASSAGEM SÃO PAULO X RIO DE JANEIRO-BROKER-RODRIGO ZARKO VITAL BRASIL (AGENDA 40398)</v>
      </c>
      <c r="B71" s="11">
        <v>46054</v>
      </c>
      <c r="C71" s="4">
        <v>817991</v>
      </c>
      <c r="D71" s="1" t="s">
        <v>60</v>
      </c>
      <c r="E71" s="14">
        <v>-1038.54</v>
      </c>
      <c r="F71" s="5" t="s">
        <v>388</v>
      </c>
      <c r="G71" s="2">
        <v>46073</v>
      </c>
      <c r="H71" s="9">
        <v>1170</v>
      </c>
      <c r="I71" s="4"/>
      <c r="J71" s="4" t="s">
        <v>756</v>
      </c>
      <c r="K71" s="7" t="s">
        <v>764</v>
      </c>
      <c r="L71" s="1" t="s">
        <v>672</v>
      </c>
      <c r="M71" s="9" t="s">
        <v>2</v>
      </c>
      <c r="N71" s="4" t="str">
        <f>VLOOKUP(H71,Clientes!B:D,3,)</f>
        <v>BGC LIQUIDEZ DTVM LTDA</v>
      </c>
    </row>
    <row r="72" spans="1:14" hidden="1" x14ac:dyDescent="0.25">
      <c r="A72" s="4" t="str">
        <f t="shared" si="1"/>
        <v>DESPESA DE REPRESENTAÇÃO - HOSPEDAGEM NO INDIGO NYC DOWNTOWN WALL STREET-SALES-ROBERT SCHARRINGA (AGENDA 40434)</v>
      </c>
      <c r="B72" s="11">
        <v>46054</v>
      </c>
      <c r="C72" s="4">
        <v>817991</v>
      </c>
      <c r="D72" s="1" t="s">
        <v>769</v>
      </c>
      <c r="E72" s="14">
        <v>-5275</v>
      </c>
      <c r="F72" s="5" t="s">
        <v>667</v>
      </c>
      <c r="G72" s="2">
        <v>46077</v>
      </c>
      <c r="H72" s="9">
        <v>1170</v>
      </c>
      <c r="I72" s="4"/>
      <c r="J72" s="4" t="s">
        <v>969</v>
      </c>
      <c r="K72" s="7" t="s">
        <v>970</v>
      </c>
      <c r="L72" s="1" t="s">
        <v>968</v>
      </c>
      <c r="M72" s="9" t="s">
        <v>468</v>
      </c>
      <c r="N72" s="4" t="str">
        <f>VLOOKUP(H72,Clientes!B:D,3,)</f>
        <v>BGC LIQUIDEZ DTVM LTDA</v>
      </c>
    </row>
    <row r="73" spans="1:14" hidden="1" x14ac:dyDescent="0.25">
      <c r="A73" s="4" t="str">
        <f t="shared" si="1"/>
        <v>DESPESA DE REPRESENTAÇÃO - CONDOMINIO E IPTU - FLAT-BROKER-PAULO GUILHERME MENEZES FELIX (AGENDA 40248)</v>
      </c>
      <c r="B73" s="11">
        <v>46054</v>
      </c>
      <c r="C73" s="4">
        <v>817991</v>
      </c>
      <c r="D73" s="1" t="s">
        <v>424</v>
      </c>
      <c r="E73" s="14">
        <v>-798</v>
      </c>
      <c r="F73" s="5" t="s">
        <v>667</v>
      </c>
      <c r="G73" s="2">
        <v>46077</v>
      </c>
      <c r="H73" s="9">
        <v>1170</v>
      </c>
      <c r="I73" s="4"/>
      <c r="J73" s="4" t="s">
        <v>429</v>
      </c>
      <c r="K73" s="7" t="s">
        <v>971</v>
      </c>
      <c r="L73" s="1" t="s">
        <v>424</v>
      </c>
      <c r="M73" s="9" t="s">
        <v>2</v>
      </c>
      <c r="N73" s="4" t="str">
        <f>VLOOKUP(H73,Clientes!B:D,3,)</f>
        <v>BGC LIQUIDEZ DTVM LTDA</v>
      </c>
    </row>
    <row r="74" spans="1:14" hidden="1" x14ac:dyDescent="0.25">
      <c r="A74" s="4" t="str">
        <f t="shared" si="1"/>
        <v>DESPESA DE REPRESENTAÇÃO - 1/2 BUFFET AMP RESTAURANTE - KART-SALES-JOSE ANTONIO DEZENE JUNIOR (AGENDA 40248)</v>
      </c>
      <c r="B74" s="11">
        <v>46054</v>
      </c>
      <c r="C74" s="4">
        <v>817991</v>
      </c>
      <c r="D74" s="1" t="s">
        <v>428</v>
      </c>
      <c r="E74" s="14">
        <v>-11400</v>
      </c>
      <c r="F74" s="5" t="s">
        <v>387</v>
      </c>
      <c r="G74" s="2">
        <v>46077</v>
      </c>
      <c r="H74" s="9">
        <v>1170</v>
      </c>
      <c r="I74" s="4"/>
      <c r="J74" s="4" t="s">
        <v>973</v>
      </c>
      <c r="K74" s="7" t="s">
        <v>971</v>
      </c>
      <c r="L74" s="1" t="s">
        <v>428</v>
      </c>
      <c r="M74" s="9" t="s">
        <v>468</v>
      </c>
      <c r="N74" s="4" t="str">
        <f>VLOOKUP(H74,Clientes!B:D,3,)</f>
        <v>BGC LIQUIDEZ DTVM LTDA</v>
      </c>
    </row>
    <row r="75" spans="1:14" hidden="1" x14ac:dyDescent="0.25">
      <c r="A75" s="4" t="str">
        <f t="shared" si="1"/>
        <v>DESPESA DE REPRESENTAÇÃO - 1/2 ALUGUEL - KART-SALES-JOSE ANTONIO DEZENE JUNIOR (AGENDA 40608)</v>
      </c>
      <c r="B75" s="11">
        <v>46054</v>
      </c>
      <c r="C75" s="4">
        <v>817991</v>
      </c>
      <c r="D75" s="1" t="s">
        <v>428</v>
      </c>
      <c r="E75" s="14">
        <v>-15950</v>
      </c>
      <c r="F75" s="5" t="s">
        <v>387</v>
      </c>
      <c r="G75" s="2">
        <v>46080</v>
      </c>
      <c r="H75" s="9">
        <v>1170</v>
      </c>
      <c r="I75" s="4"/>
      <c r="J75" s="4" t="s">
        <v>972</v>
      </c>
      <c r="K75" s="7" t="s">
        <v>974</v>
      </c>
      <c r="L75" s="1" t="s">
        <v>428</v>
      </c>
      <c r="M75" s="9" t="s">
        <v>468</v>
      </c>
      <c r="N75" s="4" t="str">
        <f>VLOOKUP(H75,Clientes!B:D,3,)</f>
        <v>BGC LIQUIDEZ DTVM LTDA</v>
      </c>
    </row>
    <row r="76" spans="1:14" hidden="1" x14ac:dyDescent="0.25">
      <c r="A76" s="4" t="str">
        <f t="shared" si="1"/>
        <v>DESPESA DE REPRESENTAÇÃO - PASSAGEM BRASILIA X SÃO PAULO-CONSULTORA-CLAUDIA TAVARES FERNANDES (AGENDA 40433)</v>
      </c>
      <c r="B76" s="11">
        <v>46054</v>
      </c>
      <c r="C76" s="4">
        <v>817991</v>
      </c>
      <c r="D76" s="1" t="s">
        <v>539</v>
      </c>
      <c r="E76" s="14">
        <v>-2113.61</v>
      </c>
      <c r="F76" s="5" t="s">
        <v>388</v>
      </c>
      <c r="G76" s="2">
        <v>46077</v>
      </c>
      <c r="H76" s="9">
        <v>1170</v>
      </c>
      <c r="I76" s="4"/>
      <c r="J76" s="4" t="s">
        <v>542</v>
      </c>
      <c r="K76" s="7" t="s">
        <v>975</v>
      </c>
      <c r="L76" s="1" t="s">
        <v>539</v>
      </c>
      <c r="M76" s="9" t="s">
        <v>654</v>
      </c>
      <c r="N76" s="4" t="str">
        <f>VLOOKUP(H76,Clientes!B:D,3,)</f>
        <v>BGC LIQUIDEZ DTVM LTDA</v>
      </c>
    </row>
    <row r="77" spans="1:14" hidden="1" x14ac:dyDescent="0.25">
      <c r="A77" s="4" t="str">
        <f t="shared" si="1"/>
        <v>DESPESA DE REPRESENTAÇÃO - PASSAGEM SÃO PAULO X RIO DE JANEIRO-CEO-ERMINIO OLIVER LUCCI  (AGENDA 40433)</v>
      </c>
      <c r="B77" s="11">
        <v>46054</v>
      </c>
      <c r="C77" s="4">
        <v>817991</v>
      </c>
      <c r="D77" s="1" t="s">
        <v>650</v>
      </c>
      <c r="E77" s="14">
        <v>-482.47</v>
      </c>
      <c r="F77" s="5" t="s">
        <v>388</v>
      </c>
      <c r="G77" s="2">
        <v>46077</v>
      </c>
      <c r="H77" s="9">
        <v>1170</v>
      </c>
      <c r="I77" s="4"/>
      <c r="J77" s="4" t="s">
        <v>756</v>
      </c>
      <c r="K77" s="7" t="s">
        <v>975</v>
      </c>
      <c r="L77" s="1" t="s">
        <v>669</v>
      </c>
      <c r="M77" s="9" t="s">
        <v>490</v>
      </c>
      <c r="N77" s="4" t="str">
        <f>VLOOKUP(H77,Clientes!B:D,3,)</f>
        <v>BGC LIQUIDEZ DTVM LTDA</v>
      </c>
    </row>
    <row r="78" spans="1:14" hidden="1" x14ac:dyDescent="0.25">
      <c r="A78" s="4" t="str">
        <f t="shared" si="1"/>
        <v>DESPESA DE REPRESENTAÇÃO - PASSAGEM RIO DE JANEIRO X SÃO PAULO-BROKER-CLAUDIO DE SOUZA PACINI (AGENDA 40433)</v>
      </c>
      <c r="B78" s="11">
        <v>46054</v>
      </c>
      <c r="C78" s="4">
        <v>817991</v>
      </c>
      <c r="D78" s="1" t="s">
        <v>648</v>
      </c>
      <c r="E78" s="14">
        <v>-1373</v>
      </c>
      <c r="F78" s="5" t="s">
        <v>388</v>
      </c>
      <c r="G78" s="2">
        <v>46077</v>
      </c>
      <c r="H78" s="9">
        <v>1170</v>
      </c>
      <c r="I78" s="4"/>
      <c r="J78" s="4" t="s">
        <v>495</v>
      </c>
      <c r="K78" s="7" t="s">
        <v>975</v>
      </c>
      <c r="L78" s="1" t="s">
        <v>648</v>
      </c>
      <c r="M78" s="9" t="s">
        <v>2</v>
      </c>
      <c r="N78" s="4" t="str">
        <f>VLOOKUP(H78,Clientes!B:D,3,)</f>
        <v>BGC LIQUIDEZ DTVM LTDA</v>
      </c>
    </row>
    <row r="79" spans="1:14" hidden="1" x14ac:dyDescent="0.25">
      <c r="A79" s="4" t="str">
        <f t="shared" si="1"/>
        <v>DESPESA DE REPRESENTAÇÃO - PASSAGEM SÃO PAULO X MIAMI-BROKER-DANIEL TEIXEIRA SIQUEIRA GONÇALVES (AGENDA 40594)</v>
      </c>
      <c r="B79" s="11">
        <v>46054</v>
      </c>
      <c r="C79" s="4">
        <v>817991</v>
      </c>
      <c r="D79" s="1" t="s">
        <v>516</v>
      </c>
      <c r="E79" s="14">
        <v>-5641.11</v>
      </c>
      <c r="F79" s="5" t="s">
        <v>388</v>
      </c>
      <c r="G79" s="2">
        <v>46079</v>
      </c>
      <c r="H79" s="9">
        <v>1170</v>
      </c>
      <c r="I79" s="4"/>
      <c r="J79" s="4" t="s">
        <v>546</v>
      </c>
      <c r="K79" s="7" t="s">
        <v>978</v>
      </c>
      <c r="L79" s="1" t="s">
        <v>516</v>
      </c>
      <c r="M79" s="9" t="s">
        <v>2</v>
      </c>
      <c r="N79" s="4" t="str">
        <f>VLOOKUP(H79,Clientes!B:D,3,)</f>
        <v>BGC LIQUIDEZ DTVM LTDA</v>
      </c>
    </row>
    <row r="80" spans="1:14" hidden="1" x14ac:dyDescent="0.25">
      <c r="A80" s="4" t="str">
        <f t="shared" si="1"/>
        <v>DESPESA DE REPRESENTAÇÃO - AMERICAN AIRLINES ASSENTO CONFORTO-BROKER-DANIEL TEIXEIRA SIQUEIRA GONÇALVES (AGENDA 40594)</v>
      </c>
      <c r="B80" s="11">
        <v>46054</v>
      </c>
      <c r="C80" s="4">
        <v>817991</v>
      </c>
      <c r="D80" s="1" t="s">
        <v>516</v>
      </c>
      <c r="E80" s="14">
        <v>-1899</v>
      </c>
      <c r="F80" s="5" t="s">
        <v>388</v>
      </c>
      <c r="G80" s="2">
        <v>46079</v>
      </c>
      <c r="H80" s="9">
        <v>1170</v>
      </c>
      <c r="I80" s="4"/>
      <c r="J80" s="4" t="s">
        <v>976</v>
      </c>
      <c r="K80" s="7" t="s">
        <v>978</v>
      </c>
      <c r="L80" s="1" t="s">
        <v>516</v>
      </c>
      <c r="M80" s="9" t="s">
        <v>2</v>
      </c>
      <c r="N80" s="4" t="str">
        <f>VLOOKUP(H80,Clientes!B:D,3,)</f>
        <v>BGC LIQUIDEZ DTVM LTDA</v>
      </c>
    </row>
    <row r="81" spans="1:18" hidden="1" x14ac:dyDescent="0.25">
      <c r="A81" s="4" t="str">
        <f t="shared" si="1"/>
        <v>DESPESA DE REPRESENTAÇÃO - PASSAGEM MIAMI X NEW YORK-BROKER-CLAUDIO DE SOUZA PACINI (AGENDA 40594)</v>
      </c>
      <c r="B81" s="11">
        <v>46054</v>
      </c>
      <c r="C81" s="4">
        <v>817991</v>
      </c>
      <c r="D81" s="1" t="s">
        <v>648</v>
      </c>
      <c r="E81" s="14">
        <v>-2362.7399999999998</v>
      </c>
      <c r="F81" s="5" t="s">
        <v>388</v>
      </c>
      <c r="G81" s="2">
        <v>46079</v>
      </c>
      <c r="H81" s="9">
        <v>1170</v>
      </c>
      <c r="I81" s="4"/>
      <c r="J81" s="4" t="s">
        <v>977</v>
      </c>
      <c r="K81" s="7" t="s">
        <v>978</v>
      </c>
      <c r="L81" s="1" t="s">
        <v>648</v>
      </c>
      <c r="M81" s="9" t="s">
        <v>2</v>
      </c>
      <c r="N81" s="4" t="str">
        <f>VLOOKUP(H81,Clientes!B:D,3,)</f>
        <v>BGC LIQUIDEZ DTVM LTDA</v>
      </c>
    </row>
    <row r="82" spans="1:18" hidden="1" x14ac:dyDescent="0.25">
      <c r="A82" s="4" t="str">
        <f t="shared" si="1"/>
        <v>DESPESA DE REPRESENTAÇÃO - COMPRA DE REFRIGERANTES PARA PROFISSIONAIS DA FUTURA PESQUISA-SALES-JOSE ANTONIO DEZENE JUNIOR (AGENDA 40274)</v>
      </c>
      <c r="B82" s="11">
        <v>46054</v>
      </c>
      <c r="C82" s="4">
        <v>817991</v>
      </c>
      <c r="D82" s="1" t="s">
        <v>428</v>
      </c>
      <c r="E82" s="14">
        <v>-7.98</v>
      </c>
      <c r="F82" s="5" t="s">
        <v>447</v>
      </c>
      <c r="G82" s="2">
        <v>46066</v>
      </c>
      <c r="H82" s="9">
        <v>1170</v>
      </c>
      <c r="I82" s="4"/>
      <c r="J82" s="4" t="s">
        <v>979</v>
      </c>
      <c r="K82" s="7" t="s">
        <v>982</v>
      </c>
      <c r="L82" s="1" t="s">
        <v>428</v>
      </c>
      <c r="M82" s="9" t="s">
        <v>468</v>
      </c>
      <c r="N82" s="4" t="str">
        <f>VLOOKUP(H82,Clientes!B:D,3,)</f>
        <v>BGC LIQUIDEZ DTVM LTDA</v>
      </c>
    </row>
    <row r="83" spans="1:18" hidden="1" x14ac:dyDescent="0.25">
      <c r="A83" s="4" t="str">
        <f t="shared" si="1"/>
        <v>DESPESA DE REPRESENTAÇÃO - COMPRA DE ALMOÇOS EXECUTIVOS PARA PROFISSIONAIS DA FUTURA PESQUISA-SALES-JOSE ANTONIO DEZENE JUNIOR (AGENDA 40274)</v>
      </c>
      <c r="B83" s="11">
        <v>46054</v>
      </c>
      <c r="C83" s="4">
        <v>817991</v>
      </c>
      <c r="D83" s="1" t="s">
        <v>428</v>
      </c>
      <c r="E83" s="14">
        <v>-375.74</v>
      </c>
      <c r="F83" s="5" t="s">
        <v>447</v>
      </c>
      <c r="G83" s="2">
        <v>46066</v>
      </c>
      <c r="H83" s="9">
        <v>1170</v>
      </c>
      <c r="I83" s="4"/>
      <c r="J83" s="4" t="s">
        <v>980</v>
      </c>
      <c r="K83" s="7" t="s">
        <v>982</v>
      </c>
      <c r="L83" s="1" t="s">
        <v>428</v>
      </c>
      <c r="M83" s="9" t="s">
        <v>468</v>
      </c>
      <c r="N83" s="4" t="str">
        <f>VLOOKUP(H83,Clientes!B:D,3,)</f>
        <v>BGC LIQUIDEZ DTVM LTDA</v>
      </c>
    </row>
    <row r="84" spans="1:18" hidden="1" x14ac:dyDescent="0.25">
      <c r="A84" s="4" t="str">
        <f t="shared" si="1"/>
        <v>DESPESA DE REPRESENTAÇÃO - ALMOÇO COM CLIENTES NA CHURRASCARIA D'BRESCIA-ECONOMISTA-DANIEL CARDOSO LEAL (AGENDA 40274)</v>
      </c>
      <c r="B84" s="11">
        <v>46054</v>
      </c>
      <c r="C84" s="4">
        <v>817991</v>
      </c>
      <c r="D84" s="1" t="s">
        <v>558</v>
      </c>
      <c r="E84" s="14">
        <v>-4994.6000000000004</v>
      </c>
      <c r="F84" s="5" t="s">
        <v>447</v>
      </c>
      <c r="G84" s="2">
        <v>46066</v>
      </c>
      <c r="H84" s="9">
        <v>1170</v>
      </c>
      <c r="I84" s="4"/>
      <c r="J84" s="4" t="s">
        <v>981</v>
      </c>
      <c r="K84" s="7" t="s">
        <v>982</v>
      </c>
      <c r="L84" s="1" t="s">
        <v>985</v>
      </c>
      <c r="M84" s="9" t="s">
        <v>551</v>
      </c>
      <c r="N84" s="4" t="str">
        <f>VLOOKUP(H84,Clientes!B:D,3,)</f>
        <v>BGC LIQUIDEZ DTVM LTDA</v>
      </c>
    </row>
    <row r="85" spans="1:18" hidden="1" x14ac:dyDescent="0.25">
      <c r="A85" s="4" t="str">
        <f t="shared" si="1"/>
        <v>DESPESA DE REPRESENTAÇÃO - CARTÃO CORPORATIVO INTERNACIONAL-CEO-ERMINIO OLIVI LUCCI (AGENDA 40274)</v>
      </c>
      <c r="B85" s="11">
        <v>46054</v>
      </c>
      <c r="C85" s="4">
        <v>817991</v>
      </c>
      <c r="D85" s="1" t="s">
        <v>650</v>
      </c>
      <c r="E85" s="14">
        <v>-4594.4799999999996</v>
      </c>
      <c r="F85" s="5" t="s">
        <v>389</v>
      </c>
      <c r="G85" s="2">
        <v>46066</v>
      </c>
      <c r="H85" s="9">
        <v>1170</v>
      </c>
      <c r="I85" s="4"/>
      <c r="J85" s="4" t="s">
        <v>983</v>
      </c>
      <c r="K85" s="7" t="s">
        <v>982</v>
      </c>
      <c r="L85" s="1" t="s">
        <v>650</v>
      </c>
      <c r="M85" s="9" t="s">
        <v>490</v>
      </c>
      <c r="N85" s="4" t="str">
        <f>VLOOKUP(H85,Clientes!B:D,3,)</f>
        <v>BGC LIQUIDEZ DTVM LTDA</v>
      </c>
    </row>
    <row r="86" spans="1:18" hidden="1" x14ac:dyDescent="0.25">
      <c r="A86" s="4" t="str">
        <f t="shared" si="1"/>
        <v>DESPESA DE REPRESENTAÇÃO - CARTÃO CORPORATIVO NACIONAL-CEO-ERMINIO OLIVI LUCCI (AGENDA 40274)</v>
      </c>
      <c r="B86" s="11">
        <v>46054</v>
      </c>
      <c r="C86" s="4">
        <v>817991</v>
      </c>
      <c r="D86" s="1" t="s">
        <v>650</v>
      </c>
      <c r="E86" s="14">
        <v>-7295.25</v>
      </c>
      <c r="F86" s="5" t="s">
        <v>389</v>
      </c>
      <c r="G86" s="2">
        <v>46066</v>
      </c>
      <c r="H86" s="9">
        <v>1170</v>
      </c>
      <c r="I86" s="4"/>
      <c r="J86" s="4" t="s">
        <v>984</v>
      </c>
      <c r="K86" s="7" t="s">
        <v>982</v>
      </c>
      <c r="L86" s="1" t="s">
        <v>650</v>
      </c>
      <c r="M86" s="9" t="s">
        <v>490</v>
      </c>
      <c r="N86" s="4" t="str">
        <f>VLOOKUP(H86,Clientes!B:D,3,)</f>
        <v>BGC LIQUIDEZ DTVM LTDA</v>
      </c>
    </row>
    <row r="87" spans="1:18" hidden="1" x14ac:dyDescent="0.25">
      <c r="A87" s="4" t="str">
        <f t="shared" si="1"/>
        <v>DESPESA DE REPRESENTAÇÃO - CAFÉ DA MANHÃ COM CAIADO REALIZADO NO DIA 09/02 NO LOUP-SALES-JOSE ANTONIO DEZENE JUNIOR (AGENDA 40333)</v>
      </c>
      <c r="B87" s="11">
        <v>46054</v>
      </c>
      <c r="C87" s="4">
        <v>817991</v>
      </c>
      <c r="D87" s="1" t="s">
        <v>428</v>
      </c>
      <c r="E87" s="14">
        <v>-4214.8999999999996</v>
      </c>
      <c r="F87" s="5" t="s">
        <v>986</v>
      </c>
      <c r="G87" s="2">
        <v>46064</v>
      </c>
      <c r="H87" s="9">
        <v>1170</v>
      </c>
      <c r="I87" s="4"/>
      <c r="J87" s="4" t="s">
        <v>987</v>
      </c>
      <c r="K87" s="7" t="s">
        <v>988</v>
      </c>
      <c r="L87" s="1" t="s">
        <v>428</v>
      </c>
      <c r="M87" s="9" t="s">
        <v>468</v>
      </c>
      <c r="N87" s="4" t="str">
        <f>VLOOKUP(H87,Clientes!B:D,3,)</f>
        <v>BGC LIQUIDEZ DTVM LTDA</v>
      </c>
    </row>
    <row r="88" spans="1:18" hidden="1" x14ac:dyDescent="0.25">
      <c r="A88" s="4" t="str">
        <f t="shared" si="1"/>
        <v>DESPESA DE REPRESENTAÇÃO - PRESENTE PARA FILHO DO RUBENS MACHADO MILENIUM LATAM TRADER-CEO-ERMINIO OLIVI LUCCI (AGENDA 40273)</v>
      </c>
      <c r="B88" s="11">
        <v>46054</v>
      </c>
      <c r="C88" s="4">
        <v>817991</v>
      </c>
      <c r="D88" s="1" t="s">
        <v>650</v>
      </c>
      <c r="E88" s="14">
        <v>-883.3</v>
      </c>
      <c r="F88" s="5" t="s">
        <v>389</v>
      </c>
      <c r="G88" s="2">
        <v>46062</v>
      </c>
      <c r="H88" s="9">
        <v>1170</v>
      </c>
      <c r="I88" s="4"/>
      <c r="J88" s="4" t="s">
        <v>989</v>
      </c>
      <c r="K88" s="7" t="s">
        <v>992</v>
      </c>
      <c r="L88" s="1" t="s">
        <v>650</v>
      </c>
      <c r="M88" s="9" t="s">
        <v>490</v>
      </c>
      <c r="N88" s="4" t="str">
        <f>VLOOKUP(H88,Clientes!B:D,3,)</f>
        <v>BGC LIQUIDEZ DTVM LTDA</v>
      </c>
      <c r="R88" s="22"/>
    </row>
    <row r="89" spans="1:18" hidden="1" x14ac:dyDescent="0.25">
      <c r="A89" s="4" t="str">
        <f t="shared" si="1"/>
        <v>DESPESA DE REPRESENTAÇÃO - TAXI AEROPORTO DE GUARULHOS PARA BGC-CEO-ERMINIO OLIVI LUCCI (AGENDA 40273)</v>
      </c>
      <c r="B89" s="11">
        <v>46054</v>
      </c>
      <c r="C89" s="4">
        <v>817991</v>
      </c>
      <c r="D89" s="1" t="s">
        <v>650</v>
      </c>
      <c r="E89" s="14">
        <v>-350</v>
      </c>
      <c r="F89" s="5" t="s">
        <v>388</v>
      </c>
      <c r="G89" s="2">
        <v>46062</v>
      </c>
      <c r="H89" s="9">
        <v>1170</v>
      </c>
      <c r="I89" s="4"/>
      <c r="J89" s="4" t="s">
        <v>990</v>
      </c>
      <c r="K89" s="7" t="s">
        <v>992</v>
      </c>
      <c r="L89" s="1" t="s">
        <v>650</v>
      </c>
      <c r="M89" s="9" t="s">
        <v>490</v>
      </c>
      <c r="N89" s="4" t="str">
        <f>VLOOKUP(H89,Clientes!B:D,3,)</f>
        <v>BGC LIQUIDEZ DTVM LTDA</v>
      </c>
      <c r="R89" s="22"/>
    </row>
    <row r="90" spans="1:18" hidden="1" x14ac:dyDescent="0.25">
      <c r="A90" s="4" t="str">
        <f t="shared" si="1"/>
        <v>DESPESA DE REPRESENTAÇÃO - TRANSPORTE EXECUTIVO MENSAL DE JANEIRO-CEO-ERMINIO OLIVI LUCCI (AGENDA 40273)</v>
      </c>
      <c r="B90" s="11">
        <v>46054</v>
      </c>
      <c r="C90" s="4">
        <v>817991</v>
      </c>
      <c r="D90" s="1" t="s">
        <v>650</v>
      </c>
      <c r="E90" s="14">
        <v>-2070</v>
      </c>
      <c r="F90" s="5" t="s">
        <v>388</v>
      </c>
      <c r="G90" s="2">
        <v>46062</v>
      </c>
      <c r="H90" s="9">
        <v>1170</v>
      </c>
      <c r="I90" s="4"/>
      <c r="J90" s="4" t="s">
        <v>991</v>
      </c>
      <c r="K90" s="7" t="s">
        <v>992</v>
      </c>
      <c r="L90" s="1" t="s">
        <v>650</v>
      </c>
      <c r="M90" s="9" t="s">
        <v>490</v>
      </c>
      <c r="N90" s="4" t="str">
        <f>VLOOKUP(H90,Clientes!B:D,3,)</f>
        <v>BGC LIQUIDEZ DTVM LTDA</v>
      </c>
      <c r="R90" s="23"/>
    </row>
    <row r="91" spans="1:18" hidden="1" x14ac:dyDescent="0.25">
      <c r="A91" s="4" t="str">
        <f t="shared" si="1"/>
        <v>DESPESA DE REPRESENTAÇÃO - INGRESSOS PARA O SHOW AC/DC --ALEXANDRA BOKEL ESPOSA DO BERNARDO SALGADO (093659-3688AS)</v>
      </c>
      <c r="B91" s="11">
        <v>46054</v>
      </c>
      <c r="C91" s="4">
        <v>817991</v>
      </c>
      <c r="D91" s="1" t="s">
        <v>993</v>
      </c>
      <c r="E91" s="14">
        <v>-1651</v>
      </c>
      <c r="F91" s="5" t="s">
        <v>387</v>
      </c>
      <c r="G91" s="2">
        <v>46065</v>
      </c>
      <c r="H91" s="9">
        <v>15781</v>
      </c>
      <c r="I91" s="4"/>
      <c r="J91" s="4" t="s">
        <v>994</v>
      </c>
      <c r="K91" s="7" t="s">
        <v>995</v>
      </c>
      <c r="L91" s="1" t="s">
        <v>997</v>
      </c>
      <c r="M91" s="9"/>
      <c r="N91" s="4" t="str">
        <f>VLOOKUP(H91,Clientes!B:D,3,)</f>
        <v>BANCO SAFRA S/A</v>
      </c>
    </row>
    <row r="92" spans="1:18" hidden="1" x14ac:dyDescent="0.25">
      <c r="A92" s="4" t="str">
        <f t="shared" si="1"/>
        <v>DESPESA DE REPRESENTAÇÃO - INGRESSOS PARA O SHOW AC/DC -TRADER-BERNARDO SALGADO (093659-3688AS)</v>
      </c>
      <c r="B92" s="11">
        <v>46054</v>
      </c>
      <c r="C92" s="4">
        <v>817991</v>
      </c>
      <c r="D92" s="1" t="s">
        <v>993</v>
      </c>
      <c r="E92" s="14">
        <v>-1651</v>
      </c>
      <c r="F92" s="5" t="s">
        <v>387</v>
      </c>
      <c r="G92" s="2">
        <v>46065</v>
      </c>
      <c r="H92" s="9">
        <v>15781</v>
      </c>
      <c r="I92" s="4"/>
      <c r="J92" s="4" t="s">
        <v>994</v>
      </c>
      <c r="K92" s="7" t="s">
        <v>995</v>
      </c>
      <c r="L92" s="1" t="s">
        <v>996</v>
      </c>
      <c r="M92" s="9" t="s">
        <v>335</v>
      </c>
      <c r="N92" s="4" t="str">
        <f>VLOOKUP(H92,Clientes!B:D,3,)</f>
        <v>BANCO SAFRA S/A</v>
      </c>
    </row>
    <row r="93" spans="1:18" hidden="1" x14ac:dyDescent="0.25">
      <c r="A93" s="4" t="str">
        <f t="shared" si="1"/>
        <v>DESPESA DE REPRESENTAÇÃO - INGRESSOS PARA O SHOW AC/DC -TRADER-FELIPE S UEDA RUSSO MARTINS (180117-3688FC)</v>
      </c>
      <c r="B93" s="11">
        <v>46054</v>
      </c>
      <c r="C93" s="4">
        <v>817991</v>
      </c>
      <c r="D93" s="1" t="s">
        <v>31</v>
      </c>
      <c r="E93" s="14">
        <v>-1641.74</v>
      </c>
      <c r="F93" s="5" t="s">
        <v>387</v>
      </c>
      <c r="G93" s="2">
        <v>46079</v>
      </c>
      <c r="H93" s="9">
        <v>80343</v>
      </c>
      <c r="I93" s="4"/>
      <c r="J93" s="4" t="s">
        <v>994</v>
      </c>
      <c r="K93" s="7" t="s">
        <v>1000</v>
      </c>
      <c r="L93" s="1" t="s">
        <v>213</v>
      </c>
      <c r="M93" s="9" t="s">
        <v>335</v>
      </c>
      <c r="N93" s="4" t="str">
        <f>VLOOKUP(H93,Clientes!B:D,3,)</f>
        <v>BANCO BS2 S/A</v>
      </c>
    </row>
    <row r="94" spans="1:18" hidden="1" x14ac:dyDescent="0.25">
      <c r="A94" s="4" t="str">
        <f t="shared" si="1"/>
        <v>DESPESA DE REPRESENTAÇÃO - INGRESSOS PARA O SHOW AC/DC -TRADER-INGRID DE OLIVEIRA PINHEIRO (180117-3688FC)</v>
      </c>
      <c r="B94" s="11">
        <v>46054</v>
      </c>
      <c r="C94" s="4">
        <v>817991</v>
      </c>
      <c r="D94" s="1" t="s">
        <v>31</v>
      </c>
      <c r="E94" s="14">
        <v>-1641.74</v>
      </c>
      <c r="F94" s="5" t="s">
        <v>387</v>
      </c>
      <c r="G94" s="2">
        <v>46079</v>
      </c>
      <c r="H94" s="9">
        <v>80343</v>
      </c>
      <c r="I94" s="4"/>
      <c r="J94" s="4" t="s">
        <v>994</v>
      </c>
      <c r="K94" s="7" t="s">
        <v>1000</v>
      </c>
      <c r="L94" s="1" t="s">
        <v>999</v>
      </c>
      <c r="M94" s="9" t="s">
        <v>335</v>
      </c>
      <c r="N94" s="4" t="str">
        <f>VLOOKUP(H94,Clientes!B:D,3,)</f>
        <v>BANCO BS2 S/A</v>
      </c>
    </row>
    <row r="95" spans="1:18" hidden="1" x14ac:dyDescent="0.25">
      <c r="A95" s="4" t="str">
        <f t="shared" si="1"/>
        <v>DESPESA DE REPRESENTAÇÃO - SINAL CAFÉ DA MANHÃ COM CAIADO NO DIA 09/02 NO LOUP-SALES-JOSE ANTONIO DEZENE JUNIOR (AGENDA 40266)</v>
      </c>
      <c r="B95" s="11">
        <v>46054</v>
      </c>
      <c r="C95" s="4">
        <v>817991</v>
      </c>
      <c r="D95" s="1" t="s">
        <v>428</v>
      </c>
      <c r="E95" s="14">
        <v>-1299.5</v>
      </c>
      <c r="F95" s="5" t="s">
        <v>986</v>
      </c>
      <c r="G95" s="2">
        <v>46059</v>
      </c>
      <c r="H95" s="9">
        <v>1170</v>
      </c>
      <c r="I95" s="4"/>
      <c r="J95" s="4" t="s">
        <v>1002</v>
      </c>
      <c r="K95" s="7" t="s">
        <v>1001</v>
      </c>
      <c r="L95" s="1" t="s">
        <v>428</v>
      </c>
      <c r="M95" s="9" t="s">
        <v>468</v>
      </c>
      <c r="N95" s="4" t="str">
        <f>VLOOKUP(H95,Clientes!B:D,3,)</f>
        <v>BGC LIQUIDEZ DTVM LTDA</v>
      </c>
    </row>
    <row r="96" spans="1:18" hidden="1" x14ac:dyDescent="0.25">
      <c r="A96" s="4" t="str">
        <f t="shared" si="1"/>
        <v>DESPESA DE REPRESENTAÇÃO - LIBERAÇÃO E RETIRADA DAS AMOSTRAS DE CAMISETA - KART -SALES-JOSE ANTONIO DEZENE JUNIOR (AGENDA 40263)</v>
      </c>
      <c r="B96" s="11">
        <v>46054</v>
      </c>
      <c r="C96" s="4">
        <v>817991</v>
      </c>
      <c r="D96" s="1" t="s">
        <v>428</v>
      </c>
      <c r="E96" s="14">
        <v>-89</v>
      </c>
      <c r="F96" s="5" t="s">
        <v>387</v>
      </c>
      <c r="G96" s="2">
        <v>46063</v>
      </c>
      <c r="H96" s="9">
        <v>1170</v>
      </c>
      <c r="I96" s="4"/>
      <c r="J96" s="4" t="s">
        <v>1240</v>
      </c>
      <c r="K96" s="7" t="s">
        <v>1003</v>
      </c>
      <c r="L96" s="1" t="s">
        <v>428</v>
      </c>
      <c r="M96" s="9" t="s">
        <v>468</v>
      </c>
      <c r="N96" s="4" t="str">
        <f>VLOOKUP(H96,Clientes!B:D,3,)</f>
        <v>BGC LIQUIDEZ DTVM LTDA</v>
      </c>
    </row>
    <row r="97" spans="1:16" hidden="1" x14ac:dyDescent="0.25">
      <c r="A97" s="4" t="str">
        <f t="shared" si="1"/>
        <v>DESPESA DE REPRESENTAÇÃO - DEVOLUÇÃO DO CARTÃO CORPORATIVO-CEO-ERMINIO OLIVI LUCCI (AGENDA 40421)</v>
      </c>
      <c r="B97" s="11">
        <v>46054</v>
      </c>
      <c r="C97" s="4">
        <v>817991</v>
      </c>
      <c r="D97" s="1" t="s">
        <v>650</v>
      </c>
      <c r="E97" s="14">
        <v>286.32</v>
      </c>
      <c r="F97" s="5" t="s">
        <v>389</v>
      </c>
      <c r="G97" s="2">
        <v>46066</v>
      </c>
      <c r="H97" s="9">
        <v>1170</v>
      </c>
      <c r="I97" s="4"/>
      <c r="J97" s="4" t="s">
        <v>1004</v>
      </c>
      <c r="K97" s="7" t="s">
        <v>1005</v>
      </c>
      <c r="L97" s="1" t="s">
        <v>650</v>
      </c>
      <c r="M97" s="9" t="s">
        <v>490</v>
      </c>
      <c r="N97" s="4" t="str">
        <f>VLOOKUP(H97,Clientes!B:D,3,)</f>
        <v>BGC LIQUIDEZ DTVM LTDA</v>
      </c>
    </row>
    <row r="98" spans="1:16" hidden="1" x14ac:dyDescent="0.25">
      <c r="A98" s="4" t="str">
        <f>CONCATENATE($J$1,J98,$I$3,M98,$I$3,L98,$I$1,K98,$I$2)</f>
        <v>DESPESA DE REPRESENTAÇÃO - DEVOLUÇÃO DOS INGRESSOS DO BOX DO RIO OPEN 2026-CEO-FILHO DO ERMINIO (AGENDA 40417)</v>
      </c>
      <c r="B98" s="11">
        <v>46023</v>
      </c>
      <c r="C98" s="4">
        <v>817991</v>
      </c>
      <c r="D98" s="16" t="s">
        <v>650</v>
      </c>
      <c r="E98" s="14">
        <v>868</v>
      </c>
      <c r="F98" s="2" t="s">
        <v>387</v>
      </c>
      <c r="G98" s="2">
        <v>46066</v>
      </c>
      <c r="H98" s="9">
        <v>1170</v>
      </c>
      <c r="I98" s="4"/>
      <c r="J98" s="4" t="s">
        <v>1006</v>
      </c>
      <c r="K98" s="7" t="s">
        <v>1007</v>
      </c>
      <c r="L98" s="4" t="s">
        <v>605</v>
      </c>
      <c r="M98" s="9" t="s">
        <v>490</v>
      </c>
      <c r="N98" s="4" t="str">
        <f>VLOOKUP(H98,Clientes!B:D,3,)</f>
        <v>BGC LIQUIDEZ DTVM LTDA</v>
      </c>
      <c r="P98" t="e">
        <f>_xlfn.XLOOKUP(K98,#REF!,#REF!,0,0,1)</f>
        <v>#REF!</v>
      </c>
    </row>
    <row r="99" spans="1:16" hidden="1" x14ac:dyDescent="0.25">
      <c r="A99" s="4" t="str">
        <f>CONCATENATE($J$1,J99,$I$3,M99,$I$3,L99,$I$1,K99,$I$2)</f>
        <v>DESPESA DE REPRESENTAÇÃO - DEVOLUÇÃO DOS INGRESSOS DO BOX DO RIO OPEN 2026-CEO-AMIGO DO FILHO DO ERMINIO (AGENDA 40417)</v>
      </c>
      <c r="B99" s="11">
        <v>46023</v>
      </c>
      <c r="C99" s="4">
        <v>817991</v>
      </c>
      <c r="D99" s="16" t="s">
        <v>650</v>
      </c>
      <c r="E99" s="14">
        <v>868</v>
      </c>
      <c r="F99" s="2" t="s">
        <v>387</v>
      </c>
      <c r="G99" s="2">
        <v>46066</v>
      </c>
      <c r="H99" s="9">
        <v>1170</v>
      </c>
      <c r="I99" s="4"/>
      <c r="J99" s="4" t="s">
        <v>1006</v>
      </c>
      <c r="K99" s="7" t="s">
        <v>1007</v>
      </c>
      <c r="L99" s="4" t="s">
        <v>606</v>
      </c>
      <c r="M99" s="9" t="s">
        <v>490</v>
      </c>
      <c r="N99" s="4" t="str">
        <f>VLOOKUP(H99,Clientes!B:D,3,)</f>
        <v>BGC LIQUIDEZ DTVM LTDA</v>
      </c>
      <c r="P99" t="e">
        <f>_xlfn.XLOOKUP(K99,#REF!,#REF!,0,0,1)</f>
        <v>#REF!</v>
      </c>
    </row>
    <row r="100" spans="1:16" hidden="1" x14ac:dyDescent="0.25">
      <c r="A100" s="4" t="str">
        <f t="shared" si="1"/>
        <v>DESPESA DE REPRESENTAÇÃO - DEVOLUÇÃO DA HOSPEDAGEM NO FAIRMONT NO RIO DE JANEIRO-CEO-ERMINIO OLIVI LUCCI (AGENDA 40341)</v>
      </c>
      <c r="B100" s="11">
        <v>46054</v>
      </c>
      <c r="C100" s="4">
        <v>817991</v>
      </c>
      <c r="D100" s="16" t="s">
        <v>650</v>
      </c>
      <c r="E100" s="14">
        <f>4664.4/2</f>
        <v>2332.1999999999998</v>
      </c>
      <c r="F100" s="5" t="s">
        <v>667</v>
      </c>
      <c r="G100" s="2">
        <v>46063</v>
      </c>
      <c r="H100" s="9">
        <v>1170</v>
      </c>
      <c r="I100" s="4"/>
      <c r="J100" s="4" t="s">
        <v>1008</v>
      </c>
      <c r="K100" s="7" t="s">
        <v>1009</v>
      </c>
      <c r="L100" s="1" t="s">
        <v>650</v>
      </c>
      <c r="M100" s="9" t="s">
        <v>490</v>
      </c>
      <c r="N100" s="4" t="str">
        <f>VLOOKUP(H100,Clientes!B:D,3,)</f>
        <v>BGC LIQUIDEZ DTVM LTDA</v>
      </c>
    </row>
    <row r="101" spans="1:16" hidden="1" x14ac:dyDescent="0.25">
      <c r="A101" s="4" t="str">
        <f t="shared" si="1"/>
        <v>DESPESA DE REPRESENTAÇÃO - REUNIÃO TRAUMANN &amp; SCHONFELD-SALES-JOSE ANTONIO DEZENE JUNIOR (E-MAIL 06/03/2026)</v>
      </c>
      <c r="B101" s="11">
        <v>46054</v>
      </c>
      <c r="C101" s="4">
        <v>817991</v>
      </c>
      <c r="D101" s="1" t="s">
        <v>428</v>
      </c>
      <c r="E101" s="14">
        <v>-5500</v>
      </c>
      <c r="F101" s="5" t="s">
        <v>387</v>
      </c>
      <c r="G101" s="2">
        <v>46054</v>
      </c>
      <c r="H101" s="9">
        <v>1170</v>
      </c>
      <c r="I101" s="4"/>
      <c r="J101" s="4" t="s">
        <v>1010</v>
      </c>
      <c r="K101" s="7" t="s">
        <v>1011</v>
      </c>
      <c r="L101" s="1" t="s">
        <v>428</v>
      </c>
      <c r="M101" s="9" t="s">
        <v>468</v>
      </c>
      <c r="N101" s="4" t="str">
        <f>VLOOKUP(H101,Clientes!B:D,3,)</f>
        <v>BGC LIQUIDEZ DTVM LTDA</v>
      </c>
    </row>
    <row r="102" spans="1:16" hidden="1" x14ac:dyDescent="0.25">
      <c r="A102" s="4" t="str">
        <f t="shared" si="1"/>
        <v>DESPESA DE REPRESENTAÇÃO - FRETE DOCUMENTAÇÃO-ECONOMISTA-FELIPE DE SA TAVARES (E-MAIL 03/03/2026)</v>
      </c>
      <c r="B102" s="11">
        <v>46054</v>
      </c>
      <c r="C102" s="4">
        <v>817991</v>
      </c>
      <c r="D102" s="1" t="s">
        <v>768</v>
      </c>
      <c r="E102" s="14">
        <v>-16.88</v>
      </c>
      <c r="F102" s="5" t="s">
        <v>389</v>
      </c>
      <c r="G102" s="2">
        <v>46065</v>
      </c>
      <c r="H102" s="9">
        <v>1170</v>
      </c>
      <c r="I102" s="4"/>
      <c r="J102" s="4" t="s">
        <v>660</v>
      </c>
      <c r="K102" s="7" t="s">
        <v>1013</v>
      </c>
      <c r="L102" s="1" t="s">
        <v>768</v>
      </c>
      <c r="M102" s="9" t="s">
        <v>551</v>
      </c>
      <c r="N102" s="4" t="str">
        <f>VLOOKUP(H102,Clientes!B:D,3,)</f>
        <v>BGC LIQUIDEZ DTVM LTDA</v>
      </c>
    </row>
    <row r="103" spans="1:16" x14ac:dyDescent="0.25">
      <c r="A103" s="4" t="str">
        <f t="shared" si="1"/>
        <v>DESPESA DE REPRESENTAÇÃO - FRETE DOCUMENTAÇÃO-ECONOMISTA-CARLOS THADEU DE FREITAS GOMES FILHO (E-MAIL 03/03/2026)</v>
      </c>
      <c r="B103" s="11">
        <v>46054</v>
      </c>
      <c r="C103" s="4">
        <v>817991</v>
      </c>
      <c r="D103" s="1" t="s">
        <v>1012</v>
      </c>
      <c r="E103" s="14">
        <v>-16.88</v>
      </c>
      <c r="F103" s="5" t="s">
        <v>389</v>
      </c>
      <c r="G103" s="2">
        <v>46065</v>
      </c>
      <c r="H103" s="9">
        <v>1170</v>
      </c>
      <c r="I103" s="4"/>
      <c r="J103" s="4" t="s">
        <v>660</v>
      </c>
      <c r="K103" s="7" t="s">
        <v>1013</v>
      </c>
      <c r="L103" s="1" t="s">
        <v>1012</v>
      </c>
      <c r="M103" s="9" t="s">
        <v>551</v>
      </c>
      <c r="N103" s="4" t="str">
        <f>VLOOKUP(H103,Clientes!B:D,3,)</f>
        <v>BGC LIQUIDEZ DTVM LTDA</v>
      </c>
    </row>
    <row r="104" spans="1:16" hidden="1" x14ac:dyDescent="0.25">
      <c r="A104" s="4" t="str">
        <f t="shared" si="1"/>
        <v>DESPESA DE REPRESENTAÇÃO - UBER-BROKER-JUAREZ JOAQUIM DE LACERDA (E-MAIL 20/05/2026)</v>
      </c>
      <c r="B104" s="11">
        <v>46054</v>
      </c>
      <c r="C104" s="4">
        <v>817991</v>
      </c>
      <c r="D104" s="1" t="s">
        <v>614</v>
      </c>
      <c r="E104" s="14">
        <v>-359.96</v>
      </c>
      <c r="F104" s="5" t="s">
        <v>388</v>
      </c>
      <c r="G104" s="2">
        <v>46072</v>
      </c>
      <c r="H104" s="9">
        <v>1170</v>
      </c>
      <c r="I104" s="4"/>
      <c r="J104" s="4" t="s">
        <v>659</v>
      </c>
      <c r="K104" s="7" t="s">
        <v>1014</v>
      </c>
      <c r="L104" s="1" t="s">
        <v>614</v>
      </c>
      <c r="M104" s="9" t="s">
        <v>2</v>
      </c>
      <c r="N104" s="4" t="str">
        <f>VLOOKUP(H104,Clientes!B:D,3,)</f>
        <v>BGC LIQUIDEZ DTVM LTDA</v>
      </c>
    </row>
    <row r="105" spans="1:16" hidden="1" x14ac:dyDescent="0.25">
      <c r="A105" s="4" t="str">
        <f t="shared" si="1"/>
        <v>DESPESA DE REPRESENTAÇÃO - UBER-SALES-MARCELLE DA SILVEIRA GIL CADILHE (E-MAIL 20/05/2026)</v>
      </c>
      <c r="B105" s="11">
        <v>46054</v>
      </c>
      <c r="C105" s="4">
        <v>817991</v>
      </c>
      <c r="D105" s="1" t="s">
        <v>428</v>
      </c>
      <c r="E105" s="14">
        <v>-678.86</v>
      </c>
      <c r="F105" s="5" t="s">
        <v>388</v>
      </c>
      <c r="G105" s="2">
        <v>46080</v>
      </c>
      <c r="H105" s="9">
        <v>1170</v>
      </c>
      <c r="I105" s="4"/>
      <c r="J105" s="4" t="s">
        <v>659</v>
      </c>
      <c r="K105" s="7" t="s">
        <v>1014</v>
      </c>
      <c r="L105" s="1" t="s">
        <v>658</v>
      </c>
      <c r="M105" s="9" t="s">
        <v>468</v>
      </c>
      <c r="N105" s="4" t="str">
        <f>VLOOKUP(H105,Clientes!B:D,3,)</f>
        <v>BGC LIQUIDEZ DTVM LTDA</v>
      </c>
    </row>
    <row r="106" spans="1:16" hidden="1" x14ac:dyDescent="0.25">
      <c r="A106" s="4" t="str">
        <f t="shared" si="1"/>
        <v>DESPESA DE REPRESENTAÇÃO - UBER-SALES-MELISSA LEITE FIGUEIREDO ROCHA (E-MAIL 20/05/2026)</v>
      </c>
      <c r="B106" s="11">
        <v>46054</v>
      </c>
      <c r="C106" s="4">
        <v>817991</v>
      </c>
      <c r="D106" s="1" t="s">
        <v>428</v>
      </c>
      <c r="E106" s="14">
        <v>-69.61</v>
      </c>
      <c r="F106" s="5" t="s">
        <v>388</v>
      </c>
      <c r="G106" s="2">
        <v>46076</v>
      </c>
      <c r="H106" s="9">
        <v>1170</v>
      </c>
      <c r="I106" s="4"/>
      <c r="J106" s="4" t="s">
        <v>659</v>
      </c>
      <c r="K106" s="7" t="s">
        <v>1014</v>
      </c>
      <c r="L106" s="1" t="s">
        <v>663</v>
      </c>
      <c r="M106" s="9" t="s">
        <v>468</v>
      </c>
      <c r="N106" s="4" t="str">
        <f>VLOOKUP(H106,Clientes!B:D,3,)</f>
        <v>BGC LIQUIDEZ DTVM LTDA</v>
      </c>
    </row>
    <row r="107" spans="1:16" hidden="1" x14ac:dyDescent="0.25">
      <c r="A107" s="4" t="str">
        <f>CONCATENATE($J$1,J107,$I$3,M107,$I$3,L107,$I$1,K107,$I$2)</f>
        <v>DESPESA DE REPRESENTAÇÃO - PASSAGEM SÃO PAULO X RIO DE JANEIRO-CEO-ERMINIO OLIVI LUCCI (AGENDA 40469)</v>
      </c>
      <c r="B107" s="11">
        <v>46054</v>
      </c>
      <c r="C107" s="4">
        <v>817991</v>
      </c>
      <c r="D107" s="1" t="s">
        <v>650</v>
      </c>
      <c r="E107" s="14">
        <v>-2579.4699999999998</v>
      </c>
      <c r="F107" s="5" t="s">
        <v>388</v>
      </c>
      <c r="G107" s="2">
        <v>46073</v>
      </c>
      <c r="H107" s="9">
        <v>1170</v>
      </c>
      <c r="I107" s="4"/>
      <c r="J107" s="4" t="s">
        <v>756</v>
      </c>
      <c r="K107" s="7" t="s">
        <v>1052</v>
      </c>
      <c r="L107" s="1" t="s">
        <v>650</v>
      </c>
      <c r="M107" s="9" t="s">
        <v>490</v>
      </c>
      <c r="N107" s="4" t="str">
        <f>VLOOKUP(H107,Clientes!B:D,3,)</f>
        <v>BGC LIQUIDEZ DTVM LTDA</v>
      </c>
    </row>
    <row r="108" spans="1:16" hidden="1" x14ac:dyDescent="0.25">
      <c r="A108" s="4" t="str">
        <f>CONCATENATE($J$1,J108,$I$3,M108,$I$3,L108,$I$1,K108,$I$2)</f>
        <v>DESPESA DE REPRESENTAÇÃO - PASSAGEM BRASILIA X SÃO PAULO-CONSULTOR-RENAN REIS CRUVINEL (AGENDA 40469)</v>
      </c>
      <c r="B108" s="11">
        <v>46054</v>
      </c>
      <c r="C108" s="4">
        <v>817991</v>
      </c>
      <c r="D108" s="1" t="s">
        <v>538</v>
      </c>
      <c r="E108" s="14">
        <v>-1695.81</v>
      </c>
      <c r="F108" s="5" t="s">
        <v>388</v>
      </c>
      <c r="G108" s="2">
        <v>46073</v>
      </c>
      <c r="H108" s="9">
        <v>1170</v>
      </c>
      <c r="I108" s="4"/>
      <c r="J108" s="4" t="s">
        <v>542</v>
      </c>
      <c r="K108" s="7" t="s">
        <v>1052</v>
      </c>
      <c r="L108" s="1" t="s">
        <v>538</v>
      </c>
      <c r="M108" s="9" t="s">
        <v>655</v>
      </c>
      <c r="N108" s="4" t="str">
        <f>VLOOKUP(H108,Clientes!B:D,3,)</f>
        <v>BGC LIQUIDEZ DTVM LTDA</v>
      </c>
    </row>
    <row r="109" spans="1:16" hidden="1" x14ac:dyDescent="0.25">
      <c r="A109" s="4" t="str">
        <f>CONCATENATE($J$1,J109,$I$3,M109,$I$3,L109,$I$1,K109,$I$2)</f>
        <v>DESPESA DE REPRESENTAÇÃO - ALUGUEL FLAT -BROKER-PAULO GUILHERME MENEZES FELIX (AGENDA 40247)</v>
      </c>
      <c r="B109" s="11">
        <v>46054</v>
      </c>
      <c r="C109" s="4">
        <v>817991</v>
      </c>
      <c r="D109" s="1" t="s">
        <v>424</v>
      </c>
      <c r="E109" s="14">
        <v>-4202</v>
      </c>
      <c r="F109" s="5" t="s">
        <v>667</v>
      </c>
      <c r="G109" s="2">
        <v>46077</v>
      </c>
      <c r="H109" s="9">
        <v>1170</v>
      </c>
      <c r="I109" s="4"/>
      <c r="J109" s="4" t="s">
        <v>425</v>
      </c>
      <c r="K109" s="7" t="s">
        <v>1521</v>
      </c>
      <c r="L109" s="1" t="s">
        <v>424</v>
      </c>
      <c r="M109" s="9" t="s">
        <v>2</v>
      </c>
      <c r="N109" s="4" t="str">
        <f>VLOOKUP(H109,Clientes!B:D,3,)</f>
        <v>BGC LIQUIDEZ DTVM LTDA</v>
      </c>
    </row>
    <row r="110" spans="1:16" hidden="1" x14ac:dyDescent="0.25">
      <c r="A110" s="4"/>
      <c r="B110" s="11"/>
      <c r="C110" s="4"/>
      <c r="D110" s="1"/>
      <c r="E110" s="14"/>
      <c r="F110" s="5"/>
      <c r="G110" s="2"/>
      <c r="H110" s="9"/>
      <c r="I110" s="4"/>
      <c r="J110" s="4"/>
      <c r="K110" s="7"/>
      <c r="L110" s="1"/>
      <c r="M110" s="9"/>
      <c r="N110" s="4"/>
    </row>
    <row r="111" spans="1:16" hidden="1" x14ac:dyDescent="0.25">
      <c r="A111" s="4"/>
      <c r="B111" s="11"/>
      <c r="C111" s="4"/>
      <c r="D111" s="1"/>
      <c r="E111" s="14"/>
      <c r="F111" s="5"/>
      <c r="G111" s="2"/>
      <c r="H111" s="9"/>
      <c r="I111" s="4"/>
      <c r="J111" s="4"/>
      <c r="K111" s="7"/>
      <c r="L111" s="1"/>
      <c r="M111" s="9"/>
      <c r="N111" s="4"/>
    </row>
    <row r="112" spans="1:16" hidden="1" x14ac:dyDescent="0.25">
      <c r="A112" s="4"/>
      <c r="B112" s="11"/>
      <c r="C112" s="4"/>
      <c r="D112" s="1"/>
      <c r="E112" s="14"/>
      <c r="F112" s="5"/>
      <c r="G112" s="2"/>
      <c r="H112" s="9"/>
      <c r="I112" s="4"/>
      <c r="J112" s="4"/>
      <c r="K112" s="7"/>
      <c r="L112" s="1"/>
      <c r="M112" s="9"/>
      <c r="N112" s="4"/>
    </row>
    <row r="113" spans="1:14" hidden="1" x14ac:dyDescent="0.25">
      <c r="A113" s="4"/>
      <c r="B113" s="11"/>
      <c r="C113" s="4"/>
      <c r="D113" s="1"/>
      <c r="E113" s="14"/>
      <c r="F113" s="5"/>
      <c r="G113" s="2"/>
      <c r="H113" s="9"/>
      <c r="I113" s="4"/>
      <c r="J113" s="4"/>
      <c r="K113" s="7"/>
      <c r="L113" s="1"/>
      <c r="M113" s="9"/>
      <c r="N113" s="4"/>
    </row>
    <row r="114" spans="1:14" hidden="1" x14ac:dyDescent="0.25">
      <c r="A114" s="4"/>
      <c r="B114" s="11"/>
      <c r="C114" s="4"/>
      <c r="D114" s="1"/>
      <c r="E114" s="14"/>
      <c r="F114" s="5"/>
      <c r="G114" s="2"/>
      <c r="H114" s="9"/>
      <c r="I114" s="4"/>
      <c r="J114" s="4"/>
      <c r="K114" s="7"/>
      <c r="L114" s="1"/>
      <c r="M114" s="9"/>
      <c r="N114" s="4"/>
    </row>
    <row r="115" spans="1:14" hidden="1" x14ac:dyDescent="0.25">
      <c r="A115" s="4"/>
      <c r="B115" s="11"/>
      <c r="C115" s="4"/>
      <c r="D115" s="1"/>
      <c r="E115" s="14"/>
      <c r="F115" s="5"/>
      <c r="G115" s="2"/>
      <c r="H115" s="9"/>
      <c r="I115" s="4"/>
      <c r="J115" s="4"/>
      <c r="K115" s="7"/>
      <c r="L115" s="1"/>
      <c r="M115" s="9"/>
      <c r="N115" s="4"/>
    </row>
    <row r="116" spans="1:14" hidden="1" x14ac:dyDescent="0.25">
      <c r="A116" s="4"/>
      <c r="B116" s="11"/>
      <c r="C116" s="4"/>
      <c r="D116" s="1"/>
      <c r="E116" s="14"/>
      <c r="F116" s="5"/>
      <c r="G116" s="2"/>
      <c r="H116" s="9"/>
      <c r="I116" s="4"/>
      <c r="J116" s="4"/>
      <c r="K116" s="7"/>
      <c r="L116" s="1"/>
      <c r="M116" s="9"/>
      <c r="N116" s="4"/>
    </row>
    <row r="117" spans="1:14" hidden="1" x14ac:dyDescent="0.25">
      <c r="A117" s="4"/>
      <c r="B117" s="11"/>
      <c r="C117" s="4"/>
      <c r="D117" s="1"/>
      <c r="E117" s="14"/>
      <c r="F117" s="5"/>
      <c r="G117" s="2"/>
      <c r="H117" s="9"/>
      <c r="I117" s="4"/>
      <c r="J117" s="4"/>
      <c r="K117" s="7"/>
      <c r="L117" s="1"/>
      <c r="M117" s="9"/>
      <c r="N117" s="4"/>
    </row>
    <row r="118" spans="1:14" hidden="1" x14ac:dyDescent="0.25">
      <c r="A118" s="4"/>
      <c r="B118" s="11"/>
      <c r="C118" s="4"/>
      <c r="D118" s="1"/>
      <c r="E118" s="14"/>
      <c r="F118" s="5"/>
      <c r="G118" s="2"/>
      <c r="H118" s="9"/>
      <c r="I118" s="4"/>
      <c r="J118" s="4"/>
      <c r="K118" s="7"/>
      <c r="L118" s="1"/>
      <c r="M118" s="9"/>
      <c r="N118" s="4"/>
    </row>
    <row r="119" spans="1:14" hidden="1" x14ac:dyDescent="0.25">
      <c r="A119" s="4"/>
      <c r="B119" s="11"/>
      <c r="C119" s="4"/>
      <c r="D119" s="1"/>
      <c r="E119" s="14"/>
      <c r="F119" s="5"/>
      <c r="G119" s="2"/>
      <c r="H119" s="9"/>
      <c r="I119" s="4"/>
      <c r="J119" s="4"/>
      <c r="K119" s="7"/>
      <c r="L119" s="1"/>
      <c r="M119" s="9"/>
      <c r="N119" s="4"/>
    </row>
    <row r="120" spans="1:14" hidden="1" x14ac:dyDescent="0.25">
      <c r="A120" s="4"/>
      <c r="B120" s="11"/>
      <c r="C120" s="4"/>
      <c r="D120" s="1"/>
      <c r="E120" s="14"/>
      <c r="F120" s="5"/>
      <c r="G120" s="2"/>
      <c r="H120" s="9"/>
      <c r="I120" s="4"/>
      <c r="J120" s="4"/>
      <c r="K120" s="7"/>
      <c r="L120" s="1"/>
      <c r="M120" s="9"/>
      <c r="N120" s="4"/>
    </row>
    <row r="121" spans="1:14" hidden="1" x14ac:dyDescent="0.25">
      <c r="A121" s="4"/>
      <c r="B121" s="11"/>
      <c r="C121" s="4"/>
      <c r="D121" s="1"/>
      <c r="E121" s="14"/>
      <c r="F121" s="5"/>
      <c r="G121" s="2"/>
      <c r="H121" s="9"/>
      <c r="I121" s="4"/>
      <c r="J121" s="4"/>
      <c r="K121" s="7"/>
      <c r="L121" s="1"/>
      <c r="M121" s="9"/>
      <c r="N121" s="4"/>
    </row>
    <row r="122" spans="1:14" hidden="1" x14ac:dyDescent="0.25">
      <c r="A122" s="4"/>
      <c r="B122" s="11"/>
      <c r="C122" s="4"/>
      <c r="D122" s="1"/>
      <c r="E122" s="14"/>
      <c r="F122" s="5"/>
      <c r="G122" s="2"/>
      <c r="H122" s="9"/>
      <c r="I122" s="4"/>
      <c r="J122" s="4"/>
      <c r="K122" s="7"/>
      <c r="L122" s="1"/>
      <c r="M122" s="9"/>
      <c r="N122" s="4"/>
    </row>
    <row r="123" spans="1:14" hidden="1" x14ac:dyDescent="0.25">
      <c r="A123" s="4"/>
      <c r="B123" s="11"/>
      <c r="C123" s="4"/>
      <c r="D123" s="1"/>
      <c r="E123" s="14"/>
      <c r="F123" s="5"/>
      <c r="G123" s="2"/>
      <c r="H123" s="9"/>
      <c r="I123" s="4"/>
      <c r="J123" s="4"/>
      <c r="K123" s="7"/>
      <c r="L123" s="1"/>
      <c r="M123" s="9"/>
      <c r="N123" s="4"/>
    </row>
    <row r="124" spans="1:14" hidden="1" x14ac:dyDescent="0.25">
      <c r="A124" s="4"/>
      <c r="B124" s="11"/>
      <c r="C124" s="4"/>
      <c r="D124" s="1"/>
      <c r="E124" s="14"/>
      <c r="F124" s="5"/>
      <c r="G124" s="2"/>
      <c r="H124" s="9"/>
      <c r="I124" s="4"/>
      <c r="J124" s="4"/>
      <c r="K124" s="7"/>
      <c r="L124" s="1"/>
      <c r="M124" s="9"/>
      <c r="N124" s="4"/>
    </row>
    <row r="125" spans="1:14" hidden="1" x14ac:dyDescent="0.25">
      <c r="A125" s="4"/>
      <c r="B125" s="11"/>
      <c r="C125" s="4"/>
      <c r="D125" s="1"/>
      <c r="E125" s="14"/>
      <c r="F125" s="5"/>
      <c r="G125" s="2"/>
      <c r="H125" s="9"/>
      <c r="I125" s="4"/>
      <c r="J125" s="4"/>
      <c r="K125" s="7"/>
      <c r="L125" s="1"/>
      <c r="M125" s="9"/>
      <c r="N125" s="4"/>
    </row>
    <row r="126" spans="1:14" hidden="1" x14ac:dyDescent="0.25">
      <c r="A126" s="4"/>
      <c r="B126" s="11"/>
      <c r="C126" s="4"/>
      <c r="D126" s="1"/>
      <c r="E126" s="14"/>
      <c r="F126" s="5"/>
      <c r="G126" s="2"/>
      <c r="H126" s="9"/>
      <c r="I126" s="4"/>
      <c r="J126" s="4"/>
      <c r="K126" s="7"/>
      <c r="L126" s="1"/>
      <c r="M126" s="9"/>
      <c r="N126" s="4"/>
    </row>
    <row r="127" spans="1:14" hidden="1" x14ac:dyDescent="0.25">
      <c r="A127" s="4"/>
      <c r="B127" s="11"/>
      <c r="C127" s="4"/>
      <c r="D127" s="1"/>
      <c r="E127" s="14"/>
      <c r="F127" s="5"/>
      <c r="G127" s="2"/>
      <c r="H127" s="9"/>
      <c r="I127" s="4"/>
      <c r="J127" s="4"/>
      <c r="K127" s="7"/>
      <c r="L127" s="1"/>
      <c r="M127" s="9"/>
      <c r="N127" s="4"/>
    </row>
    <row r="128" spans="1:14" hidden="1" x14ac:dyDescent="0.25">
      <c r="A128" s="4"/>
      <c r="B128" s="11"/>
      <c r="C128" s="4"/>
      <c r="L128" s="1"/>
      <c r="M128" s="9"/>
      <c r="N128" s="4"/>
    </row>
  </sheetData>
  <autoFilter ref="A1:P128" xr:uid="{51256DD9-CF37-4777-8E12-E415D3F0673B}">
    <filterColumn colId="3">
      <filters>
        <filter val="CARLOS THADEU DE FREITAS GOMES FILH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0142-598C-47FA-AC04-BF93BB1AE8FA}">
  <sheetPr codeName="Sheet16"/>
  <dimension ref="A1:N167"/>
  <sheetViews>
    <sheetView showGridLines="0" workbookViewId="0">
      <selection activeCell="D56" sqref="D56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10.5703125" style="20" bestFit="1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21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x14ac:dyDescent="0.25">
      <c r="A2" s="4" t="str">
        <f>CONCATENATE($J$1,J2,$I$3,M2,$I$3,L2,$I$1,K2,$I$2)</f>
        <v>DESPESA DE REPRESENTAÇÃO - HOSPEDAGEM INDIGO NYC FINANCIAL DISTRICT-BROKER-CLAUDIO DE SOUZA PACINI (AGENDA 40538)</v>
      </c>
      <c r="B2" s="11">
        <v>46082</v>
      </c>
      <c r="C2" s="4">
        <v>817991</v>
      </c>
      <c r="D2" s="16" t="s">
        <v>648</v>
      </c>
      <c r="E2" s="14">
        <v>-1240</v>
      </c>
      <c r="F2" s="2" t="s">
        <v>667</v>
      </c>
      <c r="G2" s="2">
        <v>46086</v>
      </c>
      <c r="H2" s="9">
        <v>1170</v>
      </c>
      <c r="I2" s="4" t="s">
        <v>333</v>
      </c>
      <c r="J2" s="4" t="s">
        <v>773</v>
      </c>
      <c r="K2" s="7" t="s">
        <v>774</v>
      </c>
      <c r="L2" s="4" t="s">
        <v>648</v>
      </c>
      <c r="M2" s="9" t="s">
        <v>2</v>
      </c>
      <c r="N2" s="4" t="str">
        <f>VLOOKUP(H2,Clientes!B:D,3,)</f>
        <v>BGC LIQUIDEZ DTVM LTDA</v>
      </c>
    </row>
    <row r="3" spans="1:14" x14ac:dyDescent="0.25">
      <c r="A3" s="4" t="str">
        <f t="shared" ref="A3:A66" si="0">CONCATENATE($J$1,J3,$I$3,M3,$I$3,L3,$I$1,K3,$I$2)</f>
        <v>DESPESA DE REPRESENTAÇÃO - HOSPEDAGEM RADISSON BLU SÃO PAULO -CONSULTORA -CLAUDIA TAVARES FERNANDES (AGENDA 40539)</v>
      </c>
      <c r="B3" s="11">
        <v>46082</v>
      </c>
      <c r="C3" s="4">
        <v>817991</v>
      </c>
      <c r="D3" s="16" t="s">
        <v>539</v>
      </c>
      <c r="E3" s="14">
        <v>-1629.6</v>
      </c>
      <c r="F3" s="2" t="s">
        <v>667</v>
      </c>
      <c r="G3" s="2">
        <v>46086</v>
      </c>
      <c r="H3" s="9">
        <v>1170</v>
      </c>
      <c r="I3" s="4" t="s">
        <v>336</v>
      </c>
      <c r="J3" s="4" t="s">
        <v>775</v>
      </c>
      <c r="K3" s="7" t="s">
        <v>776</v>
      </c>
      <c r="L3" s="4" t="s">
        <v>539</v>
      </c>
      <c r="M3" s="9" t="s">
        <v>1015</v>
      </c>
      <c r="N3" s="4" t="str">
        <f>VLOOKUP(H3,Clientes!B:D,3,)</f>
        <v>BGC LIQUIDEZ DTVM LTDA</v>
      </c>
    </row>
    <row r="4" spans="1:14" x14ac:dyDescent="0.25">
      <c r="A4" s="4" t="str">
        <f t="shared" si="0"/>
        <v>DESPESA DE REPRESENTAÇÃO - PASSAGEM GUARULHOS X NOVA YORK -CEO-ERMINIO OLIVI LUCCI (AGENDA 40595)</v>
      </c>
      <c r="B4" s="11">
        <v>46082</v>
      </c>
      <c r="C4" s="4">
        <v>817991</v>
      </c>
      <c r="D4" s="16" t="s">
        <v>650</v>
      </c>
      <c r="E4" s="14">
        <v>-5746.98</v>
      </c>
      <c r="F4" s="2" t="s">
        <v>765</v>
      </c>
      <c r="G4" s="2">
        <v>46086</v>
      </c>
      <c r="H4" s="9">
        <v>1170</v>
      </c>
      <c r="I4" s="4"/>
      <c r="J4" s="4" t="s">
        <v>758</v>
      </c>
      <c r="K4" s="7" t="s">
        <v>777</v>
      </c>
      <c r="L4" s="4" t="s">
        <v>650</v>
      </c>
      <c r="M4" s="9" t="s">
        <v>490</v>
      </c>
      <c r="N4" s="4" t="str">
        <f>VLOOKUP(H4,Clientes!B:D,3,)</f>
        <v>BGC LIQUIDEZ DTVM LTDA</v>
      </c>
    </row>
    <row r="5" spans="1:14" x14ac:dyDescent="0.25">
      <c r="A5" s="4" t="str">
        <f t="shared" si="0"/>
        <v>DESPESA DE REPRESENTAÇÃO - 2/2 ALUGUEL - KART-SALES-JOSE ANTONIO DEZENE JUNIOR (AGENDA 40613)</v>
      </c>
      <c r="B5" s="11">
        <v>46082</v>
      </c>
      <c r="C5" s="4">
        <v>817991</v>
      </c>
      <c r="D5" s="16" t="s">
        <v>428</v>
      </c>
      <c r="E5" s="14">
        <v>-15950</v>
      </c>
      <c r="F5" s="2" t="s">
        <v>766</v>
      </c>
      <c r="G5" s="2">
        <v>46092</v>
      </c>
      <c r="H5" s="9">
        <v>1170</v>
      </c>
      <c r="I5" s="4"/>
      <c r="J5" s="4" t="s">
        <v>1016</v>
      </c>
      <c r="K5" s="7" t="s">
        <v>778</v>
      </c>
      <c r="L5" s="4" t="s">
        <v>428</v>
      </c>
      <c r="M5" s="9" t="s">
        <v>468</v>
      </c>
      <c r="N5" s="4" t="str">
        <f>VLOOKUP(H5,Clientes!B:D,3,)</f>
        <v>BGC LIQUIDEZ DTVM LTDA</v>
      </c>
    </row>
    <row r="6" spans="1:14" x14ac:dyDescent="0.25">
      <c r="A6" s="4" t="str">
        <f t="shared" si="0"/>
        <v>DESPESA DE REPRESENTAÇÃO - ALMOÇO-TRADER-MAURO OKUMA LACERDA (120324-3688CM)</v>
      </c>
      <c r="B6" s="11">
        <v>46082</v>
      </c>
      <c r="C6" s="4">
        <v>817991</v>
      </c>
      <c r="D6" s="16" t="s">
        <v>621</v>
      </c>
      <c r="E6" s="14">
        <v>-2670.19</v>
      </c>
      <c r="F6" s="2" t="s">
        <v>447</v>
      </c>
      <c r="G6" s="2">
        <v>46086</v>
      </c>
      <c r="H6" s="9">
        <v>12413</v>
      </c>
      <c r="I6" s="4"/>
      <c r="J6" s="4" t="s">
        <v>447</v>
      </c>
      <c r="K6" s="7" t="s">
        <v>779</v>
      </c>
      <c r="L6" s="4" t="s">
        <v>780</v>
      </c>
      <c r="M6" s="9" t="s">
        <v>335</v>
      </c>
      <c r="N6" s="4" t="str">
        <f>VLOOKUP(H6,Clientes!B:D,3,)</f>
        <v>KAPITALO INVESTIMENTOS LTDA</v>
      </c>
    </row>
    <row r="7" spans="1:14" x14ac:dyDescent="0.25">
      <c r="A7" s="4" t="str">
        <f t="shared" si="0"/>
        <v>DESPESA DE REPRESENTAÇÃO - HAPPY HOUR COM NOMURA-TRADER -CHIRAG GARG  (111847-3688RC)</v>
      </c>
      <c r="B7" s="11">
        <v>46082</v>
      </c>
      <c r="C7" s="4">
        <v>817991</v>
      </c>
      <c r="D7" s="16" t="s">
        <v>646</v>
      </c>
      <c r="E7" s="14">
        <v>-1258</v>
      </c>
      <c r="F7" s="2" t="s">
        <v>766</v>
      </c>
      <c r="G7" s="2">
        <v>46086</v>
      </c>
      <c r="H7" s="9">
        <v>1170</v>
      </c>
      <c r="I7" s="4"/>
      <c r="J7" s="4" t="s">
        <v>2569</v>
      </c>
      <c r="K7" s="7" t="s">
        <v>781</v>
      </c>
      <c r="L7" s="4" t="s">
        <v>782</v>
      </c>
      <c r="M7" s="9" t="s">
        <v>783</v>
      </c>
      <c r="N7" s="4" t="str">
        <f>VLOOKUP(H7,Clientes!B:D,3,)</f>
        <v>BGC LIQUIDEZ DTVM LTDA</v>
      </c>
    </row>
    <row r="8" spans="1:14" x14ac:dyDescent="0.25">
      <c r="A8" s="4" t="str">
        <f t="shared" si="0"/>
        <v>DESPESA DE REPRESENTAÇÃO - ALMOÇO-TRADER -RABINDER SIRA (110546-3688RC)</v>
      </c>
      <c r="B8" s="11">
        <v>46082</v>
      </c>
      <c r="C8" s="4">
        <v>817991</v>
      </c>
      <c r="D8" s="16" t="s">
        <v>646</v>
      </c>
      <c r="E8" s="14">
        <v>-1611</v>
      </c>
      <c r="F8" s="2" t="s">
        <v>447</v>
      </c>
      <c r="G8" s="2">
        <v>46086</v>
      </c>
      <c r="H8" s="9">
        <v>18658</v>
      </c>
      <c r="I8" s="4"/>
      <c r="J8" s="4" t="s">
        <v>447</v>
      </c>
      <c r="K8" s="7" t="s">
        <v>784</v>
      </c>
      <c r="L8" s="4" t="s">
        <v>785</v>
      </c>
      <c r="M8" s="9" t="s">
        <v>783</v>
      </c>
      <c r="N8" s="4" t="str">
        <f>VLOOKUP(H8,Clientes!B:D,3,)</f>
        <v>SCOTIABANK BRASILS/A BANCO MULTIPLO(ANTIGO DRESDNER BANK BR)</v>
      </c>
    </row>
    <row r="9" spans="1:14" x14ac:dyDescent="0.25">
      <c r="A9" s="4" t="str">
        <f t="shared" si="0"/>
        <v>DESPESA DE REPRESENTAÇÃO - JANTAR-TRADER -IGNACIO ALDUNATE (111451-3688RC)</v>
      </c>
      <c r="B9" s="11">
        <v>46082</v>
      </c>
      <c r="C9" s="4">
        <v>817991</v>
      </c>
      <c r="D9" s="16" t="s">
        <v>646</v>
      </c>
      <c r="E9" s="14">
        <v>-1712</v>
      </c>
      <c r="F9" s="2" t="s">
        <v>380</v>
      </c>
      <c r="G9" s="2">
        <v>46086</v>
      </c>
      <c r="H9" s="9">
        <v>441000</v>
      </c>
      <c r="I9" s="4"/>
      <c r="J9" s="4" t="s">
        <v>380</v>
      </c>
      <c r="K9" s="7" t="s">
        <v>786</v>
      </c>
      <c r="L9" s="4" t="s">
        <v>787</v>
      </c>
      <c r="M9" s="9" t="s">
        <v>783</v>
      </c>
      <c r="N9" s="4" t="str">
        <f>VLOOKUP(H9,Clientes!B:D,3,)</f>
        <v>BANCO RABOBANK INTERNATIONAL BRASIL S/A</v>
      </c>
    </row>
    <row r="10" spans="1:14" x14ac:dyDescent="0.25">
      <c r="A10" s="4" t="str">
        <f t="shared" si="0"/>
        <v>DESPESA DE REPRESENTAÇÃO - HOSPEDAGEM CLUB QUARTERS HOTEL NY-BROKER-RAFAEL TENORIO CAVALCANTI (AGENDA 40626)</v>
      </c>
      <c r="B10" s="11">
        <v>46082</v>
      </c>
      <c r="C10" s="4">
        <v>817991</v>
      </c>
      <c r="D10" s="16" t="s">
        <v>646</v>
      </c>
      <c r="E10" s="14">
        <v>-5865</v>
      </c>
      <c r="F10" s="2" t="s">
        <v>667</v>
      </c>
      <c r="G10" s="2">
        <v>46086</v>
      </c>
      <c r="H10" s="9">
        <v>1170</v>
      </c>
      <c r="I10" s="4"/>
      <c r="J10" s="4" t="s">
        <v>788</v>
      </c>
      <c r="K10" s="7" t="s">
        <v>789</v>
      </c>
      <c r="L10" s="4" t="s">
        <v>646</v>
      </c>
      <c r="M10" s="9" t="s">
        <v>2</v>
      </c>
      <c r="N10" s="4" t="str">
        <f>VLOOKUP(H10,Clientes!B:D,3,)</f>
        <v>BGC LIQUIDEZ DTVM LTDA</v>
      </c>
    </row>
    <row r="11" spans="1:14" x14ac:dyDescent="0.25">
      <c r="A11" s="4" t="str">
        <f t="shared" si="0"/>
        <v>DESPESA DE REPRESENTAÇÃO - JANTAR COM CLIENTE ING BANK-TRADER-EDUARDO CASTRO (112309-3688RC)</v>
      </c>
      <c r="B11" s="11">
        <v>46082</v>
      </c>
      <c r="C11" s="4">
        <v>817991</v>
      </c>
      <c r="D11" s="16" t="s">
        <v>646</v>
      </c>
      <c r="E11" s="14">
        <v>-2328</v>
      </c>
      <c r="F11" s="2" t="s">
        <v>380</v>
      </c>
      <c r="G11" s="2">
        <v>46086</v>
      </c>
      <c r="H11" s="9">
        <v>1170</v>
      </c>
      <c r="I11" s="4"/>
      <c r="J11" s="4" t="s">
        <v>1017</v>
      </c>
      <c r="K11" s="7" t="s">
        <v>790</v>
      </c>
      <c r="L11" s="4" t="s">
        <v>791</v>
      </c>
      <c r="M11" s="9" t="s">
        <v>335</v>
      </c>
      <c r="N11" s="4" t="str">
        <f>VLOOKUP(H11,Clientes!B:D,3,)</f>
        <v>BGC LIQUIDEZ DTVM LTDA</v>
      </c>
    </row>
    <row r="12" spans="1:14" x14ac:dyDescent="0.25">
      <c r="A12" s="4" t="str">
        <f t="shared" si="0"/>
        <v>DESPESA DE REPRESENTAÇÃO - ALMOÇO-TRADER-JOAO PEROLIN FREDERICO TRALLI (104821-3688FP)</v>
      </c>
      <c r="B12" s="11">
        <v>46082</v>
      </c>
      <c r="C12" s="4">
        <v>817991</v>
      </c>
      <c r="D12" s="16" t="s">
        <v>503</v>
      </c>
      <c r="E12" s="14">
        <v>-900.49</v>
      </c>
      <c r="F12" s="2" t="s">
        <v>447</v>
      </c>
      <c r="G12" s="2">
        <v>46086</v>
      </c>
      <c r="H12" s="9">
        <v>16705</v>
      </c>
      <c r="I12" s="4"/>
      <c r="J12" s="4" t="s">
        <v>447</v>
      </c>
      <c r="K12" s="7" t="s">
        <v>792</v>
      </c>
      <c r="L12" s="4" t="s">
        <v>793</v>
      </c>
      <c r="M12" s="9" t="s">
        <v>335</v>
      </c>
      <c r="N12" s="4" t="str">
        <f>VLOOKUP(H12,Clientes!B:D,3,)</f>
        <v>BANCO BRADESCO S/A</v>
      </c>
    </row>
    <row r="13" spans="1:14" x14ac:dyDescent="0.25">
      <c r="A13" s="4" t="str">
        <f t="shared" si="0"/>
        <v>DESPESA DE REPRESENTAÇÃO - HAPPY HOUR-TRADER-RUBENS SHIN (114441-3688RC)</v>
      </c>
      <c r="B13" s="11">
        <v>46082</v>
      </c>
      <c r="C13" s="4">
        <v>817991</v>
      </c>
      <c r="D13" s="16" t="s">
        <v>646</v>
      </c>
      <c r="E13" s="14">
        <v>-5300</v>
      </c>
      <c r="F13" s="2" t="s">
        <v>766</v>
      </c>
      <c r="G13" s="2">
        <v>46086</v>
      </c>
      <c r="H13" s="9">
        <v>79978</v>
      </c>
      <c r="I13" s="4"/>
      <c r="J13" s="4" t="s">
        <v>485</v>
      </c>
      <c r="K13" s="7" t="s">
        <v>794</v>
      </c>
      <c r="L13" s="4" t="s">
        <v>795</v>
      </c>
      <c r="M13" s="9" t="s">
        <v>335</v>
      </c>
      <c r="N13" s="4" t="str">
        <f>VLOOKUP(H13,Clientes!B:D,3,)</f>
        <v>CREDIT SUISSE (BRASIL) S/A CTVM</v>
      </c>
    </row>
    <row r="14" spans="1:14" x14ac:dyDescent="0.25">
      <c r="A14" s="4" t="str">
        <f t="shared" si="0"/>
        <v>DESPESA DE REPRESENTAÇÃO - JANTAR-TRADER-LUCAS JOSA (100402-3688AF)</v>
      </c>
      <c r="B14" s="11">
        <v>46082</v>
      </c>
      <c r="C14" s="4">
        <v>817991</v>
      </c>
      <c r="D14" s="16" t="s">
        <v>648</v>
      </c>
      <c r="E14" s="14">
        <v>-526</v>
      </c>
      <c r="F14" s="2" t="s">
        <v>380</v>
      </c>
      <c r="G14" s="2">
        <v>46086</v>
      </c>
      <c r="H14" s="9">
        <v>15501</v>
      </c>
      <c r="I14" s="4"/>
      <c r="J14" s="4" t="s">
        <v>380</v>
      </c>
      <c r="K14" s="7" t="s">
        <v>796</v>
      </c>
      <c r="L14" s="4" t="s">
        <v>797</v>
      </c>
      <c r="M14" s="9" t="s">
        <v>335</v>
      </c>
      <c r="N14" s="4" t="str">
        <f>VLOOKUP(H14,Clientes!B:D,3,)</f>
        <v>BANCO BTG PACTUAL S/A</v>
      </c>
    </row>
    <row r="15" spans="1:14" x14ac:dyDescent="0.25">
      <c r="A15" s="4" t="str">
        <f t="shared" si="0"/>
        <v>DESPESA DE REPRESENTAÇÃO - ALUGUEL FLAT -BROKER-CHRISTIANO MARCONDES DE BARROS LIMA (AGENDA 40667)</v>
      </c>
      <c r="B15" s="11">
        <v>46082</v>
      </c>
      <c r="C15" s="4">
        <v>817991</v>
      </c>
      <c r="D15" s="16" t="s">
        <v>60</v>
      </c>
      <c r="E15" s="14">
        <v>-1337.0474999999999</v>
      </c>
      <c r="F15" s="2" t="s">
        <v>667</v>
      </c>
      <c r="G15" s="2">
        <v>46084</v>
      </c>
      <c r="H15" s="9">
        <v>1170</v>
      </c>
      <c r="I15" s="4"/>
      <c r="J15" s="4" t="s">
        <v>425</v>
      </c>
      <c r="K15" s="7" t="s">
        <v>798</v>
      </c>
      <c r="L15" s="4" t="s">
        <v>60</v>
      </c>
      <c r="M15" s="9" t="s">
        <v>2</v>
      </c>
      <c r="N15" s="4" t="str">
        <f>VLOOKUP(H15,Clientes!B:D,3,)</f>
        <v>BGC LIQUIDEZ DTVM LTDA</v>
      </c>
    </row>
    <row r="16" spans="1:14" x14ac:dyDescent="0.25">
      <c r="A16" s="4" t="str">
        <f t="shared" si="0"/>
        <v>DESPESA DE REPRESENTAÇÃO - ALUGUEL FLAT -BROKER-JOSE MAURICIO GOMES TEIXEIRA (AGENDA 40667)</v>
      </c>
      <c r="B16" s="11">
        <v>46082</v>
      </c>
      <c r="C16" s="4">
        <v>817991</v>
      </c>
      <c r="D16" s="16" t="s">
        <v>23</v>
      </c>
      <c r="E16" s="14">
        <v>-1337.0474999999999</v>
      </c>
      <c r="F16" s="2" t="s">
        <v>667</v>
      </c>
      <c r="G16" s="2">
        <v>46084</v>
      </c>
      <c r="H16" s="9">
        <v>1170</v>
      </c>
      <c r="I16" s="4"/>
      <c r="J16" s="4" t="s">
        <v>425</v>
      </c>
      <c r="K16" s="7" t="s">
        <v>798</v>
      </c>
      <c r="L16" s="4" t="s">
        <v>23</v>
      </c>
      <c r="M16" s="9" t="s">
        <v>2</v>
      </c>
      <c r="N16" s="4" t="str">
        <f>VLOOKUP(H16,Clientes!B:D,3,)</f>
        <v>BGC LIQUIDEZ DTVM LTDA</v>
      </c>
    </row>
    <row r="17" spans="1:14" x14ac:dyDescent="0.25">
      <c r="A17" s="4" t="str">
        <f t="shared" si="0"/>
        <v>DESPESA DE REPRESENTAÇÃO - ALUGUEL FLAT -GESTOR-ANDRE HALL ACCIOLY (AGENDA 40667)</v>
      </c>
      <c r="B17" s="11">
        <v>46082</v>
      </c>
      <c r="C17" s="4">
        <v>817991</v>
      </c>
      <c r="D17" s="16" t="s">
        <v>423</v>
      </c>
      <c r="E17" s="14">
        <v>-2674.0949999999998</v>
      </c>
      <c r="F17" s="2" t="s">
        <v>667</v>
      </c>
      <c r="G17" s="2">
        <v>46084</v>
      </c>
      <c r="H17" s="9">
        <v>1170</v>
      </c>
      <c r="I17" s="4"/>
      <c r="J17" s="4" t="s">
        <v>425</v>
      </c>
      <c r="K17" s="7" t="s">
        <v>798</v>
      </c>
      <c r="L17" s="4" t="s">
        <v>742</v>
      </c>
      <c r="M17" s="9" t="s">
        <v>598</v>
      </c>
      <c r="N17" s="4" t="str">
        <f>VLOOKUP(H17,Clientes!B:D,3,)</f>
        <v>BGC LIQUIDEZ DTVM LTDA</v>
      </c>
    </row>
    <row r="18" spans="1:14" x14ac:dyDescent="0.25">
      <c r="A18" s="4" t="str">
        <f t="shared" si="0"/>
        <v>DESPESA DE REPRESENTAÇÃO - CONDOMÍNIO E IPTU FLAT-BROKER-CHRISTIANO MARCONDES DE BARROS LIMA (AGENDA 40669)</v>
      </c>
      <c r="B18" s="11">
        <v>46082</v>
      </c>
      <c r="C18" s="4">
        <v>817991</v>
      </c>
      <c r="D18" s="16" t="s">
        <v>60</v>
      </c>
      <c r="E18" s="14">
        <v>-788</v>
      </c>
      <c r="F18" s="2" t="s">
        <v>667</v>
      </c>
      <c r="G18" s="2">
        <v>46084</v>
      </c>
      <c r="H18" s="9">
        <v>1170</v>
      </c>
      <c r="I18" s="4"/>
      <c r="J18" s="4" t="s">
        <v>799</v>
      </c>
      <c r="K18" s="7" t="s">
        <v>800</v>
      </c>
      <c r="L18" s="4" t="s">
        <v>60</v>
      </c>
      <c r="M18" s="9" t="s">
        <v>2</v>
      </c>
      <c r="N18" s="4" t="str">
        <f>VLOOKUP(H18,Clientes!B:D,3,)</f>
        <v>BGC LIQUIDEZ DTVM LTDA</v>
      </c>
    </row>
    <row r="19" spans="1:14" x14ac:dyDescent="0.25">
      <c r="A19" s="4" t="str">
        <f t="shared" si="0"/>
        <v>DESPESA DE REPRESENTAÇÃO - CONDOMÍNIO E IPTU FLAT-BROKER-JOSE MAURICIO GOMES TEIXEIRA (AGENDA 40669)</v>
      </c>
      <c r="B19" s="11">
        <v>46082</v>
      </c>
      <c r="C19" s="4">
        <v>817991</v>
      </c>
      <c r="D19" s="16" t="s">
        <v>23</v>
      </c>
      <c r="E19" s="14">
        <v>-788</v>
      </c>
      <c r="F19" s="2" t="s">
        <v>667</v>
      </c>
      <c r="G19" s="2">
        <v>46084</v>
      </c>
      <c r="H19" s="9">
        <v>1170</v>
      </c>
      <c r="I19" s="4"/>
      <c r="J19" s="4" t="s">
        <v>799</v>
      </c>
      <c r="K19" s="7" t="s">
        <v>800</v>
      </c>
      <c r="L19" s="4" t="s">
        <v>23</v>
      </c>
      <c r="M19" s="9" t="s">
        <v>2</v>
      </c>
      <c r="N19" s="4" t="str">
        <f>VLOOKUP(H19,Clientes!B:D,3,)</f>
        <v>BGC LIQUIDEZ DTVM LTDA</v>
      </c>
    </row>
    <row r="20" spans="1:14" x14ac:dyDescent="0.25">
      <c r="A20" s="4" t="str">
        <f t="shared" si="0"/>
        <v>DESPESA DE REPRESENTAÇÃO - CONDOMÍNIO E IPTU FLAT-GESTOR-ANDRE HALL ACCIOLY (AGENDA 40669)</v>
      </c>
      <c r="B20" s="11">
        <v>46082</v>
      </c>
      <c r="C20" s="4">
        <v>817991</v>
      </c>
      <c r="D20" s="16" t="s">
        <v>423</v>
      </c>
      <c r="E20" s="14">
        <v>-1576</v>
      </c>
      <c r="F20" s="2" t="s">
        <v>667</v>
      </c>
      <c r="G20" s="2">
        <v>46084</v>
      </c>
      <c r="H20" s="9">
        <v>1170</v>
      </c>
      <c r="I20" s="4"/>
      <c r="J20" s="4" t="s">
        <v>799</v>
      </c>
      <c r="K20" s="7" t="s">
        <v>800</v>
      </c>
      <c r="L20" s="4" t="s">
        <v>742</v>
      </c>
      <c r="M20" s="9" t="s">
        <v>598</v>
      </c>
      <c r="N20" s="4" t="str">
        <f>VLOOKUP(H20,Clientes!B:D,3,)</f>
        <v>BGC LIQUIDEZ DTVM LTDA</v>
      </c>
    </row>
    <row r="21" spans="1:14" x14ac:dyDescent="0.25">
      <c r="A21" s="4" t="str">
        <f t="shared" si="0"/>
        <v>DESPESA DE REPRESENTAÇÃO - PASSAGEM SÃO PAULO X RIO DE JANEIRO-BROKER-MARIO VICTOR SOARES MIRANDA (AGENDA 40688)</v>
      </c>
      <c r="B21" s="11">
        <v>46082</v>
      </c>
      <c r="C21" s="4">
        <v>817991</v>
      </c>
      <c r="D21" s="16" t="s">
        <v>648</v>
      </c>
      <c r="E21" s="14">
        <v>-1209.96</v>
      </c>
      <c r="F21" s="2" t="s">
        <v>765</v>
      </c>
      <c r="G21" s="2">
        <v>46097</v>
      </c>
      <c r="H21" s="9">
        <v>1170</v>
      </c>
      <c r="I21" s="4"/>
      <c r="J21" s="4" t="s">
        <v>756</v>
      </c>
      <c r="K21" s="7" t="s">
        <v>801</v>
      </c>
      <c r="L21" s="4" t="s">
        <v>767</v>
      </c>
      <c r="M21" s="9" t="s">
        <v>2</v>
      </c>
      <c r="N21" s="4" t="str">
        <f>VLOOKUP(H21,Clientes!B:D,3,)</f>
        <v>BGC LIQUIDEZ DTVM LTDA</v>
      </c>
    </row>
    <row r="22" spans="1:14" x14ac:dyDescent="0.25">
      <c r="A22" s="4" t="str">
        <f t="shared" si="0"/>
        <v>DESPESA DE REPRESENTAÇÃO - HOSPEDAGEM INN IPANEMA -CONSULTOR-RENAN REIS CRUVINEL (AGENDA 40700)</v>
      </c>
      <c r="B22" s="11">
        <v>46082</v>
      </c>
      <c r="C22" s="4">
        <v>817991</v>
      </c>
      <c r="D22" s="16" t="s">
        <v>538</v>
      </c>
      <c r="E22" s="14">
        <v>-3459.2</v>
      </c>
      <c r="F22" s="2" t="s">
        <v>667</v>
      </c>
      <c r="G22" s="2">
        <v>46092</v>
      </c>
      <c r="H22" s="9">
        <v>1170</v>
      </c>
      <c r="I22" s="4"/>
      <c r="J22" s="4" t="s">
        <v>802</v>
      </c>
      <c r="K22" s="7" t="s">
        <v>803</v>
      </c>
      <c r="L22" s="4" t="s">
        <v>538</v>
      </c>
      <c r="M22" s="9" t="s">
        <v>655</v>
      </c>
      <c r="N22" s="4" t="str">
        <f>VLOOKUP(H22,Clientes!B:D,3,)</f>
        <v>BGC LIQUIDEZ DTVM LTDA</v>
      </c>
    </row>
    <row r="23" spans="1:14" x14ac:dyDescent="0.25">
      <c r="A23" s="4" t="str">
        <f t="shared" si="0"/>
        <v>DESPESA DE REPRESENTAÇÃO - HOSPEDAGEM INN IPANEMA -CONSULTORA -CLAUDIA TAVARES FERNANDES (AGENDA 40700)</v>
      </c>
      <c r="B23" s="11">
        <v>46082</v>
      </c>
      <c r="C23" s="4">
        <v>817991</v>
      </c>
      <c r="D23" s="16" t="s">
        <v>539</v>
      </c>
      <c r="E23" s="14">
        <v>-3459.2</v>
      </c>
      <c r="F23" s="2" t="s">
        <v>667</v>
      </c>
      <c r="G23" s="2">
        <v>46092</v>
      </c>
      <c r="H23" s="9">
        <v>1170</v>
      </c>
      <c r="I23" s="4"/>
      <c r="J23" s="4" t="s">
        <v>802</v>
      </c>
      <c r="K23" s="7" t="s">
        <v>803</v>
      </c>
      <c r="L23" s="4" t="s">
        <v>539</v>
      </c>
      <c r="M23" s="9" t="s">
        <v>1015</v>
      </c>
      <c r="N23" s="4" t="str">
        <f>VLOOKUP(H23,Clientes!B:D,3,)</f>
        <v>BGC LIQUIDEZ DTVM LTDA</v>
      </c>
    </row>
    <row r="24" spans="1:14" x14ac:dyDescent="0.25">
      <c r="A24" s="4" t="str">
        <f t="shared" si="0"/>
        <v>DESPESA DE REPRESENTAÇÃO - PASSAGEM SÃO PAULO X NOVA YORK-BROKER-RAFAEL TENORIO CAVALCANTI (110229-3688RC)</v>
      </c>
      <c r="B24" s="11">
        <v>46082</v>
      </c>
      <c r="C24" s="4">
        <v>817991</v>
      </c>
      <c r="D24" s="16" t="s">
        <v>646</v>
      </c>
      <c r="E24" s="14">
        <v>-7864</v>
      </c>
      <c r="F24" s="2" t="s">
        <v>765</v>
      </c>
      <c r="G24" s="2">
        <v>46086</v>
      </c>
      <c r="H24" s="9">
        <v>1170</v>
      </c>
      <c r="I24" s="4"/>
      <c r="J24" s="4" t="s">
        <v>804</v>
      </c>
      <c r="K24" s="7" t="s">
        <v>805</v>
      </c>
      <c r="L24" s="4" t="s">
        <v>646</v>
      </c>
      <c r="M24" s="9" t="s">
        <v>2</v>
      </c>
      <c r="N24" s="4" t="str">
        <f>VLOOKUP(H24,Clientes!B:D,3,)</f>
        <v>BGC LIQUIDEZ DTVM LTDA</v>
      </c>
    </row>
    <row r="25" spans="1:14" x14ac:dyDescent="0.25">
      <c r="A25" s="4" t="str">
        <f t="shared" si="0"/>
        <v>DESPESA DE REPRESENTAÇÃO - PASSAGEM SÃO PAULO X RIO DE JANEIRO-BROKER-GUSTAVO D ELBOUX FERRIELLO (AGENDA 40726)</v>
      </c>
      <c r="B25" s="11">
        <v>46082</v>
      </c>
      <c r="C25" s="4">
        <v>817991</v>
      </c>
      <c r="D25" s="16" t="s">
        <v>615</v>
      </c>
      <c r="E25" s="14">
        <v>-1965.33</v>
      </c>
      <c r="F25" s="2" t="s">
        <v>765</v>
      </c>
      <c r="G25" s="2">
        <v>46091</v>
      </c>
      <c r="H25" s="9">
        <v>1170</v>
      </c>
      <c r="I25" s="4"/>
      <c r="J25" s="4" t="s">
        <v>756</v>
      </c>
      <c r="K25" s="7" t="s">
        <v>806</v>
      </c>
      <c r="L25" s="4" t="s">
        <v>615</v>
      </c>
      <c r="M25" s="9" t="s">
        <v>2</v>
      </c>
      <c r="N25" s="4" t="str">
        <f>VLOOKUP(H25,Clientes!B:D,3,)</f>
        <v>BGC LIQUIDEZ DTVM LTDA</v>
      </c>
    </row>
    <row r="26" spans="1:14" x14ac:dyDescent="0.25">
      <c r="A26" s="4" t="str">
        <f t="shared" si="0"/>
        <v>DESPESA DE REPRESENTAÇÃO - PASSAGEM SÃO PAULO X RIO DE JANEIRO-BROKER-FELIPE DE SA TAVARES (AGENDA 40726)</v>
      </c>
      <c r="B26" s="11">
        <v>46082</v>
      </c>
      <c r="C26" s="4">
        <v>817991</v>
      </c>
      <c r="D26" s="16" t="s">
        <v>768</v>
      </c>
      <c r="E26" s="14">
        <v>-852.5</v>
      </c>
      <c r="F26" s="2" t="s">
        <v>765</v>
      </c>
      <c r="G26" s="2">
        <v>46091</v>
      </c>
      <c r="H26" s="9">
        <v>1170</v>
      </c>
      <c r="I26" s="4"/>
      <c r="J26" s="4" t="s">
        <v>756</v>
      </c>
      <c r="K26" s="7" t="s">
        <v>806</v>
      </c>
      <c r="L26" s="4" t="s">
        <v>768</v>
      </c>
      <c r="M26" s="9" t="s">
        <v>2</v>
      </c>
      <c r="N26" s="4" t="str">
        <f>VLOOKUP(H26,Clientes!B:D,3,)</f>
        <v>BGC LIQUIDEZ DTVM LTDA</v>
      </c>
    </row>
    <row r="27" spans="1:14" x14ac:dyDescent="0.25">
      <c r="A27" s="4" t="str">
        <f t="shared" si="0"/>
        <v>DESPESA DE REPRESENTAÇÃO - PASSAGEM SÃO PAULO X PORTO ALEGRE-BROKER-FELIPE DE SA TAVARES (AGENDA 40726)</v>
      </c>
      <c r="B27" s="11">
        <v>46082</v>
      </c>
      <c r="C27" s="4">
        <v>817991</v>
      </c>
      <c r="D27" s="16" t="s">
        <v>768</v>
      </c>
      <c r="E27" s="14">
        <v>-1465.58</v>
      </c>
      <c r="F27" s="2" t="s">
        <v>765</v>
      </c>
      <c r="G27" s="2">
        <v>46091</v>
      </c>
      <c r="H27" s="9">
        <v>1170</v>
      </c>
      <c r="I27" s="4"/>
      <c r="J27" s="4" t="s">
        <v>807</v>
      </c>
      <c r="K27" s="7" t="s">
        <v>806</v>
      </c>
      <c r="L27" s="4" t="s">
        <v>768</v>
      </c>
      <c r="M27" s="9" t="s">
        <v>2</v>
      </c>
      <c r="N27" s="4" t="str">
        <f>VLOOKUP(H27,Clientes!B:D,3,)</f>
        <v>BGC LIQUIDEZ DTVM LTDA</v>
      </c>
    </row>
    <row r="28" spans="1:14" x14ac:dyDescent="0.25">
      <c r="A28" s="4" t="str">
        <f t="shared" si="0"/>
        <v>DESPESA DE REPRESENTAÇÃO - PASSAGEM SÃO PAULO X PORTO ALEGRE-BROKER-REINALDO ANDRE URBANO FILHO (AGENDA 40726)</v>
      </c>
      <c r="B28" s="11">
        <v>46082</v>
      </c>
      <c r="C28" s="4">
        <v>817991</v>
      </c>
      <c r="D28" s="16" t="s">
        <v>652</v>
      </c>
      <c r="E28" s="14">
        <v>-1473.46</v>
      </c>
      <c r="F28" s="2" t="s">
        <v>765</v>
      </c>
      <c r="G28" s="2">
        <v>46091</v>
      </c>
      <c r="H28" s="9">
        <v>1170</v>
      </c>
      <c r="I28" s="4"/>
      <c r="J28" s="4" t="s">
        <v>807</v>
      </c>
      <c r="K28" s="7" t="s">
        <v>806</v>
      </c>
      <c r="L28" s="4" t="s">
        <v>652</v>
      </c>
      <c r="M28" s="9" t="s">
        <v>2</v>
      </c>
      <c r="N28" s="4" t="str">
        <f>VLOOKUP(H28,Clientes!B:D,3,)</f>
        <v>BGC LIQUIDEZ DTVM LTDA</v>
      </c>
    </row>
    <row r="29" spans="1:14" x14ac:dyDescent="0.25">
      <c r="A29" s="4" t="str">
        <f t="shared" si="0"/>
        <v>DESPESA DE REPRESENTAÇÃO - PASSAGEM SÃO PAULO X PORTO ALEGRE-BROKER-NAYANA IVO DE ALMEIDA (AGENDA 40726)</v>
      </c>
      <c r="B29" s="11">
        <v>46082</v>
      </c>
      <c r="C29" s="4">
        <v>817991</v>
      </c>
      <c r="D29" s="16" t="s">
        <v>665</v>
      </c>
      <c r="E29" s="14">
        <v>-1508.46</v>
      </c>
      <c r="F29" s="2" t="s">
        <v>765</v>
      </c>
      <c r="G29" s="2">
        <v>46091</v>
      </c>
      <c r="H29" s="9">
        <v>1170</v>
      </c>
      <c r="I29" s="4"/>
      <c r="J29" s="4" t="s">
        <v>807</v>
      </c>
      <c r="K29" s="7" t="s">
        <v>806</v>
      </c>
      <c r="L29" s="4" t="s">
        <v>665</v>
      </c>
      <c r="M29" s="9" t="s">
        <v>2</v>
      </c>
      <c r="N29" s="4" t="str">
        <f>VLOOKUP(H29,Clientes!B:D,3,)</f>
        <v>BGC LIQUIDEZ DTVM LTDA</v>
      </c>
    </row>
    <row r="30" spans="1:14" x14ac:dyDescent="0.25">
      <c r="A30" s="4" t="str">
        <f t="shared" si="0"/>
        <v>DESPESA DE REPRESENTAÇÃO - HOSPEDAGEM PORTO ALEGRE-BROKER-NAYANA IVO DE ALMEIDA (AGENDA 40726)</v>
      </c>
      <c r="B30" s="11">
        <v>46082</v>
      </c>
      <c r="C30" s="4">
        <v>817991</v>
      </c>
      <c r="D30" s="16" t="s">
        <v>665</v>
      </c>
      <c r="E30" s="14">
        <v>-585.52</v>
      </c>
      <c r="F30" s="2" t="s">
        <v>667</v>
      </c>
      <c r="G30" s="2">
        <v>46091</v>
      </c>
      <c r="H30" s="9">
        <v>1170</v>
      </c>
      <c r="I30" s="4"/>
      <c r="J30" s="4" t="s">
        <v>808</v>
      </c>
      <c r="K30" s="7" t="s">
        <v>806</v>
      </c>
      <c r="L30" s="4" t="s">
        <v>665</v>
      </c>
      <c r="M30" s="9" t="s">
        <v>2</v>
      </c>
      <c r="N30" s="4" t="str">
        <f>VLOOKUP(H30,Clientes!B:D,3,)</f>
        <v>BGC LIQUIDEZ DTVM LTDA</v>
      </c>
    </row>
    <row r="31" spans="1:14" x14ac:dyDescent="0.25">
      <c r="A31" s="4" t="str">
        <f t="shared" si="0"/>
        <v>DESPESA DE REPRESENTAÇÃO - HOSPEDAGEM PORTO ALEGRE-BROKER-REINALDO ANDRE URBANO FILHO (AGENDA 40726)</v>
      </c>
      <c r="B31" s="11">
        <v>46082</v>
      </c>
      <c r="C31" s="4">
        <v>817991</v>
      </c>
      <c r="D31" s="16" t="s">
        <v>652</v>
      </c>
      <c r="E31" s="14">
        <v>-585.52</v>
      </c>
      <c r="F31" s="2" t="s">
        <v>667</v>
      </c>
      <c r="G31" s="2">
        <v>46091</v>
      </c>
      <c r="H31" s="9">
        <v>1170</v>
      </c>
      <c r="I31" s="4"/>
      <c r="J31" s="4" t="s">
        <v>808</v>
      </c>
      <c r="K31" s="7" t="s">
        <v>806</v>
      </c>
      <c r="L31" s="4" t="s">
        <v>652</v>
      </c>
      <c r="M31" s="9" t="s">
        <v>2</v>
      </c>
      <c r="N31" s="4" t="str">
        <f>VLOOKUP(H31,Clientes!B:D,3,)</f>
        <v>BGC LIQUIDEZ DTVM LTDA</v>
      </c>
    </row>
    <row r="32" spans="1:14" x14ac:dyDescent="0.25">
      <c r="A32" s="4" t="str">
        <f t="shared" si="0"/>
        <v>DESPESA DE REPRESENTAÇÃO - PASSAGEM SÃO PAULO X PORTO ALEGRE-BROKER-FERNANDA CORVELLO BUTRICO (AGENDA 40726)</v>
      </c>
      <c r="B32" s="11">
        <v>46082</v>
      </c>
      <c r="C32" s="4">
        <v>817991</v>
      </c>
      <c r="D32" s="16" t="s">
        <v>475</v>
      </c>
      <c r="E32" s="14">
        <v>-1465.58</v>
      </c>
      <c r="F32" s="2" t="s">
        <v>765</v>
      </c>
      <c r="G32" s="2">
        <v>46091</v>
      </c>
      <c r="H32" s="9">
        <v>1170</v>
      </c>
      <c r="I32" s="4"/>
      <c r="J32" s="4" t="s">
        <v>807</v>
      </c>
      <c r="K32" s="7" t="s">
        <v>806</v>
      </c>
      <c r="L32" s="4" t="s">
        <v>475</v>
      </c>
      <c r="M32" s="9" t="s">
        <v>2</v>
      </c>
      <c r="N32" s="4" t="str">
        <f>VLOOKUP(H32,Clientes!B:D,3,)</f>
        <v>BGC LIQUIDEZ DTVM LTDA</v>
      </c>
    </row>
    <row r="33" spans="1:14" x14ac:dyDescent="0.25">
      <c r="A33" s="4" t="str">
        <f t="shared" si="0"/>
        <v>DESPESA DE REPRESENTAÇÃO - ALMOÇO-TRADER -MAURO OKUMA LACERDA (145713-3688EA)</v>
      </c>
      <c r="B33" s="11">
        <v>46082</v>
      </c>
      <c r="C33" s="4">
        <v>817991</v>
      </c>
      <c r="D33" s="16" t="s">
        <v>653</v>
      </c>
      <c r="E33" s="14">
        <v>-542.64</v>
      </c>
      <c r="F33" s="2" t="s">
        <v>447</v>
      </c>
      <c r="G33" s="2">
        <v>46086</v>
      </c>
      <c r="H33" s="9">
        <v>12413</v>
      </c>
      <c r="I33" s="4"/>
      <c r="J33" s="4" t="s">
        <v>447</v>
      </c>
      <c r="K33" s="7" t="s">
        <v>809</v>
      </c>
      <c r="L33" s="4" t="s">
        <v>780</v>
      </c>
      <c r="M33" s="9" t="s">
        <v>783</v>
      </c>
      <c r="N33" s="4" t="str">
        <f>VLOOKUP(H33,Clientes!B:D,3,)</f>
        <v>KAPITALO INVESTIMENTOS LTDA</v>
      </c>
    </row>
    <row r="34" spans="1:14" x14ac:dyDescent="0.25">
      <c r="A34" s="4" t="str">
        <f t="shared" si="0"/>
        <v>DESPESA DE REPRESENTAÇÃO - ALMOÇO-TRADER -ROGERIO (141316-3688GF)</v>
      </c>
      <c r="B34" s="11">
        <v>46082</v>
      </c>
      <c r="C34" s="4">
        <v>817991</v>
      </c>
      <c r="D34" s="16" t="s">
        <v>615</v>
      </c>
      <c r="E34" s="14">
        <v>-1652.11</v>
      </c>
      <c r="F34" s="2" t="s">
        <v>447</v>
      </c>
      <c r="G34" s="2">
        <v>46086</v>
      </c>
      <c r="H34" s="9">
        <v>79985</v>
      </c>
      <c r="I34" s="4"/>
      <c r="J34" s="4" t="s">
        <v>447</v>
      </c>
      <c r="K34" s="7" t="s">
        <v>810</v>
      </c>
      <c r="L34" s="4" t="s">
        <v>811</v>
      </c>
      <c r="M34" s="9" t="s">
        <v>783</v>
      </c>
      <c r="N34" s="4" t="str">
        <f>VLOOKUP(H34,Clientes!B:D,3,)</f>
        <v>ITAU UNIBANCO S/A</v>
      </c>
    </row>
    <row r="35" spans="1:14" x14ac:dyDescent="0.25">
      <c r="A35" s="4" t="str">
        <f t="shared" si="0"/>
        <v>DESPESA DE REPRESENTAÇÃO - PASSAGEM SÃO PAULO X BRASÍLIA -SALES-JOSE ANTONIO DEZENE JUNIOR (161152-3688JD)</v>
      </c>
      <c r="B35" s="11">
        <v>46082</v>
      </c>
      <c r="C35" s="4">
        <v>817991</v>
      </c>
      <c r="D35" s="16" t="s">
        <v>428</v>
      </c>
      <c r="E35" s="14">
        <v>-1549.7</v>
      </c>
      <c r="F35" s="2" t="s">
        <v>765</v>
      </c>
      <c r="G35" s="2">
        <v>46086</v>
      </c>
      <c r="H35" s="9">
        <v>1170</v>
      </c>
      <c r="I35" s="4"/>
      <c r="J35" s="4" t="s">
        <v>812</v>
      </c>
      <c r="K35" s="7" t="s">
        <v>813</v>
      </c>
      <c r="L35" s="4" t="s">
        <v>428</v>
      </c>
      <c r="M35" s="9" t="s">
        <v>468</v>
      </c>
      <c r="N35" s="4" t="str">
        <f>VLOOKUP(H35,Clientes!B:D,3,)</f>
        <v>BGC LIQUIDEZ DTVM LTDA</v>
      </c>
    </row>
    <row r="36" spans="1:14" x14ac:dyDescent="0.25">
      <c r="A36" s="4" t="str">
        <f t="shared" si="0"/>
        <v>DESPESA DE REPRESENTAÇÃO - ALMOÇO-TRADER-BRUNO PAULO FERREIRA (172732-3688NA)</v>
      </c>
      <c r="B36" s="11">
        <v>46082</v>
      </c>
      <c r="C36" s="4">
        <v>817991</v>
      </c>
      <c r="D36" s="16" t="s">
        <v>665</v>
      </c>
      <c r="E36" s="14">
        <v>-709.64</v>
      </c>
      <c r="F36" s="2" t="s">
        <v>447</v>
      </c>
      <c r="G36" s="2">
        <v>46086</v>
      </c>
      <c r="H36" s="9">
        <v>12413</v>
      </c>
      <c r="I36" s="4"/>
      <c r="J36" s="4" t="s">
        <v>447</v>
      </c>
      <c r="K36" s="7" t="s">
        <v>814</v>
      </c>
      <c r="L36" s="4" t="s">
        <v>815</v>
      </c>
      <c r="M36" s="9" t="s">
        <v>335</v>
      </c>
      <c r="N36" s="4" t="str">
        <f>VLOOKUP(H36,Clientes!B:D,3,)</f>
        <v>KAPITALO INVESTIMENTOS LTDA</v>
      </c>
    </row>
    <row r="37" spans="1:14" x14ac:dyDescent="0.25">
      <c r="A37" s="4" t="str">
        <f t="shared" si="0"/>
        <v>DESPESA DE REPRESENTAÇÃO - ALMOÇO-MIDDLE-BRUNO MOURA (155406-3688MP)</v>
      </c>
      <c r="B37" s="11">
        <v>46082</v>
      </c>
      <c r="C37" s="4">
        <v>817991</v>
      </c>
      <c r="D37" s="16" t="s">
        <v>477</v>
      </c>
      <c r="E37" s="14">
        <v>-1113.05</v>
      </c>
      <c r="F37" s="2" t="s">
        <v>447</v>
      </c>
      <c r="G37" s="2">
        <v>46086</v>
      </c>
      <c r="H37" s="9">
        <v>82639</v>
      </c>
      <c r="I37" s="4"/>
      <c r="J37" s="4" t="s">
        <v>447</v>
      </c>
      <c r="K37" s="7" t="s">
        <v>816</v>
      </c>
      <c r="L37" s="4" t="s">
        <v>817</v>
      </c>
      <c r="M37" s="9" t="s">
        <v>818</v>
      </c>
      <c r="N37" s="4" t="str">
        <f>VLOOKUP(H37,Clientes!B:D,3,)</f>
        <v>SAFRA ASSET CORRETORA DE TITULOS E VALORES MOBILIARIOS S.A.</v>
      </c>
    </row>
    <row r="38" spans="1:14" x14ac:dyDescent="0.25">
      <c r="A38" s="4" t="str">
        <f t="shared" si="0"/>
        <v>DESPESA DE REPRESENTAÇÃO - HAPPY HOUR-TRADER-HENRIQUE TEIXEIRA CASTAGNET (132652-3688AA)</v>
      </c>
      <c r="B38" s="11">
        <v>46082</v>
      </c>
      <c r="C38" s="4">
        <v>817991</v>
      </c>
      <c r="D38" s="16" t="s">
        <v>379</v>
      </c>
      <c r="E38" s="14">
        <v>-2500</v>
      </c>
      <c r="F38" s="2" t="s">
        <v>766</v>
      </c>
      <c r="G38" s="2">
        <v>46085</v>
      </c>
      <c r="H38" s="9">
        <v>83577</v>
      </c>
      <c r="I38" s="4"/>
      <c r="J38" s="4" t="s">
        <v>485</v>
      </c>
      <c r="K38" s="7" t="s">
        <v>819</v>
      </c>
      <c r="L38" s="4" t="s">
        <v>679</v>
      </c>
      <c r="M38" s="9" t="s">
        <v>335</v>
      </c>
      <c r="N38" s="4" t="str">
        <f>VLOOKUP(H38,Clientes!B:D,3,)</f>
        <v>BANCO MIZUHO DO BRASIL S/A</v>
      </c>
    </row>
    <row r="39" spans="1:14" x14ac:dyDescent="0.25">
      <c r="A39" s="4" t="str">
        <f t="shared" si="0"/>
        <v>DESPESA DE REPRESENTAÇÃO - PASSAGEM SÃO PAULO X MIAMI-CEO-ERMINIO OLIVI LUCCI (AGENDA 40766)</v>
      </c>
      <c r="B39" s="11">
        <v>46082</v>
      </c>
      <c r="C39" s="4">
        <v>817991</v>
      </c>
      <c r="D39" s="16" t="s">
        <v>650</v>
      </c>
      <c r="E39" s="14">
        <v>-27866.35</v>
      </c>
      <c r="F39" s="2" t="s">
        <v>765</v>
      </c>
      <c r="G39" s="2">
        <v>46093</v>
      </c>
      <c r="H39" s="9">
        <v>1170</v>
      </c>
      <c r="I39" s="4"/>
      <c r="J39" s="4" t="s">
        <v>546</v>
      </c>
      <c r="K39" s="7" t="s">
        <v>820</v>
      </c>
      <c r="L39" s="4" t="s">
        <v>650</v>
      </c>
      <c r="M39" s="9" t="s">
        <v>490</v>
      </c>
      <c r="N39" s="4" t="str">
        <f>VLOOKUP(H39,Clientes!B:D,3,)</f>
        <v>BGC LIQUIDEZ DTVM LTDA</v>
      </c>
    </row>
    <row r="40" spans="1:14" x14ac:dyDescent="0.25">
      <c r="A40" s="4" t="str">
        <f t="shared" si="0"/>
        <v>DESPESA DE REPRESENTAÇÃO - JANTAR-TRADER-CAIO VIEIRA (100802-3688AL)</v>
      </c>
      <c r="B40" s="11">
        <v>46082</v>
      </c>
      <c r="C40" s="4">
        <v>817991</v>
      </c>
      <c r="D40" s="16" t="s">
        <v>39</v>
      </c>
      <c r="E40" s="14">
        <v>-1806.87</v>
      </c>
      <c r="F40" s="2" t="s">
        <v>380</v>
      </c>
      <c r="G40" s="2">
        <v>46093</v>
      </c>
      <c r="H40" s="9">
        <v>9000</v>
      </c>
      <c r="I40" s="4"/>
      <c r="J40" s="4" t="s">
        <v>380</v>
      </c>
      <c r="K40" s="7" t="s">
        <v>821</v>
      </c>
      <c r="L40" s="4" t="s">
        <v>822</v>
      </c>
      <c r="M40" s="9" t="s">
        <v>335</v>
      </c>
      <c r="N40" s="4" t="str">
        <f>VLOOKUP(H40,Clientes!B:D,3,)</f>
        <v>DEUTSCHE BANK S/A</v>
      </c>
    </row>
    <row r="41" spans="1:14" x14ac:dyDescent="0.25">
      <c r="A41" s="4" t="str">
        <f t="shared" si="0"/>
        <v>DESPESA DE REPRESENTAÇÃO - JANTAR-TRADER-BRUNO BUDANT PEROTTONI (093251-3688JV)</v>
      </c>
      <c r="B41" s="11">
        <v>46082</v>
      </c>
      <c r="C41" s="4">
        <v>817991</v>
      </c>
      <c r="D41" s="16" t="s">
        <v>459</v>
      </c>
      <c r="E41" s="14">
        <v>-1001.18</v>
      </c>
      <c r="F41" s="2" t="s">
        <v>380</v>
      </c>
      <c r="G41" s="2">
        <v>46093</v>
      </c>
      <c r="H41" s="9">
        <v>81794</v>
      </c>
      <c r="I41" s="4"/>
      <c r="J41" s="4" t="s">
        <v>380</v>
      </c>
      <c r="K41" s="7" t="s">
        <v>823</v>
      </c>
      <c r="L41" s="4" t="s">
        <v>535</v>
      </c>
      <c r="M41" s="9" t="s">
        <v>335</v>
      </c>
      <c r="N41" s="4" t="str">
        <f>VLOOKUP(H41,Clientes!B:D,3,)</f>
        <v>BRAZA BANK S/A BANCO DE CAMBIO</v>
      </c>
    </row>
    <row r="42" spans="1:14" x14ac:dyDescent="0.25">
      <c r="A42" s="4" t="str">
        <f t="shared" si="0"/>
        <v>DESPESA DE REPRESENTAÇÃO - JANTAR-TRADER-FELIPE GARCIA (102924-3688AC)</v>
      </c>
      <c r="B42" s="11">
        <v>46082</v>
      </c>
      <c r="C42" s="4">
        <v>817991</v>
      </c>
      <c r="D42" s="16" t="s">
        <v>331</v>
      </c>
      <c r="E42" s="14">
        <v>-1504.03</v>
      </c>
      <c r="F42" s="2" t="s">
        <v>380</v>
      </c>
      <c r="G42" s="2">
        <v>46093</v>
      </c>
      <c r="H42" s="9">
        <v>80573</v>
      </c>
      <c r="I42" s="4"/>
      <c r="J42" s="4" t="s">
        <v>380</v>
      </c>
      <c r="K42" s="7" t="s">
        <v>824</v>
      </c>
      <c r="L42" s="4" t="s">
        <v>451</v>
      </c>
      <c r="M42" s="9" t="s">
        <v>335</v>
      </c>
      <c r="N42" s="4" t="str">
        <f>VLOOKUP(H42,Clientes!B:D,3,)</f>
        <v>BANCO C6 S/A</v>
      </c>
    </row>
    <row r="43" spans="1:14" x14ac:dyDescent="0.25">
      <c r="A43" s="4" t="str">
        <f t="shared" si="0"/>
        <v>DESPESA DE REPRESENTAÇÃO - ALMOÇO-TRADER-MAURO BAPTISTA (161559-3688RP)</v>
      </c>
      <c r="B43" s="11">
        <v>46082</v>
      </c>
      <c r="C43" s="4">
        <v>817991</v>
      </c>
      <c r="D43" s="16" t="s">
        <v>482</v>
      </c>
      <c r="E43" s="14">
        <v>-540.17999999999995</v>
      </c>
      <c r="F43" s="2" t="s">
        <v>447</v>
      </c>
      <c r="G43" s="2">
        <v>46093</v>
      </c>
      <c r="H43" s="9">
        <v>80510</v>
      </c>
      <c r="I43" s="4"/>
      <c r="J43" s="4" t="s">
        <v>447</v>
      </c>
      <c r="K43" s="7" t="s">
        <v>825</v>
      </c>
      <c r="L43" s="4" t="s">
        <v>826</v>
      </c>
      <c r="M43" s="9" t="s">
        <v>335</v>
      </c>
      <c r="N43" s="4" t="str">
        <f>VLOOKUP(H43,Clientes!B:D,3,)</f>
        <v>ITAU UNIBANCO ASSET - TACO</v>
      </c>
    </row>
    <row r="44" spans="1:14" x14ac:dyDescent="0.25">
      <c r="A44" s="4" t="str">
        <f t="shared" si="0"/>
        <v>DESPESA DE REPRESENTAÇÃO - HOSPEDAGEM NEW CITI ITAIM -BROKER-MARIO VICTOR SOARES MIRANDA (AGENDA 40789)</v>
      </c>
      <c r="B44" s="11">
        <v>46082</v>
      </c>
      <c r="C44" s="4">
        <v>817991</v>
      </c>
      <c r="D44" s="16" t="s">
        <v>648</v>
      </c>
      <c r="E44" s="14">
        <v>-2092.6799999999998</v>
      </c>
      <c r="F44" s="2" t="s">
        <v>667</v>
      </c>
      <c r="G44" s="2">
        <v>46097</v>
      </c>
      <c r="H44" s="9">
        <v>1170</v>
      </c>
      <c r="I44" s="4"/>
      <c r="J44" s="4" t="s">
        <v>827</v>
      </c>
      <c r="K44" s="7" t="s">
        <v>828</v>
      </c>
      <c r="L44" s="4" t="s">
        <v>767</v>
      </c>
      <c r="M44" s="9" t="s">
        <v>2</v>
      </c>
      <c r="N44" s="4" t="str">
        <f>VLOOKUP(H44,Clientes!B:D,3,)</f>
        <v>BGC LIQUIDEZ DTVM LTDA</v>
      </c>
    </row>
    <row r="45" spans="1:14" x14ac:dyDescent="0.25">
      <c r="A45" s="4" t="str">
        <f t="shared" si="0"/>
        <v>DESPESA DE REPRESENTAÇÃO - CARTÃO CORPORATIVO NACIONAL-CEO-ERMINIO OLIVI LUCCI (AGENDA 40802)</v>
      </c>
      <c r="B45" s="11">
        <v>46082</v>
      </c>
      <c r="C45" s="4">
        <v>817991</v>
      </c>
      <c r="D45" s="16" t="s">
        <v>650</v>
      </c>
      <c r="E45" s="14">
        <v>-13378.97</v>
      </c>
      <c r="F45" s="2" t="s">
        <v>389</v>
      </c>
      <c r="G45" s="2">
        <v>46097</v>
      </c>
      <c r="H45" s="9">
        <v>1170</v>
      </c>
      <c r="I45" s="4"/>
      <c r="J45" s="4" t="s">
        <v>984</v>
      </c>
      <c r="K45" s="7" t="s">
        <v>829</v>
      </c>
      <c r="L45" s="4" t="s">
        <v>650</v>
      </c>
      <c r="M45" s="9" t="s">
        <v>490</v>
      </c>
      <c r="N45" s="4" t="str">
        <f>VLOOKUP(H45,Clientes!B:D,3,)</f>
        <v>BGC LIQUIDEZ DTVM LTDA</v>
      </c>
    </row>
    <row r="46" spans="1:14" x14ac:dyDescent="0.25">
      <c r="A46" s="4" t="str">
        <f t="shared" si="0"/>
        <v>DESPESA DE REPRESENTAÇÃO - CARTÃO CORPORATIVO INTERNACIONAL-CEO-ERMINIO OLIVI LUCCI (AGENDA 40802)</v>
      </c>
      <c r="B46" s="11">
        <v>46082</v>
      </c>
      <c r="C46" s="4">
        <v>817991</v>
      </c>
      <c r="D46" s="16" t="s">
        <v>650</v>
      </c>
      <c r="E46" s="14">
        <v>-58095.839999999997</v>
      </c>
      <c r="F46" s="2" t="s">
        <v>389</v>
      </c>
      <c r="G46" s="2">
        <v>46097</v>
      </c>
      <c r="H46" s="9">
        <v>1170</v>
      </c>
      <c r="I46" s="4"/>
      <c r="J46" s="4" t="s">
        <v>983</v>
      </c>
      <c r="K46" s="7" t="s">
        <v>829</v>
      </c>
      <c r="L46" s="4" t="s">
        <v>650</v>
      </c>
      <c r="M46" s="9" t="s">
        <v>490</v>
      </c>
      <c r="N46" s="4" t="str">
        <f>VLOOKUP(H46,Clientes!B:D,3,)</f>
        <v>BGC LIQUIDEZ DTVM LTDA</v>
      </c>
    </row>
    <row r="47" spans="1:14" x14ac:dyDescent="0.25">
      <c r="A47" s="4" t="str">
        <f t="shared" si="0"/>
        <v>DESPESA DE REPRESENTAÇÃO - MACRO LUNCH NO LOUP POS DIVULGAÇÃO DO CUPOM-SALES-JOSE ANTONIO DEZENE JUNIOR (AGENDA 40802)</v>
      </c>
      <c r="B47" s="11">
        <v>46082</v>
      </c>
      <c r="C47" s="4">
        <v>817991</v>
      </c>
      <c r="D47" s="16" t="s">
        <v>428</v>
      </c>
      <c r="E47" s="14">
        <v>-5899.73</v>
      </c>
      <c r="F47" s="2" t="s">
        <v>447</v>
      </c>
      <c r="G47" s="2">
        <v>46097</v>
      </c>
      <c r="H47" s="9">
        <v>1170</v>
      </c>
      <c r="I47" s="4"/>
      <c r="J47" s="4" t="s">
        <v>1022</v>
      </c>
      <c r="K47" s="7" t="s">
        <v>829</v>
      </c>
      <c r="L47" s="4" t="s">
        <v>428</v>
      </c>
      <c r="M47" s="9" t="s">
        <v>468</v>
      </c>
      <c r="N47" s="4" t="str">
        <f>VLOOKUP(H47,Clientes!B:D,3,)</f>
        <v>BGC LIQUIDEZ DTVM LTDA</v>
      </c>
    </row>
    <row r="48" spans="1:14" x14ac:dyDescent="0.25">
      <c r="A48" s="4" t="str">
        <f t="shared" si="0"/>
        <v>DESPESA DE REPRESENTAÇÃO - ALMOÇO RUFINOS COM CLIENTES KAPITALO E CLAUDIA (POLITICA)-SALES-JOSE ANTONIO DEZENE JUNIOR (AGENDA 40802)</v>
      </c>
      <c r="B48" s="11">
        <v>46082</v>
      </c>
      <c r="C48" s="4">
        <v>817991</v>
      </c>
      <c r="D48" s="16" t="s">
        <v>428</v>
      </c>
      <c r="E48" s="14">
        <v>-2064.16</v>
      </c>
      <c r="F48" s="2" t="s">
        <v>447</v>
      </c>
      <c r="G48" s="2">
        <v>46097</v>
      </c>
      <c r="H48" s="9">
        <v>1170</v>
      </c>
      <c r="I48" s="4"/>
      <c r="J48" s="4" t="s">
        <v>1023</v>
      </c>
      <c r="K48" s="7" t="s">
        <v>829</v>
      </c>
      <c r="L48" s="4" t="s">
        <v>428</v>
      </c>
      <c r="M48" s="9" t="s">
        <v>468</v>
      </c>
      <c r="N48" s="4" t="str">
        <f>VLOOKUP(H48,Clientes!B:D,3,)</f>
        <v>BGC LIQUIDEZ DTVM LTDA</v>
      </c>
    </row>
    <row r="49" spans="1:14" x14ac:dyDescent="0.25">
      <c r="A49" s="4" t="str">
        <f t="shared" si="0"/>
        <v>DESPESA DE REPRESENTAÇÃO - SHOW HARRY SYLES - 2 INGRESSOS-TRADER-THALITA SOARES (AGENDA 40802)</v>
      </c>
      <c r="B49" s="11">
        <v>46082</v>
      </c>
      <c r="C49" s="4">
        <v>817991</v>
      </c>
      <c r="D49" s="16" t="s">
        <v>378</v>
      </c>
      <c r="E49" s="14">
        <v>-1963.48</v>
      </c>
      <c r="F49" s="2" t="s">
        <v>766</v>
      </c>
      <c r="G49" s="2">
        <v>46097</v>
      </c>
      <c r="H49" s="9">
        <v>80769</v>
      </c>
      <c r="I49" s="4"/>
      <c r="J49" s="4" t="s">
        <v>1024</v>
      </c>
      <c r="K49" s="7" t="s">
        <v>829</v>
      </c>
      <c r="L49" s="4" t="s">
        <v>740</v>
      </c>
      <c r="M49" s="9" t="s">
        <v>335</v>
      </c>
      <c r="N49" s="4" t="str">
        <f>VLOOKUP(H49,Clientes!B:D,3,)</f>
        <v>BANCO XP S/A</v>
      </c>
    </row>
    <row r="50" spans="1:14" x14ac:dyDescent="0.25">
      <c r="A50" s="4" t="str">
        <f t="shared" si="0"/>
        <v>DESPESA DE REPRESENTAÇÃO - ALMOÇO-TRADER-ANDRE ALBUQUERQUE BAUM (173110-3688FB)</v>
      </c>
      <c r="B50" s="11">
        <v>46082</v>
      </c>
      <c r="C50" s="4">
        <v>817991</v>
      </c>
      <c r="D50" s="16" t="s">
        <v>475</v>
      </c>
      <c r="E50" s="14">
        <v>-996.66</v>
      </c>
      <c r="F50" s="2" t="s">
        <v>447</v>
      </c>
      <c r="G50" s="2">
        <v>46093</v>
      </c>
      <c r="H50" s="9">
        <v>12413</v>
      </c>
      <c r="I50" s="4"/>
      <c r="J50" s="4" t="s">
        <v>447</v>
      </c>
      <c r="K50" s="7" t="s">
        <v>830</v>
      </c>
      <c r="L50" s="4" t="s">
        <v>473</v>
      </c>
      <c r="M50" s="9" t="s">
        <v>335</v>
      </c>
      <c r="N50" s="4" t="str">
        <f>VLOOKUP(H50,Clientes!B:D,3,)</f>
        <v>KAPITALO INVESTIMENTOS LTDA</v>
      </c>
    </row>
    <row r="51" spans="1:14" x14ac:dyDescent="0.25">
      <c r="A51" s="4" t="str">
        <f t="shared" si="0"/>
        <v>DESPESA DE REPRESENTAÇÃO - ALMOÇOS COM CONTATOS NY FENICS MARKET DATA-SALES-ROBERT HENDRIK SCHARRINGA (120602-3688RS)</v>
      </c>
      <c r="B51" s="11">
        <v>46082</v>
      </c>
      <c r="C51" s="4">
        <v>817991</v>
      </c>
      <c r="D51" s="16" t="s">
        <v>769</v>
      </c>
      <c r="E51" s="14">
        <v>-1773.31</v>
      </c>
      <c r="F51" s="2" t="s">
        <v>447</v>
      </c>
      <c r="G51" s="2">
        <v>46093</v>
      </c>
      <c r="H51" s="9">
        <v>1170</v>
      </c>
      <c r="I51" s="4"/>
      <c r="J51" s="4" t="s">
        <v>831</v>
      </c>
      <c r="K51" s="7" t="s">
        <v>832</v>
      </c>
      <c r="L51" s="4" t="s">
        <v>769</v>
      </c>
      <c r="M51" s="9" t="s">
        <v>468</v>
      </c>
      <c r="N51" s="4" t="str">
        <f>VLOOKUP(H51,Clientes!B:D,3,)</f>
        <v>BGC LIQUIDEZ DTVM LTDA</v>
      </c>
    </row>
    <row r="52" spans="1:14" x14ac:dyDescent="0.25">
      <c r="A52" s="4" t="str">
        <f t="shared" si="0"/>
        <v>DESPESA DE REPRESENTAÇÃO - ALMOÇOS COM CONTATOS NY FENICS MARKET DATA-SALES-ROBERT HENDRIK SCHARRINGA (164521-3688RS)</v>
      </c>
      <c r="B52" s="11">
        <v>46082</v>
      </c>
      <c r="C52" s="4">
        <v>817991</v>
      </c>
      <c r="D52" s="16" t="s">
        <v>769</v>
      </c>
      <c r="E52" s="14">
        <v>-6175.94</v>
      </c>
      <c r="F52" s="2" t="s">
        <v>447</v>
      </c>
      <c r="G52" s="2">
        <v>46093</v>
      </c>
      <c r="H52" s="9">
        <v>1170</v>
      </c>
      <c r="I52" s="4"/>
      <c r="J52" s="4" t="s">
        <v>831</v>
      </c>
      <c r="K52" s="7" t="s">
        <v>833</v>
      </c>
      <c r="L52" s="4" t="s">
        <v>769</v>
      </c>
      <c r="M52" s="9" t="s">
        <v>468</v>
      </c>
      <c r="N52" s="4" t="str">
        <f>VLOOKUP(H52,Clientes!B:D,3,)</f>
        <v>BGC LIQUIDEZ DTVM LTDA</v>
      </c>
    </row>
    <row r="53" spans="1:14" x14ac:dyDescent="0.25">
      <c r="A53" s="4" t="str">
        <f t="shared" si="0"/>
        <v>DESPESA DE REPRESENTAÇÃO - VALOR COMPLEMENTAR DAS DESPESAS DE ALIMENTAÇÃO-SALES-ROBERT HENDRIK SCHARRINGA (173929-3688RS)</v>
      </c>
      <c r="B53" s="11">
        <v>46082</v>
      </c>
      <c r="C53" s="4">
        <v>817991</v>
      </c>
      <c r="D53" s="16" t="s">
        <v>769</v>
      </c>
      <c r="E53" s="14">
        <v>-181.84</v>
      </c>
      <c r="F53" s="2" t="s">
        <v>447</v>
      </c>
      <c r="G53" s="2">
        <v>46093</v>
      </c>
      <c r="H53" s="9">
        <v>1170</v>
      </c>
      <c r="I53" s="4"/>
      <c r="J53" s="4" t="s">
        <v>834</v>
      </c>
      <c r="K53" s="7" t="s">
        <v>835</v>
      </c>
      <c r="L53" s="4" t="s">
        <v>769</v>
      </c>
      <c r="M53" s="9" t="s">
        <v>468</v>
      </c>
      <c r="N53" s="4" t="str">
        <f>VLOOKUP(H53,Clientes!B:D,3,)</f>
        <v>BGC LIQUIDEZ DTVM LTDA</v>
      </c>
    </row>
    <row r="54" spans="1:14" x14ac:dyDescent="0.25">
      <c r="A54" s="4" t="str">
        <f t="shared" si="0"/>
        <v>DESPESA DE REPRESENTAÇÃO - IOF CARTÃO DESPESAS VIAGEM NY-SALES-ROBERT HENDRIK SCHARRINGA (174606-3688RS)</v>
      </c>
      <c r="B54" s="11">
        <v>46082</v>
      </c>
      <c r="C54" s="4">
        <v>817991</v>
      </c>
      <c r="D54" s="16" t="s">
        <v>769</v>
      </c>
      <c r="E54" s="14">
        <v>-301.31</v>
      </c>
      <c r="F54" s="2" t="s">
        <v>389</v>
      </c>
      <c r="G54" s="2">
        <v>46093</v>
      </c>
      <c r="H54" s="9">
        <v>1170</v>
      </c>
      <c r="I54" s="4"/>
      <c r="J54" s="4" t="s">
        <v>836</v>
      </c>
      <c r="K54" s="7" t="s">
        <v>837</v>
      </c>
      <c r="L54" s="4" t="s">
        <v>769</v>
      </c>
      <c r="M54" s="9" t="s">
        <v>468</v>
      </c>
      <c r="N54" s="4" t="str">
        <f>VLOOKUP(H54,Clientes!B:D,3,)</f>
        <v>BGC LIQUIDEZ DTVM LTDA</v>
      </c>
    </row>
    <row r="55" spans="1:14" x14ac:dyDescent="0.25">
      <c r="A55" s="4" t="str">
        <f t="shared" si="0"/>
        <v>DESPESA DE REPRESENTAÇÃO - UBER VIAGEM NY FENICS MARKET DATA -SALES-ROBERT HENDRIK SCHARRINGA (173240-3688RS)</v>
      </c>
      <c r="B55" s="11">
        <v>46082</v>
      </c>
      <c r="C55" s="4">
        <v>817991</v>
      </c>
      <c r="D55" s="16" t="s">
        <v>769</v>
      </c>
      <c r="E55" s="14">
        <v>-1818.55</v>
      </c>
      <c r="F55" s="2" t="s">
        <v>765</v>
      </c>
      <c r="G55" s="2">
        <v>46093</v>
      </c>
      <c r="H55" s="9">
        <v>1170</v>
      </c>
      <c r="I55" s="4"/>
      <c r="J55" s="4" t="s">
        <v>838</v>
      </c>
      <c r="K55" s="7" t="s">
        <v>839</v>
      </c>
      <c r="L55" s="4" t="s">
        <v>769</v>
      </c>
      <c r="M55" s="9" t="s">
        <v>468</v>
      </c>
      <c r="N55" s="4" t="str">
        <f>VLOOKUP(H55,Clientes!B:D,3,)</f>
        <v>BGC LIQUIDEZ DTVM LTDA</v>
      </c>
    </row>
    <row r="56" spans="1:14" x14ac:dyDescent="0.25">
      <c r="A56" s="4" t="str">
        <f t="shared" si="0"/>
        <v>DESPESA DE REPRESENTAÇÃO - UBER VIAGEM NY FENICS MARKET DATA -SALES-ROBERT HENDRIK SCHARRINGA (121230-3688RS)</v>
      </c>
      <c r="B56" s="11">
        <v>46082</v>
      </c>
      <c r="C56" s="4">
        <v>817991</v>
      </c>
      <c r="D56" s="16" t="s">
        <v>769</v>
      </c>
      <c r="E56" s="14">
        <v>-839.39</v>
      </c>
      <c r="F56" s="2" t="s">
        <v>765</v>
      </c>
      <c r="G56" s="2">
        <v>46093</v>
      </c>
      <c r="H56" s="9">
        <v>1170</v>
      </c>
      <c r="I56" s="4"/>
      <c r="J56" s="4" t="s">
        <v>838</v>
      </c>
      <c r="K56" s="7" t="s">
        <v>840</v>
      </c>
      <c r="L56" s="4" t="s">
        <v>769</v>
      </c>
      <c r="M56" s="9" t="s">
        <v>468</v>
      </c>
      <c r="N56" s="4" t="str">
        <f>VLOOKUP(H56,Clientes!B:D,3,)</f>
        <v>BGC LIQUIDEZ DTVM LTDA</v>
      </c>
    </row>
    <row r="57" spans="1:14" x14ac:dyDescent="0.25">
      <c r="A57" s="4" t="str">
        <f t="shared" si="0"/>
        <v>DESPESA DE REPRESENTAÇÃO - ALMOÇO COM A WARREN BRASIL GESTÃO-TRADER-LUCAS DE OLIVEIRA PEREIRA (150248-3688EC)</v>
      </c>
      <c r="B57" s="11">
        <v>46082</v>
      </c>
      <c r="C57" s="4">
        <v>817991</v>
      </c>
      <c r="D57" s="16" t="s">
        <v>647</v>
      </c>
      <c r="E57" s="14">
        <v>-633</v>
      </c>
      <c r="F57" s="2" t="s">
        <v>447</v>
      </c>
      <c r="G57" s="2">
        <v>46093</v>
      </c>
      <c r="H57" s="9">
        <v>1170</v>
      </c>
      <c r="I57" s="4"/>
      <c r="J57" s="4" t="s">
        <v>1025</v>
      </c>
      <c r="K57" s="7" t="s">
        <v>841</v>
      </c>
      <c r="L57" s="4" t="s">
        <v>842</v>
      </c>
      <c r="M57" s="9" t="s">
        <v>335</v>
      </c>
      <c r="N57" s="4" t="str">
        <f>VLOOKUP(H57,Clientes!B:D,3,)</f>
        <v>BGC LIQUIDEZ DTVM LTDA</v>
      </c>
    </row>
    <row r="58" spans="1:14" x14ac:dyDescent="0.25">
      <c r="A58" s="4" t="str">
        <f t="shared" si="0"/>
        <v>DESPESA DE REPRESENTAÇÃO - HOSPEDAGEM RADISSON BLU SÃO PAULO -CONSULTOR-RENAN REIS CRUVINEL (AGENDA 40829)</v>
      </c>
      <c r="B58" s="11">
        <v>46082</v>
      </c>
      <c r="C58" s="4">
        <v>817991</v>
      </c>
      <c r="D58" s="16" t="s">
        <v>538</v>
      </c>
      <c r="E58" s="14">
        <v>-1759</v>
      </c>
      <c r="F58" s="2" t="s">
        <v>667</v>
      </c>
      <c r="G58" s="2">
        <v>46099</v>
      </c>
      <c r="H58" s="9">
        <v>1170</v>
      </c>
      <c r="I58" s="4"/>
      <c r="J58" s="4" t="s">
        <v>775</v>
      </c>
      <c r="K58" s="7" t="s">
        <v>843</v>
      </c>
      <c r="L58" s="4" t="s">
        <v>538</v>
      </c>
      <c r="M58" s="9" t="s">
        <v>655</v>
      </c>
      <c r="N58" s="4" t="str">
        <f>VLOOKUP(H58,Clientes!B:D,3,)</f>
        <v>BGC LIQUIDEZ DTVM LTDA</v>
      </c>
    </row>
    <row r="59" spans="1:14" x14ac:dyDescent="0.25">
      <c r="A59" s="4" t="str">
        <f t="shared" si="0"/>
        <v>DESPESA DE REPRESENTAÇÃO - HOSPEDAGEM RADISSON BLU SÃO PAULO -BROKER-CLAUDIO DE SOUZA PACINI (AGENDA 40829)</v>
      </c>
      <c r="B59" s="11">
        <v>46082</v>
      </c>
      <c r="C59" s="4">
        <v>817991</v>
      </c>
      <c r="D59" s="16" t="s">
        <v>648</v>
      </c>
      <c r="E59" s="14">
        <v>-4857.6000000000004</v>
      </c>
      <c r="F59" s="2" t="s">
        <v>667</v>
      </c>
      <c r="G59" s="2">
        <v>46099</v>
      </c>
      <c r="H59" s="9">
        <v>1170</v>
      </c>
      <c r="I59" s="4"/>
      <c r="J59" s="4" t="s">
        <v>775</v>
      </c>
      <c r="K59" s="7" t="s">
        <v>843</v>
      </c>
      <c r="L59" s="4" t="s">
        <v>648</v>
      </c>
      <c r="M59" s="9" t="s">
        <v>2</v>
      </c>
      <c r="N59" s="4" t="str">
        <f>VLOOKUP(H59,Clientes!B:D,3,)</f>
        <v>BGC LIQUIDEZ DTVM LTDA</v>
      </c>
    </row>
    <row r="60" spans="1:14" x14ac:dyDescent="0.25">
      <c r="A60" s="4" t="str">
        <f t="shared" si="0"/>
        <v>DESPESA DE REPRESENTAÇÃO - HOSPEDAGEM RADISSON BLU SÃO PAULO -CONSULTORA -CLAUDIA TAVARES FERNANDES (AGENDA 40830)</v>
      </c>
      <c r="B60" s="11">
        <v>46082</v>
      </c>
      <c r="C60" s="4">
        <v>817991</v>
      </c>
      <c r="D60" s="16" t="s">
        <v>539</v>
      </c>
      <c r="E60" s="14">
        <v>-1652</v>
      </c>
      <c r="F60" s="2" t="s">
        <v>667</v>
      </c>
      <c r="G60" s="2">
        <v>46099</v>
      </c>
      <c r="H60" s="9">
        <v>1170</v>
      </c>
      <c r="I60" s="4"/>
      <c r="J60" s="4" t="s">
        <v>775</v>
      </c>
      <c r="K60" s="7" t="s">
        <v>844</v>
      </c>
      <c r="L60" s="4" t="s">
        <v>539</v>
      </c>
      <c r="M60" s="9" t="s">
        <v>1015</v>
      </c>
      <c r="N60" s="4" t="str">
        <f>VLOOKUP(H60,Clientes!B:D,3,)</f>
        <v>BGC LIQUIDEZ DTVM LTDA</v>
      </c>
    </row>
    <row r="61" spans="1:14" x14ac:dyDescent="0.25">
      <c r="A61" s="4" t="str">
        <f t="shared" si="0"/>
        <v>DESPESA DE REPRESENTAÇÃO - ALUGUEL FLAT -BROKER-PAULO GUILHERME MENEZES FELIX (AGENDA 40852)</v>
      </c>
      <c r="B61" s="11">
        <v>46082</v>
      </c>
      <c r="C61" s="4">
        <v>817991</v>
      </c>
      <c r="D61" s="16" t="s">
        <v>424</v>
      </c>
      <c r="E61" s="14">
        <v>-4202</v>
      </c>
      <c r="F61" s="2" t="s">
        <v>667</v>
      </c>
      <c r="G61" s="2">
        <v>46105</v>
      </c>
      <c r="H61" s="9">
        <v>1170</v>
      </c>
      <c r="I61" s="4"/>
      <c r="J61" s="4" t="s">
        <v>425</v>
      </c>
      <c r="K61" s="7" t="s">
        <v>845</v>
      </c>
      <c r="L61" s="4" t="s">
        <v>424</v>
      </c>
      <c r="M61" s="9" t="s">
        <v>2</v>
      </c>
      <c r="N61" s="4" t="str">
        <f>VLOOKUP(H61,Clientes!B:D,3,)</f>
        <v>BGC LIQUIDEZ DTVM LTDA</v>
      </c>
    </row>
    <row r="62" spans="1:14" x14ac:dyDescent="0.25">
      <c r="A62" s="4" t="str">
        <f t="shared" si="0"/>
        <v>DESPESA DE REPRESENTAÇÃO - CONDOMÍNIO E IPTU FLAT-BROKER-PAULO GUILHERME MENEZES FELIX (AGENDA 40854)</v>
      </c>
      <c r="B62" s="11">
        <v>46082</v>
      </c>
      <c r="C62" s="4">
        <v>817991</v>
      </c>
      <c r="D62" s="16" t="s">
        <v>424</v>
      </c>
      <c r="E62" s="14">
        <v>-798</v>
      </c>
      <c r="F62" s="2" t="s">
        <v>667</v>
      </c>
      <c r="G62" s="2">
        <v>46105</v>
      </c>
      <c r="H62" s="9">
        <v>1170</v>
      </c>
      <c r="I62" s="4"/>
      <c r="J62" s="4" t="s">
        <v>799</v>
      </c>
      <c r="K62" s="7" t="s">
        <v>846</v>
      </c>
      <c r="L62" s="4" t="s">
        <v>424</v>
      </c>
      <c r="M62" s="9" t="s">
        <v>2</v>
      </c>
      <c r="N62" s="4" t="str">
        <f>VLOOKUP(H62,Clientes!B:D,3,)</f>
        <v>BGC LIQUIDEZ DTVM LTDA</v>
      </c>
    </row>
    <row r="63" spans="1:14" x14ac:dyDescent="0.25">
      <c r="A63" s="4" t="str">
        <f t="shared" si="0"/>
        <v>DESPESA DE REPRESENTAÇÃO - HAPPY HOUR-TRADER-LUCAS TERAMOSSI  (125644-3688RC)</v>
      </c>
      <c r="B63" s="11">
        <v>46082</v>
      </c>
      <c r="C63" s="4">
        <v>817991</v>
      </c>
      <c r="D63" s="16" t="s">
        <v>646</v>
      </c>
      <c r="E63" s="14">
        <v>-1666</v>
      </c>
      <c r="F63" s="2" t="s">
        <v>766</v>
      </c>
      <c r="G63" s="2">
        <v>46100</v>
      </c>
      <c r="H63" s="9">
        <v>1170</v>
      </c>
      <c r="I63" s="4"/>
      <c r="J63" s="4" t="s">
        <v>485</v>
      </c>
      <c r="K63" s="7" t="s">
        <v>847</v>
      </c>
      <c r="L63" s="4" t="s">
        <v>848</v>
      </c>
      <c r="M63" s="9" t="s">
        <v>335</v>
      </c>
      <c r="N63" s="4" t="str">
        <f>VLOOKUP(H63,Clientes!B:D,3,)</f>
        <v>BGC LIQUIDEZ DTVM LTDA</v>
      </c>
    </row>
    <row r="64" spans="1:14" x14ac:dyDescent="0.25">
      <c r="A64" s="4" t="str">
        <f t="shared" si="0"/>
        <v>DESPESA DE REPRESENTAÇÃO - ALMOÇO-TRADER-BRUNO BIAGI (165947-3688AS)</v>
      </c>
      <c r="B64" s="11">
        <v>46082</v>
      </c>
      <c r="C64" s="4">
        <v>817991</v>
      </c>
      <c r="D64" s="16" t="s">
        <v>770</v>
      </c>
      <c r="E64" s="14">
        <v>-1154.8599999999999</v>
      </c>
      <c r="F64" s="2" t="s">
        <v>447</v>
      </c>
      <c r="G64" s="2">
        <v>46100</v>
      </c>
      <c r="H64" s="9">
        <v>16705</v>
      </c>
      <c r="I64" s="4"/>
      <c r="J64" s="4" t="s">
        <v>447</v>
      </c>
      <c r="K64" s="7" t="s">
        <v>849</v>
      </c>
      <c r="L64" s="4" t="s">
        <v>172</v>
      </c>
      <c r="M64" s="9" t="s">
        <v>335</v>
      </c>
      <c r="N64" s="4" t="str">
        <f>VLOOKUP(H64,Clientes!B:D,3,)</f>
        <v>BANCO BRADESCO S/A</v>
      </c>
    </row>
    <row r="65" spans="1:14" x14ac:dyDescent="0.25">
      <c r="A65" s="4" t="str">
        <f t="shared" si="0"/>
        <v>DESPESA DE REPRESENTAÇÃO - ALMOÇO-TRADER-VINICIUS OLIVEIRA (141647-3688FC)</v>
      </c>
      <c r="B65" s="11">
        <v>46082</v>
      </c>
      <c r="C65" s="4">
        <v>817991</v>
      </c>
      <c r="D65" s="16" t="s">
        <v>480</v>
      </c>
      <c r="E65" s="14">
        <v>-1285.94</v>
      </c>
      <c r="F65" s="2" t="s">
        <v>447</v>
      </c>
      <c r="G65" s="2">
        <v>46100</v>
      </c>
      <c r="H65" s="9">
        <v>79584</v>
      </c>
      <c r="I65" s="4"/>
      <c r="J65" s="4" t="s">
        <v>447</v>
      </c>
      <c r="K65" s="7" t="s">
        <v>850</v>
      </c>
      <c r="L65" s="4" t="s">
        <v>851</v>
      </c>
      <c r="M65" s="9" t="s">
        <v>335</v>
      </c>
      <c r="N65" s="4" t="str">
        <f>VLOOKUP(H65,Clientes!B:D,3,)</f>
        <v>RAIZEN ENERGIA S.A.</v>
      </c>
    </row>
    <row r="66" spans="1:14" x14ac:dyDescent="0.25">
      <c r="A66" s="4" t="str">
        <f t="shared" si="0"/>
        <v>DESPESA DE REPRESENTAÇÃO - JANTAR-TRADER-JOSE VINICIUS PIMENTA COLETTO (092158-3688BG)</v>
      </c>
      <c r="B66" s="11">
        <v>46082</v>
      </c>
      <c r="C66" s="4">
        <v>817991</v>
      </c>
      <c r="D66" s="16" t="s">
        <v>23</v>
      </c>
      <c r="E66" s="14">
        <v>-1319</v>
      </c>
      <c r="F66" s="2" t="s">
        <v>380</v>
      </c>
      <c r="G66" s="2">
        <v>46100</v>
      </c>
      <c r="H66" s="9">
        <v>80359</v>
      </c>
      <c r="I66" s="4"/>
      <c r="J66" s="4" t="s">
        <v>380</v>
      </c>
      <c r="K66" s="7" t="s">
        <v>852</v>
      </c>
      <c r="L66" s="4" t="s">
        <v>853</v>
      </c>
      <c r="M66" s="9" t="s">
        <v>335</v>
      </c>
      <c r="N66" s="4" t="str">
        <f>VLOOKUP(H66,Clientes!B:D,3,)</f>
        <v>VINLAND CAPITAL MANAGEMENT GESTORA DE RECURSOS LTDA</v>
      </c>
    </row>
    <row r="67" spans="1:14" x14ac:dyDescent="0.25">
      <c r="A67" s="4" t="str">
        <f t="shared" ref="A67:A129" si="1">CONCATENATE($J$1,J67,$I$3,M67,$I$3,L67,$I$1,K67,$I$2)</f>
        <v>DESPESA DE REPRESENTAÇÃO - ALMOÇO-TRADER-RODRIGO JOLIG (135911-3688BG)</v>
      </c>
      <c r="B67" s="11">
        <v>46082</v>
      </c>
      <c r="C67" s="4">
        <v>817991</v>
      </c>
      <c r="D67" s="16" t="s">
        <v>23</v>
      </c>
      <c r="E67" s="14">
        <v>-432</v>
      </c>
      <c r="F67" s="2" t="s">
        <v>447</v>
      </c>
      <c r="G67" s="2">
        <v>46100</v>
      </c>
      <c r="H67" s="9">
        <v>80359</v>
      </c>
      <c r="I67" s="4"/>
      <c r="J67" s="4" t="s">
        <v>447</v>
      </c>
      <c r="K67" s="7" t="s">
        <v>854</v>
      </c>
      <c r="L67" s="4" t="s">
        <v>855</v>
      </c>
      <c r="M67" s="9" t="s">
        <v>335</v>
      </c>
      <c r="N67" s="4" t="str">
        <f>VLOOKUP(H67,Clientes!B:D,3,)</f>
        <v>VINLAND CAPITAL MANAGEMENT GESTORA DE RECURSOS LTDA</v>
      </c>
    </row>
    <row r="68" spans="1:14" x14ac:dyDescent="0.25">
      <c r="A68" s="4" t="str">
        <f t="shared" si="1"/>
        <v>DESPESA DE REPRESENTAÇÃO - JANTAR-TRADER-ADRIANO MENEGUINE (135733-3688BG)</v>
      </c>
      <c r="B68" s="11">
        <v>46082</v>
      </c>
      <c r="C68" s="4">
        <v>817991</v>
      </c>
      <c r="D68" s="16" t="s">
        <v>23</v>
      </c>
      <c r="E68" s="14">
        <v>-740</v>
      </c>
      <c r="F68" s="2" t="s">
        <v>380</v>
      </c>
      <c r="G68" s="2">
        <v>46100</v>
      </c>
      <c r="H68" s="9">
        <v>80227</v>
      </c>
      <c r="I68" s="4"/>
      <c r="J68" s="4" t="s">
        <v>380</v>
      </c>
      <c r="K68" s="7" t="s">
        <v>856</v>
      </c>
      <c r="L68" s="4" t="s">
        <v>857</v>
      </c>
      <c r="M68" s="9" t="s">
        <v>335</v>
      </c>
      <c r="N68" s="4" t="str">
        <f>VLOOKUP(H68,Clientes!B:D,3,)</f>
        <v>ITAU UNIBANCO S/A</v>
      </c>
    </row>
    <row r="69" spans="1:14" x14ac:dyDescent="0.25">
      <c r="A69" s="4" t="str">
        <f t="shared" si="1"/>
        <v>DESPESA DE REPRESENTAÇÃO - ALMOÇO COM TIVIO GESTORA-TRADER-FRED DUART (150524-3688JL)</v>
      </c>
      <c r="B69" s="11">
        <v>46082</v>
      </c>
      <c r="C69" s="4">
        <v>817991</v>
      </c>
      <c r="D69" s="16" t="s">
        <v>614</v>
      </c>
      <c r="E69" s="14">
        <v>-273.12</v>
      </c>
      <c r="F69" s="2" t="s">
        <v>447</v>
      </c>
      <c r="G69" s="2">
        <v>46100</v>
      </c>
      <c r="H69" s="9">
        <v>1170</v>
      </c>
      <c r="I69" s="4"/>
      <c r="J69" s="4" t="s">
        <v>858</v>
      </c>
      <c r="K69" s="7" t="s">
        <v>859</v>
      </c>
      <c r="L69" s="4" t="s">
        <v>860</v>
      </c>
      <c r="M69" s="9" t="s">
        <v>335</v>
      </c>
      <c r="N69" s="4" t="str">
        <f>VLOOKUP(H69,Clientes!B:D,3,)</f>
        <v>BGC LIQUIDEZ DTVM LTDA</v>
      </c>
    </row>
    <row r="70" spans="1:14" x14ac:dyDescent="0.25">
      <c r="A70" s="4" t="str">
        <f t="shared" si="1"/>
        <v>DESPESA DE REPRESENTAÇÃO - ALMOÇO-TRADER-DANIEL NAMAN (162540-3688RZ)</v>
      </c>
      <c r="B70" s="11">
        <v>46082</v>
      </c>
      <c r="C70" s="4">
        <v>817991</v>
      </c>
      <c r="D70" s="16" t="s">
        <v>60</v>
      </c>
      <c r="E70" s="14">
        <v>-488</v>
      </c>
      <c r="F70" s="2" t="s">
        <v>447</v>
      </c>
      <c r="G70" s="2">
        <v>46100</v>
      </c>
      <c r="H70" s="9">
        <v>80227</v>
      </c>
      <c r="I70" s="4"/>
      <c r="J70" s="4" t="s">
        <v>447</v>
      </c>
      <c r="K70" s="7" t="s">
        <v>861</v>
      </c>
      <c r="L70" s="4" t="s">
        <v>862</v>
      </c>
      <c r="M70" s="9" t="s">
        <v>335</v>
      </c>
      <c r="N70" s="4" t="str">
        <f>VLOOKUP(H70,Clientes!B:D,3,)</f>
        <v>ITAU UNIBANCO S/A</v>
      </c>
    </row>
    <row r="71" spans="1:14" x14ac:dyDescent="0.25">
      <c r="A71" s="4" t="str">
        <f t="shared" si="1"/>
        <v>DESPESA DE REPRESENTAÇÃO - JANTAR-TRADER-FERNANDO OSAKI (080043-3688AS)</v>
      </c>
      <c r="B71" s="11">
        <v>46082</v>
      </c>
      <c r="C71" s="4">
        <v>817991</v>
      </c>
      <c r="D71" s="16" t="s">
        <v>449</v>
      </c>
      <c r="E71" s="14">
        <v>-603</v>
      </c>
      <c r="F71" s="2" t="s">
        <v>380</v>
      </c>
      <c r="G71" s="2">
        <v>46100</v>
      </c>
      <c r="H71" s="9">
        <v>75777</v>
      </c>
      <c r="I71" s="4"/>
      <c r="J71" s="4" t="s">
        <v>380</v>
      </c>
      <c r="K71" s="7" t="s">
        <v>864</v>
      </c>
      <c r="L71" s="4" t="s">
        <v>865</v>
      </c>
      <c r="M71" s="9" t="s">
        <v>335</v>
      </c>
      <c r="N71" s="4" t="str">
        <f>VLOOKUP(H71,Clientes!B:D,3,)</f>
        <v>BANK OF AMERICA MERRILL LYNCH BANCO MULTIPLO S/A</v>
      </c>
    </row>
    <row r="72" spans="1:14" x14ac:dyDescent="0.25">
      <c r="A72" s="4" t="str">
        <f t="shared" si="1"/>
        <v>DESPESA DE REPRESENTAÇÃO - JANTAR-TRADER-ANTONIO JOAQUIM DE M ANDRADE (142027-3688AS)</v>
      </c>
      <c r="B72" s="11">
        <v>46082</v>
      </c>
      <c r="C72" s="4">
        <v>817991</v>
      </c>
      <c r="D72" s="16" t="s">
        <v>449</v>
      </c>
      <c r="E72" s="14">
        <v>-701</v>
      </c>
      <c r="F72" s="2" t="s">
        <v>380</v>
      </c>
      <c r="G72" s="2">
        <v>46100</v>
      </c>
      <c r="H72" s="9">
        <v>15501</v>
      </c>
      <c r="I72" s="4"/>
      <c r="J72" s="4" t="s">
        <v>380</v>
      </c>
      <c r="K72" s="7" t="s">
        <v>866</v>
      </c>
      <c r="L72" s="4" t="s">
        <v>867</v>
      </c>
      <c r="M72" s="9" t="s">
        <v>335</v>
      </c>
      <c r="N72" s="4" t="str">
        <f>VLOOKUP(H72,Clientes!B:D,3,)</f>
        <v>BANCO BTG PACTUAL S/A</v>
      </c>
    </row>
    <row r="73" spans="1:14" x14ac:dyDescent="0.25">
      <c r="A73" s="4" t="str">
        <f t="shared" si="1"/>
        <v>DESPESA DE REPRESENTAÇÃO - ALMOÇO-TRADER-DANIEL PICCOLI (183405-3688AC)</v>
      </c>
      <c r="B73" s="11">
        <v>46082</v>
      </c>
      <c r="C73" s="4">
        <v>817991</v>
      </c>
      <c r="D73" s="16" t="s">
        <v>624</v>
      </c>
      <c r="E73" s="14">
        <v>-1691</v>
      </c>
      <c r="F73" s="2" t="s">
        <v>447</v>
      </c>
      <c r="G73" s="2">
        <v>46100</v>
      </c>
      <c r="H73" s="9">
        <v>14479</v>
      </c>
      <c r="I73" s="4"/>
      <c r="J73" s="4" t="s">
        <v>447</v>
      </c>
      <c r="K73" s="7" t="s">
        <v>868</v>
      </c>
      <c r="L73" s="4" t="s">
        <v>869</v>
      </c>
      <c r="M73" s="9" t="s">
        <v>335</v>
      </c>
      <c r="N73" s="4" t="str">
        <f>VLOOKUP(H73,Clientes!B:D,3,)</f>
        <v>BANCO SANTANDER (BRASIL) S/A</v>
      </c>
    </row>
    <row r="74" spans="1:14" x14ac:dyDescent="0.25">
      <c r="A74" s="4" t="str">
        <f t="shared" si="1"/>
        <v>DESPESA DE REPRESENTAÇÃO - ALMOÇO-TRADER-MAURO OKUMA LACERDA (140635-3688EA)</v>
      </c>
      <c r="B74" s="11">
        <v>46082</v>
      </c>
      <c r="C74" s="4">
        <v>817991</v>
      </c>
      <c r="D74" s="16" t="s">
        <v>653</v>
      </c>
      <c r="E74" s="14">
        <v>-542.64</v>
      </c>
      <c r="F74" s="2" t="s">
        <v>447</v>
      </c>
      <c r="G74" s="2">
        <v>46100</v>
      </c>
      <c r="H74" s="9">
        <v>12413</v>
      </c>
      <c r="I74" s="4"/>
      <c r="J74" s="4" t="s">
        <v>447</v>
      </c>
      <c r="K74" s="7" t="s">
        <v>870</v>
      </c>
      <c r="L74" s="4" t="s">
        <v>780</v>
      </c>
      <c r="M74" s="9" t="s">
        <v>335</v>
      </c>
      <c r="N74" s="4" t="str">
        <f>VLOOKUP(H74,Clientes!B:D,3,)</f>
        <v>KAPITALO INVESTIMENTOS LTDA</v>
      </c>
    </row>
    <row r="75" spans="1:14" x14ac:dyDescent="0.25">
      <c r="A75" s="4" t="str">
        <f t="shared" si="1"/>
        <v>DESPESA DE REPRESENTAÇÃO - HAPPY HOUR-TRADER-BERNARDO PARREIRA BRANDAO (145008-3688RU)</v>
      </c>
      <c r="B75" s="11">
        <v>46082</v>
      </c>
      <c r="C75" s="4">
        <v>817991</v>
      </c>
      <c r="D75" s="16" t="s">
        <v>652</v>
      </c>
      <c r="E75" s="14">
        <v>-3338</v>
      </c>
      <c r="F75" s="2" t="s">
        <v>766</v>
      </c>
      <c r="G75" s="2">
        <v>46100</v>
      </c>
      <c r="H75" s="9">
        <v>15781</v>
      </c>
      <c r="I75" s="4"/>
      <c r="J75" s="4" t="s">
        <v>485</v>
      </c>
      <c r="K75" s="7" t="s">
        <v>871</v>
      </c>
      <c r="L75" s="4" t="s">
        <v>872</v>
      </c>
      <c r="M75" s="9" t="s">
        <v>335</v>
      </c>
      <c r="N75" s="4" t="str">
        <f>VLOOKUP(H75,Clientes!B:D,3,)</f>
        <v>BANCO SAFRA S/A</v>
      </c>
    </row>
    <row r="76" spans="1:14" x14ac:dyDescent="0.25">
      <c r="A76" s="4" t="str">
        <f t="shared" si="1"/>
        <v>DESPESA DE REPRESENTAÇÃO - ALMOÇO-TRADER-LEONARDO MACHADO (171419-3688MP)</v>
      </c>
      <c r="B76" s="11">
        <v>46082</v>
      </c>
      <c r="C76" s="4">
        <v>817991</v>
      </c>
      <c r="D76" s="16" t="s">
        <v>477</v>
      </c>
      <c r="E76" s="14">
        <v>-196</v>
      </c>
      <c r="F76" s="2" t="s">
        <v>447</v>
      </c>
      <c r="G76" s="2">
        <v>46100</v>
      </c>
      <c r="H76" s="9">
        <v>80111</v>
      </c>
      <c r="I76" s="4"/>
      <c r="J76" s="4" t="s">
        <v>447</v>
      </c>
      <c r="K76" s="7" t="s">
        <v>873</v>
      </c>
      <c r="L76" s="4" t="s">
        <v>499</v>
      </c>
      <c r="M76" s="9" t="s">
        <v>335</v>
      </c>
      <c r="N76" s="4" t="str">
        <f>VLOOKUP(H76,Clientes!B:D,3,)</f>
        <v>IBIUNA GESTAO DE RECURSOS LTDA</v>
      </c>
    </row>
    <row r="77" spans="1:14" x14ac:dyDescent="0.25">
      <c r="A77" s="4" t="str">
        <f t="shared" si="1"/>
        <v>DESPESA DE REPRESENTAÇÃO - ALMOÇO-TRADER-SERGIO ALMEIDA  (141426-3688FC)</v>
      </c>
      <c r="B77" s="11">
        <v>46082</v>
      </c>
      <c r="C77" s="4">
        <v>817991</v>
      </c>
      <c r="D77" s="16" t="s">
        <v>480</v>
      </c>
      <c r="E77" s="14">
        <v>-2271.3000000000002</v>
      </c>
      <c r="F77" s="2" t="s">
        <v>447</v>
      </c>
      <c r="G77" s="2">
        <v>46100</v>
      </c>
      <c r="H77" s="9">
        <v>15501</v>
      </c>
      <c r="I77" s="4"/>
      <c r="J77" s="4" t="s">
        <v>447</v>
      </c>
      <c r="K77" s="7" t="s">
        <v>874</v>
      </c>
      <c r="L77" s="4" t="s">
        <v>875</v>
      </c>
      <c r="M77" s="9" t="s">
        <v>335</v>
      </c>
      <c r="N77" s="4" t="str">
        <f>VLOOKUP(H77,Clientes!B:D,3,)</f>
        <v>BANCO BTG PACTUAL S/A</v>
      </c>
    </row>
    <row r="78" spans="1:14" x14ac:dyDescent="0.25">
      <c r="A78" s="4" t="str">
        <f t="shared" si="1"/>
        <v>DESPESA DE REPRESENTAÇÃO - JANTAR-TRADER-PEDRO CARNEIRO (125515-3688CL)</v>
      </c>
      <c r="B78" s="11">
        <v>46082</v>
      </c>
      <c r="C78" s="4">
        <v>817991</v>
      </c>
      <c r="D78" s="16" t="s">
        <v>60</v>
      </c>
      <c r="E78" s="14">
        <v>-1640</v>
      </c>
      <c r="F78" s="2" t="s">
        <v>380</v>
      </c>
      <c r="G78" s="2">
        <v>46100</v>
      </c>
      <c r="H78" s="9">
        <v>80834</v>
      </c>
      <c r="I78" s="4"/>
      <c r="J78" s="4" t="s">
        <v>380</v>
      </c>
      <c r="K78" s="7" t="s">
        <v>876</v>
      </c>
      <c r="L78" s="4" t="s">
        <v>877</v>
      </c>
      <c r="M78" s="9" t="s">
        <v>335</v>
      </c>
      <c r="N78" s="4" t="str">
        <f>VLOOKUP(H78,Clientes!B:D,3,)</f>
        <v>ASSET1 INVESTIMENTOS S.A.</v>
      </c>
    </row>
    <row r="79" spans="1:14" x14ac:dyDescent="0.25">
      <c r="A79" s="4" t="str">
        <f t="shared" si="1"/>
        <v>DESPESA DE REPRESENTAÇÃO - ALMOÇO-TRADER-FERNANDO BARION BARTHOLOMEU (151111-3688AC)</v>
      </c>
      <c r="B79" s="11">
        <v>46082</v>
      </c>
      <c r="C79" s="4">
        <v>817991</v>
      </c>
      <c r="D79" s="16" t="s">
        <v>331</v>
      </c>
      <c r="E79" s="14">
        <v>-520.79999999999995</v>
      </c>
      <c r="F79" s="2" t="s">
        <v>447</v>
      </c>
      <c r="G79" s="2">
        <v>46100</v>
      </c>
      <c r="H79" s="9">
        <v>15781</v>
      </c>
      <c r="I79" s="4"/>
      <c r="J79" s="4" t="s">
        <v>447</v>
      </c>
      <c r="K79" s="7" t="s">
        <v>878</v>
      </c>
      <c r="L79" s="4" t="s">
        <v>879</v>
      </c>
      <c r="M79" s="9" t="s">
        <v>335</v>
      </c>
      <c r="N79" s="4" t="str">
        <f>VLOOKUP(H79,Clientes!B:D,3,)</f>
        <v>BANCO SAFRA S/A</v>
      </c>
    </row>
    <row r="80" spans="1:14" x14ac:dyDescent="0.25">
      <c r="A80" s="4" t="str">
        <f t="shared" si="1"/>
        <v>DESPESA DE REPRESENTAÇÃO - PASSAGEM SÃO PAULO X RIO DE JANEIRO-BROKER-ANTONIO AUGUSTO DAS CHAGAS CARVALHO (AGENDA 40920)</v>
      </c>
      <c r="B80" s="11">
        <v>46082</v>
      </c>
      <c r="C80" s="4">
        <v>817991</v>
      </c>
      <c r="D80" s="16" t="s">
        <v>331</v>
      </c>
      <c r="E80" s="14">
        <v>-2020.08</v>
      </c>
      <c r="F80" s="2" t="s">
        <v>765</v>
      </c>
      <c r="G80" s="2">
        <v>46111</v>
      </c>
      <c r="H80" s="9">
        <v>1170</v>
      </c>
      <c r="I80" s="4"/>
      <c r="J80" s="4" t="s">
        <v>756</v>
      </c>
      <c r="K80" s="7" t="s">
        <v>880</v>
      </c>
      <c r="L80" s="4" t="s">
        <v>331</v>
      </c>
      <c r="M80" s="9" t="s">
        <v>2</v>
      </c>
      <c r="N80" s="4" t="str">
        <f>VLOOKUP(H80,Clientes!B:D,3,)</f>
        <v>BGC LIQUIDEZ DTVM LTDA</v>
      </c>
    </row>
    <row r="81" spans="1:14" x14ac:dyDescent="0.25">
      <c r="A81" s="4" t="str">
        <f t="shared" si="1"/>
        <v>DESPESA DE REPRESENTAÇÃO - PASSAGEM SÃO PAULO X RIO DE JANEIRO-BROKER-FRANCISCO JOSE DIAS CARVALHO (AGENDA 40920)</v>
      </c>
      <c r="B81" s="11">
        <v>46082</v>
      </c>
      <c r="C81" s="4">
        <v>817991</v>
      </c>
      <c r="D81" s="16" t="s">
        <v>480</v>
      </c>
      <c r="E81" s="14">
        <v>-2020.08</v>
      </c>
      <c r="F81" s="2" t="s">
        <v>765</v>
      </c>
      <c r="G81" s="2">
        <v>46111</v>
      </c>
      <c r="H81" s="9">
        <v>1170</v>
      </c>
      <c r="I81" s="4"/>
      <c r="J81" s="4" t="s">
        <v>756</v>
      </c>
      <c r="K81" s="7" t="s">
        <v>880</v>
      </c>
      <c r="L81" s="4" t="s">
        <v>480</v>
      </c>
      <c r="M81" s="9" t="s">
        <v>2</v>
      </c>
      <c r="N81" s="4" t="str">
        <f>VLOOKUP(H81,Clientes!B:D,3,)</f>
        <v>BGC LIQUIDEZ DTVM LTDA</v>
      </c>
    </row>
    <row r="82" spans="1:14" x14ac:dyDescent="0.25">
      <c r="A82" s="4" t="str">
        <f t="shared" si="1"/>
        <v>DESPESA DE REPRESENTAÇÃO - HOSPEDAGEM GILD HALL-BROKER-RODRIGO MOURA MARQUES (AGENDA 40921)</v>
      </c>
      <c r="B82" s="11">
        <v>46082</v>
      </c>
      <c r="C82" s="4">
        <v>817991</v>
      </c>
      <c r="D82" s="16" t="s">
        <v>666</v>
      </c>
      <c r="E82" s="14">
        <v>-9600</v>
      </c>
      <c r="F82" s="2" t="s">
        <v>667</v>
      </c>
      <c r="G82" s="2">
        <v>46106</v>
      </c>
      <c r="H82" s="9">
        <v>1170</v>
      </c>
      <c r="I82" s="4"/>
      <c r="J82" s="4" t="s">
        <v>881</v>
      </c>
      <c r="K82" s="7" t="s">
        <v>882</v>
      </c>
      <c r="L82" s="4" t="s">
        <v>666</v>
      </c>
      <c r="M82" s="9" t="s">
        <v>2</v>
      </c>
      <c r="N82" s="4" t="str">
        <f>VLOOKUP(H82,Clientes!B:D,3,)</f>
        <v>BGC LIQUIDEZ DTVM LTDA</v>
      </c>
    </row>
    <row r="83" spans="1:14" x14ac:dyDescent="0.25">
      <c r="A83" s="4" t="str">
        <f t="shared" si="1"/>
        <v>DESPESA DE REPRESENTAÇÃO - HOSPEDAGEM GILD HALL-BROKER-CARLOS BASILE (AGENDA 40921)</v>
      </c>
      <c r="B83" s="11">
        <v>46082</v>
      </c>
      <c r="C83" s="4">
        <v>817991</v>
      </c>
      <c r="D83" s="16" t="s">
        <v>132</v>
      </c>
      <c r="E83" s="14">
        <v>-7900</v>
      </c>
      <c r="F83" s="2" t="s">
        <v>667</v>
      </c>
      <c r="G83" s="2">
        <v>46106</v>
      </c>
      <c r="H83" s="9">
        <v>1170</v>
      </c>
      <c r="I83" s="4"/>
      <c r="J83" s="4" t="s">
        <v>881</v>
      </c>
      <c r="K83" s="7" t="s">
        <v>882</v>
      </c>
      <c r="L83" s="4" t="s">
        <v>132</v>
      </c>
      <c r="M83" s="9" t="s">
        <v>2</v>
      </c>
      <c r="N83" s="4" t="str">
        <f>VLOOKUP(H83,Clientes!B:D,3,)</f>
        <v>BGC LIQUIDEZ DTVM LTDA</v>
      </c>
    </row>
    <row r="84" spans="1:14" x14ac:dyDescent="0.25">
      <c r="A84" s="4" t="str">
        <f t="shared" si="1"/>
        <v>DESPESA DE REPRESENTAÇÃO - HOSPEDAGEM GILD HALL-BROKER-RODRIGO MOURA MARQUES (AGENDA 40921)</v>
      </c>
      <c r="B84" s="11">
        <v>46082</v>
      </c>
      <c r="C84" s="4">
        <v>817991</v>
      </c>
      <c r="D84" s="16" t="s">
        <v>666</v>
      </c>
      <c r="E84" s="14">
        <v>-1600</v>
      </c>
      <c r="F84" s="2" t="s">
        <v>667</v>
      </c>
      <c r="G84" s="2">
        <v>46106</v>
      </c>
      <c r="H84" s="9">
        <v>1170</v>
      </c>
      <c r="I84" s="4"/>
      <c r="J84" s="4" t="s">
        <v>881</v>
      </c>
      <c r="K84" s="7" t="s">
        <v>882</v>
      </c>
      <c r="L84" s="4" t="s">
        <v>666</v>
      </c>
      <c r="M84" s="9" t="s">
        <v>2</v>
      </c>
      <c r="N84" s="4" t="str">
        <f>VLOOKUP(H84,Clientes!B:D,3,)</f>
        <v>BGC LIQUIDEZ DTVM LTDA</v>
      </c>
    </row>
    <row r="85" spans="1:14" x14ac:dyDescent="0.25">
      <c r="A85" s="4" t="str">
        <f t="shared" si="1"/>
        <v>DESPESA DE REPRESENTAÇÃO - HOSPEDAGEM BLUE TREE PREMIUM FARIA LIMA-CONSULTORA -CLAUDIA TAVARES FERNANDES (AGENDA 40922)</v>
      </c>
      <c r="B85" s="11">
        <v>46082</v>
      </c>
      <c r="C85" s="4">
        <v>817991</v>
      </c>
      <c r="D85" s="16" t="s">
        <v>539</v>
      </c>
      <c r="E85" s="14">
        <v>-2895.9</v>
      </c>
      <c r="F85" s="2" t="s">
        <v>667</v>
      </c>
      <c r="G85" s="2">
        <v>46106</v>
      </c>
      <c r="H85" s="9">
        <v>1170</v>
      </c>
      <c r="I85" s="4"/>
      <c r="J85" s="4" t="s">
        <v>883</v>
      </c>
      <c r="K85" s="7" t="s">
        <v>884</v>
      </c>
      <c r="L85" s="4" t="s">
        <v>539</v>
      </c>
      <c r="M85" s="9" t="s">
        <v>1015</v>
      </c>
      <c r="N85" s="4" t="str">
        <f>VLOOKUP(H85,Clientes!B:D,3,)</f>
        <v>BGC LIQUIDEZ DTVM LTDA</v>
      </c>
    </row>
    <row r="86" spans="1:14" x14ac:dyDescent="0.25">
      <c r="A86" s="4" t="str">
        <f t="shared" si="1"/>
        <v>DESPESA DE REPRESENTAÇÃO - ALMOÇO-TRADER-MARCELO FELIPE (143257-3688CB)</v>
      </c>
      <c r="B86" s="11">
        <v>46082</v>
      </c>
      <c r="C86" s="4">
        <v>817991</v>
      </c>
      <c r="D86" s="16" t="s">
        <v>132</v>
      </c>
      <c r="E86" s="14">
        <v>-648.51</v>
      </c>
      <c r="F86" s="2" t="s">
        <v>447</v>
      </c>
      <c r="G86" s="2">
        <v>46100</v>
      </c>
      <c r="H86" s="9">
        <v>80769</v>
      </c>
      <c r="I86" s="4"/>
      <c r="J86" s="4" t="s">
        <v>447</v>
      </c>
      <c r="K86" s="7" t="s">
        <v>885</v>
      </c>
      <c r="L86" s="4" t="s">
        <v>886</v>
      </c>
      <c r="M86" s="9" t="s">
        <v>335</v>
      </c>
      <c r="N86" s="4" t="str">
        <f>VLOOKUP(H86,Clientes!B:D,3,)</f>
        <v>BANCO XP S/A</v>
      </c>
    </row>
    <row r="87" spans="1:14" x14ac:dyDescent="0.25">
      <c r="A87" s="4" t="str">
        <f t="shared" si="1"/>
        <v>DESPESA DE REPRESENTAÇÃO - TAXI-BROKER-FREDERICO PADILHA (172605-3688FP)</v>
      </c>
      <c r="B87" s="11">
        <v>46082</v>
      </c>
      <c r="C87" s="4">
        <v>817991</v>
      </c>
      <c r="D87" s="16" t="s">
        <v>60</v>
      </c>
      <c r="E87" s="14">
        <v>-67</v>
      </c>
      <c r="F87" s="2" t="s">
        <v>765</v>
      </c>
      <c r="G87" s="2">
        <v>46100</v>
      </c>
      <c r="H87" s="9">
        <v>1170</v>
      </c>
      <c r="I87" s="4"/>
      <c r="J87" s="4" t="s">
        <v>525</v>
      </c>
      <c r="K87" s="7" t="s">
        <v>887</v>
      </c>
      <c r="L87" s="4" t="s">
        <v>497</v>
      </c>
      <c r="M87" s="9" t="s">
        <v>2</v>
      </c>
      <c r="N87" s="4" t="str">
        <f>VLOOKUP(H87,Clientes!B:D,3,)</f>
        <v>BGC LIQUIDEZ DTVM LTDA</v>
      </c>
    </row>
    <row r="88" spans="1:14" x14ac:dyDescent="0.25">
      <c r="A88" s="4" t="str">
        <f t="shared" si="1"/>
        <v>DESPESA DE REPRESENTAÇÃO - TAXI-BROKER-FREDERICO PADILHA (172742-3688FP)</v>
      </c>
      <c r="B88" s="11">
        <v>46082</v>
      </c>
      <c r="C88" s="4">
        <v>817991</v>
      </c>
      <c r="D88" s="16" t="s">
        <v>60</v>
      </c>
      <c r="E88" s="14">
        <v>-68</v>
      </c>
      <c r="F88" s="2" t="s">
        <v>765</v>
      </c>
      <c r="G88" s="2">
        <v>46100</v>
      </c>
      <c r="H88" s="9">
        <v>1170</v>
      </c>
      <c r="I88" s="4"/>
      <c r="J88" s="4" t="s">
        <v>525</v>
      </c>
      <c r="K88" s="7" t="s">
        <v>888</v>
      </c>
      <c r="L88" s="4" t="s">
        <v>497</v>
      </c>
      <c r="M88" s="9" t="s">
        <v>2</v>
      </c>
      <c r="N88" s="4" t="str">
        <f>VLOOKUP(H88,Clientes!B:D,3,)</f>
        <v>BGC LIQUIDEZ DTVM LTDA</v>
      </c>
    </row>
    <row r="89" spans="1:14" x14ac:dyDescent="0.25">
      <c r="A89" s="4" t="str">
        <f t="shared" si="1"/>
        <v>DESPESA DE REPRESENTAÇÃO - TAXI-BROKER-FREDERICO PADILHA (172911-3688FP)</v>
      </c>
      <c r="B89" s="11">
        <v>46082</v>
      </c>
      <c r="C89" s="4">
        <v>817991</v>
      </c>
      <c r="D89" s="16" t="s">
        <v>60</v>
      </c>
      <c r="E89" s="14">
        <v>-75</v>
      </c>
      <c r="F89" s="2" t="s">
        <v>765</v>
      </c>
      <c r="G89" s="2">
        <v>46100</v>
      </c>
      <c r="H89" s="9">
        <v>1170</v>
      </c>
      <c r="I89" s="4"/>
      <c r="J89" s="4" t="s">
        <v>525</v>
      </c>
      <c r="K89" s="7" t="s">
        <v>889</v>
      </c>
      <c r="L89" s="4" t="s">
        <v>497</v>
      </c>
      <c r="M89" s="9" t="s">
        <v>2</v>
      </c>
      <c r="N89" s="4" t="str">
        <f>VLOOKUP(H89,Clientes!B:D,3,)</f>
        <v>BGC LIQUIDEZ DTVM LTDA</v>
      </c>
    </row>
    <row r="90" spans="1:14" x14ac:dyDescent="0.25">
      <c r="A90" s="4" t="str">
        <f t="shared" si="1"/>
        <v>DESPESA DE REPRESENTAÇÃO - ALMOÇO-TRADER-VICTOR ABREU (172411-3688FP)</v>
      </c>
      <c r="B90" s="11">
        <v>46082</v>
      </c>
      <c r="C90" s="4">
        <v>817991</v>
      </c>
      <c r="D90" s="16" t="s">
        <v>60</v>
      </c>
      <c r="E90" s="14">
        <v>-700.6</v>
      </c>
      <c r="F90" s="2" t="s">
        <v>447</v>
      </c>
      <c r="G90" s="2">
        <v>46100</v>
      </c>
      <c r="H90" s="9">
        <v>80883</v>
      </c>
      <c r="I90" s="4"/>
      <c r="J90" s="4" t="s">
        <v>447</v>
      </c>
      <c r="K90" s="7" t="s">
        <v>890</v>
      </c>
      <c r="L90" s="4" t="s">
        <v>891</v>
      </c>
      <c r="M90" s="9" t="s">
        <v>335</v>
      </c>
      <c r="N90" s="4" t="str">
        <f>VLOOKUP(H90,Clientes!B:D,3,)</f>
        <v>GENOA CAPITAL GESTORA DE RECURSOS LTDA</v>
      </c>
    </row>
    <row r="91" spans="1:14" x14ac:dyDescent="0.25">
      <c r="A91" s="4" t="str">
        <f t="shared" si="1"/>
        <v>DESPESA DE REPRESENTAÇÃO - HAPPY HOUR-TRADER-CAIO CÉSAR ROSTIROLLA (140910-3688NA)</v>
      </c>
      <c r="B91" s="11">
        <v>46082</v>
      </c>
      <c r="C91" s="4">
        <v>817991</v>
      </c>
      <c r="D91" s="16" t="s">
        <v>665</v>
      </c>
      <c r="E91" s="14">
        <v>-2084.1</v>
      </c>
      <c r="F91" s="2" t="s">
        <v>766</v>
      </c>
      <c r="G91" s="2">
        <v>46100</v>
      </c>
      <c r="H91" s="9">
        <v>14378</v>
      </c>
      <c r="I91" s="4"/>
      <c r="J91" s="4" t="s">
        <v>485</v>
      </c>
      <c r="K91" s="7" t="s">
        <v>892</v>
      </c>
      <c r="L91" s="4" t="s">
        <v>893</v>
      </c>
      <c r="M91" s="9" t="s">
        <v>335</v>
      </c>
      <c r="N91" s="4" t="str">
        <f>VLOOKUP(H91,Clientes!B:D,3,)</f>
        <v>BANCO COOPERATIVO SICREDI S/A</v>
      </c>
    </row>
    <row r="92" spans="1:14" x14ac:dyDescent="0.25">
      <c r="A92" s="4" t="str">
        <f t="shared" si="1"/>
        <v>DESPESA DE REPRESENTAÇÃO - CAFÉ DA MANHÃ-TRADER-CIRO DUARTE  (160115-3688AF)</v>
      </c>
      <c r="B92" s="11">
        <v>46082</v>
      </c>
      <c r="C92" s="4">
        <v>817991</v>
      </c>
      <c r="D92" s="16" t="s">
        <v>648</v>
      </c>
      <c r="E92" s="14">
        <v>-164</v>
      </c>
      <c r="F92" s="2" t="s">
        <v>771</v>
      </c>
      <c r="G92" s="2">
        <v>46100</v>
      </c>
      <c r="H92" s="9">
        <v>80386</v>
      </c>
      <c r="I92" s="4"/>
      <c r="J92" s="4" t="s">
        <v>771</v>
      </c>
      <c r="K92" s="7" t="s">
        <v>894</v>
      </c>
      <c r="L92" s="4" t="s">
        <v>895</v>
      </c>
      <c r="M92" s="9" t="s">
        <v>335</v>
      </c>
      <c r="N92" s="4" t="str">
        <f>VLOOKUP(H92,Clientes!B:D,3,)</f>
        <v>LEGACY CAPITAL GESTORA DE RECURSOS LTDA</v>
      </c>
    </row>
    <row r="93" spans="1:14" x14ac:dyDescent="0.25">
      <c r="A93" s="4" t="str">
        <f t="shared" si="1"/>
        <v>DESPESA DE REPRESENTAÇÃO -  HAPPY HOUR COM A NORTE ASSET -TRADER-GABRIEL ROOS (152929-3688AF)</v>
      </c>
      <c r="B93" s="11">
        <v>46082</v>
      </c>
      <c r="C93" s="4">
        <v>817991</v>
      </c>
      <c r="D93" s="16" t="s">
        <v>648</v>
      </c>
      <c r="E93" s="14">
        <v>-376</v>
      </c>
      <c r="F93" s="2" t="s">
        <v>766</v>
      </c>
      <c r="G93" s="2">
        <v>46100</v>
      </c>
      <c r="H93" s="9">
        <v>1170</v>
      </c>
      <c r="I93" s="4"/>
      <c r="J93" s="4" t="s">
        <v>1026</v>
      </c>
      <c r="K93" s="7" t="s">
        <v>896</v>
      </c>
      <c r="L93" s="4" t="s">
        <v>897</v>
      </c>
      <c r="M93" s="9" t="s">
        <v>335</v>
      </c>
      <c r="N93" s="4" t="str">
        <f>VLOOKUP(H93,Clientes!B:D,3,)</f>
        <v>BGC LIQUIDEZ DTVM LTDA</v>
      </c>
    </row>
    <row r="94" spans="1:14" x14ac:dyDescent="0.25">
      <c r="A94" s="4" t="str">
        <f t="shared" si="1"/>
        <v>DESPESA DE REPRESENTAÇÃO - ALMOÇO COM MIRAE ASSET-TRADER-MIRAE ASSET  (143043-3688JL)</v>
      </c>
      <c r="B94" s="11">
        <v>46082</v>
      </c>
      <c r="C94" s="4">
        <v>817991</v>
      </c>
      <c r="D94" s="16" t="s">
        <v>614</v>
      </c>
      <c r="E94" s="14">
        <v>-583.41999999999996</v>
      </c>
      <c r="F94" s="2" t="s">
        <v>447</v>
      </c>
      <c r="G94" s="2">
        <v>46100</v>
      </c>
      <c r="H94" s="9">
        <v>1170</v>
      </c>
      <c r="I94" s="4"/>
      <c r="J94" s="4" t="s">
        <v>898</v>
      </c>
      <c r="K94" s="7" t="s">
        <v>899</v>
      </c>
      <c r="L94" s="4" t="s">
        <v>900</v>
      </c>
      <c r="M94" s="9" t="s">
        <v>335</v>
      </c>
      <c r="N94" s="4" t="str">
        <f>VLOOKUP(H94,Clientes!B:D,3,)</f>
        <v>BGC LIQUIDEZ DTVM LTDA</v>
      </c>
    </row>
    <row r="95" spans="1:14" x14ac:dyDescent="0.25">
      <c r="A95" s="4" t="str">
        <f t="shared" si="1"/>
        <v>DESPESA DE REPRESENTAÇÃO - ALMOÇO-TRADER-CAIO ROSTIRROLA (085749-3688FB)</v>
      </c>
      <c r="B95" s="11">
        <v>46082</v>
      </c>
      <c r="C95" s="4">
        <v>817991</v>
      </c>
      <c r="D95" s="16" t="s">
        <v>475</v>
      </c>
      <c r="E95" s="14">
        <v>-1969</v>
      </c>
      <c r="F95" s="2" t="s">
        <v>447</v>
      </c>
      <c r="G95" s="2">
        <v>46100</v>
      </c>
      <c r="H95" s="9">
        <v>14378</v>
      </c>
      <c r="I95" s="4"/>
      <c r="J95" s="4" t="s">
        <v>447</v>
      </c>
      <c r="K95" s="7" t="s">
        <v>901</v>
      </c>
      <c r="L95" s="4" t="s">
        <v>902</v>
      </c>
      <c r="M95" s="9" t="s">
        <v>335</v>
      </c>
      <c r="N95" s="4" t="str">
        <f>VLOOKUP(H95,Clientes!B:D,3,)</f>
        <v>BANCO COOPERATIVO SICREDI S/A</v>
      </c>
    </row>
    <row r="96" spans="1:14" x14ac:dyDescent="0.25">
      <c r="A96" s="4" t="str">
        <f t="shared" si="1"/>
        <v>DESPESA DE REPRESENTAÇÃO - HAPPY HOUR-TRADER-LEONARDO MASSAHIKO NAKAJIMA (132755-3688RU)</v>
      </c>
      <c r="B96" s="11">
        <v>46082</v>
      </c>
      <c r="C96" s="4">
        <v>817991</v>
      </c>
      <c r="D96" s="16" t="s">
        <v>652</v>
      </c>
      <c r="E96" s="14">
        <v>-3849</v>
      </c>
      <c r="F96" s="2" t="s">
        <v>766</v>
      </c>
      <c r="G96" s="2">
        <v>46100</v>
      </c>
      <c r="H96" s="9">
        <v>81501</v>
      </c>
      <c r="I96" s="4"/>
      <c r="J96" s="4" t="s">
        <v>485</v>
      </c>
      <c r="K96" s="7" t="s">
        <v>903</v>
      </c>
      <c r="L96" s="4" t="s">
        <v>553</v>
      </c>
      <c r="M96" s="9" t="s">
        <v>335</v>
      </c>
      <c r="N96" s="4" t="str">
        <f>VLOOKUP(H96,Clientes!B:D,3,)</f>
        <v>PORTO SEGURO INVESTIMENTOS LTDA</v>
      </c>
    </row>
    <row r="97" spans="1:14" x14ac:dyDescent="0.25">
      <c r="A97" s="4" t="str">
        <f t="shared" si="1"/>
        <v>DESPESA DE REPRESENTAÇÃO - ALMOÇO-TRADER-TOMAS  (132631-3688RU)</v>
      </c>
      <c r="B97" s="11">
        <v>46082</v>
      </c>
      <c r="C97" s="4">
        <v>817991</v>
      </c>
      <c r="D97" s="16" t="s">
        <v>652</v>
      </c>
      <c r="E97" s="14">
        <v>-270.92</v>
      </c>
      <c r="F97" s="2" t="s">
        <v>447</v>
      </c>
      <c r="G97" s="2">
        <v>46100</v>
      </c>
      <c r="H97" s="9">
        <v>81501</v>
      </c>
      <c r="I97" s="4"/>
      <c r="J97" s="4" t="s">
        <v>447</v>
      </c>
      <c r="K97" s="7" t="s">
        <v>904</v>
      </c>
      <c r="L97" s="4" t="s">
        <v>905</v>
      </c>
      <c r="M97" s="9" t="s">
        <v>335</v>
      </c>
      <c r="N97" s="4" t="str">
        <f>VLOOKUP(H97,Clientes!B:D,3,)</f>
        <v>PORTO SEGURO INVESTIMENTOS LTDA</v>
      </c>
    </row>
    <row r="98" spans="1:14" x14ac:dyDescent="0.25">
      <c r="A98" s="4" t="str">
        <f t="shared" si="1"/>
        <v>DESPESA DE REPRESENTAÇÃO - PASSAGEM BRASILIA X SÃO PAULO-CONSULTORA -CLAUDIA TAVARES FERNANDES (AGENDA 40951)</v>
      </c>
      <c r="B98" s="11">
        <v>46082</v>
      </c>
      <c r="C98" s="4">
        <v>817991</v>
      </c>
      <c r="D98" s="16" t="s">
        <v>539</v>
      </c>
      <c r="E98" s="14">
        <v>-4787.43</v>
      </c>
      <c r="F98" s="2" t="s">
        <v>765</v>
      </c>
      <c r="G98" s="2">
        <v>46106</v>
      </c>
      <c r="H98" s="9">
        <v>1170</v>
      </c>
      <c r="I98" s="4"/>
      <c r="J98" s="4" t="s">
        <v>542</v>
      </c>
      <c r="K98" s="7" t="s">
        <v>906</v>
      </c>
      <c r="L98" s="4" t="s">
        <v>539</v>
      </c>
      <c r="M98" s="9" t="s">
        <v>1015</v>
      </c>
      <c r="N98" s="4" t="str">
        <f>VLOOKUP(H98,Clientes!B:D,3,)</f>
        <v>BGC LIQUIDEZ DTVM LTDA</v>
      </c>
    </row>
    <row r="99" spans="1:14" x14ac:dyDescent="0.25">
      <c r="A99" s="4" t="str">
        <f t="shared" si="1"/>
        <v>DESPESA DE REPRESENTAÇÃO - ALMOÇO-TRADER-RODRIGO JOLIG (164552-3688AV)</v>
      </c>
      <c r="B99" s="11">
        <v>46082</v>
      </c>
      <c r="C99" s="4">
        <v>817991</v>
      </c>
      <c r="D99" s="16" t="s">
        <v>23</v>
      </c>
      <c r="E99" s="14">
        <v>-1069</v>
      </c>
      <c r="F99" s="2" t="s">
        <v>447</v>
      </c>
      <c r="G99" s="2">
        <v>46100</v>
      </c>
      <c r="H99" s="9">
        <v>80359</v>
      </c>
      <c r="I99" s="4"/>
      <c r="J99" s="4" t="s">
        <v>447</v>
      </c>
      <c r="K99" s="7" t="s">
        <v>907</v>
      </c>
      <c r="L99" s="4" t="s">
        <v>855</v>
      </c>
      <c r="M99" s="9" t="s">
        <v>335</v>
      </c>
      <c r="N99" s="4" t="str">
        <f>VLOOKUP(H99,Clientes!B:D,3,)</f>
        <v>VINLAND CAPITAL MANAGEMENT GESTORA DE RECURSOS LTDA</v>
      </c>
    </row>
    <row r="100" spans="1:14" x14ac:dyDescent="0.25">
      <c r="A100" s="4" t="str">
        <f t="shared" si="1"/>
        <v>DESPESA DE REPRESENTAÇÃO - ALMOÇO-TRADER-GUSTAVO MAZIERO  (132450-3688RP)</v>
      </c>
      <c r="B100" s="11">
        <v>46082</v>
      </c>
      <c r="C100" s="4">
        <v>817991</v>
      </c>
      <c r="D100" s="16" t="s">
        <v>482</v>
      </c>
      <c r="E100" s="14">
        <v>-759</v>
      </c>
      <c r="F100" s="2" t="s">
        <v>447</v>
      </c>
      <c r="G100" s="2">
        <v>46100</v>
      </c>
      <c r="H100" s="9">
        <v>82841</v>
      </c>
      <c r="I100" s="4"/>
      <c r="J100" s="4" t="s">
        <v>447</v>
      </c>
      <c r="K100" s="7" t="s">
        <v>908</v>
      </c>
      <c r="L100" s="4" t="s">
        <v>909</v>
      </c>
      <c r="M100" s="9" t="s">
        <v>335</v>
      </c>
      <c r="N100" s="4" t="str">
        <f>VLOOKUP(H100,Clientes!B:D,3,)</f>
        <v>LOGOS GESTAO DE RECURSOS LTDA.</v>
      </c>
    </row>
    <row r="101" spans="1:14" x14ac:dyDescent="0.25">
      <c r="A101" s="4" t="str">
        <f t="shared" si="1"/>
        <v>DESPESA DE REPRESENTAÇÃO - ALMOÇO-TRADER-MAURO DEL CIAMPO (142721-3688CB)</v>
      </c>
      <c r="B101" s="11">
        <v>46082</v>
      </c>
      <c r="C101" s="4">
        <v>817991</v>
      </c>
      <c r="D101" s="16" t="s">
        <v>132</v>
      </c>
      <c r="E101" s="14">
        <v>-1725.51</v>
      </c>
      <c r="F101" s="2" t="s">
        <v>447</v>
      </c>
      <c r="G101" s="2">
        <v>46100</v>
      </c>
      <c r="H101" s="9">
        <v>80227</v>
      </c>
      <c r="I101" s="4"/>
      <c r="J101" s="4" t="s">
        <v>447</v>
      </c>
      <c r="K101" s="7" t="s">
        <v>910</v>
      </c>
      <c r="L101" s="4" t="s">
        <v>911</v>
      </c>
      <c r="M101" s="9" t="s">
        <v>335</v>
      </c>
      <c r="N101" s="4" t="str">
        <f>VLOOKUP(H101,Clientes!B:D,3,)</f>
        <v>ITAU UNIBANCO S/A</v>
      </c>
    </row>
    <row r="102" spans="1:14" x14ac:dyDescent="0.25">
      <c r="A102" s="4" t="str">
        <f t="shared" si="1"/>
        <v>DESPESA DE REPRESENTAÇÃO - COROA DE FLORES PARA MÃE -TRADER-ALEXANDRE MAZZETTI (AGENDA 40967)</v>
      </c>
      <c r="B102" s="11">
        <v>46082</v>
      </c>
      <c r="C102" s="4">
        <v>817991</v>
      </c>
      <c r="D102" s="16" t="s">
        <v>39</v>
      </c>
      <c r="E102" s="14">
        <v>-845</v>
      </c>
      <c r="F102" s="2" t="s">
        <v>389</v>
      </c>
      <c r="G102" s="2">
        <v>46100</v>
      </c>
      <c r="H102" s="9">
        <v>82963</v>
      </c>
      <c r="I102" s="4"/>
      <c r="J102" s="4" t="s">
        <v>1027</v>
      </c>
      <c r="K102" s="7" t="s">
        <v>912</v>
      </c>
      <c r="L102" s="4" t="s">
        <v>913</v>
      </c>
      <c r="M102" s="9" t="s">
        <v>335</v>
      </c>
      <c r="N102" s="4" t="str">
        <f>VLOOKUP(H102,Clientes!B:D,3,)</f>
        <v>BANCO DAYCOVAL S/A</v>
      </c>
    </row>
    <row r="103" spans="1:14" x14ac:dyDescent="0.25">
      <c r="A103" s="4" t="str">
        <f t="shared" si="1"/>
        <v>DESPESA DE REPRESENTAÇÃO - JANTAR-TRADER-KESLEY LEANDRO SILVA (163651-3688RZ)</v>
      </c>
      <c r="B103" s="11">
        <v>46082</v>
      </c>
      <c r="C103" s="4">
        <v>817991</v>
      </c>
      <c r="D103" s="16" t="s">
        <v>60</v>
      </c>
      <c r="E103" s="14">
        <v>-929</v>
      </c>
      <c r="F103" s="2" t="s">
        <v>380</v>
      </c>
      <c r="G103" s="2">
        <v>46100</v>
      </c>
      <c r="H103" s="9">
        <v>80227</v>
      </c>
      <c r="I103" s="4"/>
      <c r="J103" s="4" t="s">
        <v>380</v>
      </c>
      <c r="K103" s="7" t="s">
        <v>914</v>
      </c>
      <c r="L103" s="4" t="s">
        <v>579</v>
      </c>
      <c r="M103" s="9" t="s">
        <v>335</v>
      </c>
      <c r="N103" s="4" t="str">
        <f>VLOOKUP(H103,Clientes!B:D,3,)</f>
        <v>ITAU UNIBANCO S/A</v>
      </c>
    </row>
    <row r="104" spans="1:14" x14ac:dyDescent="0.25">
      <c r="A104" s="4" t="str">
        <f t="shared" si="1"/>
        <v>DESPESA DE REPRESENTAÇÃO - ALMOÇO-TRADER-JOAO CARVALHO (140153-3688AC)</v>
      </c>
      <c r="B104" s="11">
        <v>46082</v>
      </c>
      <c r="C104" s="4">
        <v>817991</v>
      </c>
      <c r="D104" s="16" t="s">
        <v>331</v>
      </c>
      <c r="E104" s="14">
        <v>-992.14</v>
      </c>
      <c r="F104" s="2" t="s">
        <v>447</v>
      </c>
      <c r="G104" s="2">
        <v>46100</v>
      </c>
      <c r="H104" s="9">
        <v>15501</v>
      </c>
      <c r="I104" s="4"/>
      <c r="J104" s="4" t="s">
        <v>447</v>
      </c>
      <c r="K104" s="7" t="s">
        <v>915</v>
      </c>
      <c r="L104" s="4" t="s">
        <v>916</v>
      </c>
      <c r="M104" s="9" t="s">
        <v>335</v>
      </c>
      <c r="N104" s="4" t="str">
        <f>VLOOKUP(H104,Clientes!B:D,3,)</f>
        <v>BANCO BTG PACTUAL S/A</v>
      </c>
    </row>
    <row r="105" spans="1:14" x14ac:dyDescent="0.25">
      <c r="A105" s="4" t="str">
        <f t="shared" si="1"/>
        <v>DESPESA DE REPRESENTAÇÃO - JANTAR-TRADER-FELIPE AVAIRO (105100-3688AA)</v>
      </c>
      <c r="B105" s="11">
        <v>46082</v>
      </c>
      <c r="C105" s="4">
        <v>817991</v>
      </c>
      <c r="D105" s="16" t="s">
        <v>379</v>
      </c>
      <c r="E105" s="14">
        <v>-5410</v>
      </c>
      <c r="F105" s="2" t="s">
        <v>380</v>
      </c>
      <c r="G105" s="2">
        <v>46100</v>
      </c>
      <c r="H105" s="9">
        <v>80404</v>
      </c>
      <c r="I105" s="4"/>
      <c r="J105" s="4" t="s">
        <v>380</v>
      </c>
      <c r="K105" s="7" t="s">
        <v>917</v>
      </c>
      <c r="L105" s="4" t="s">
        <v>349</v>
      </c>
      <c r="M105" s="9" t="s">
        <v>335</v>
      </c>
      <c r="N105" s="4" t="str">
        <f>VLOOKUP(H105,Clientes!B:D,3,)</f>
        <v>BANCO ABN AMRO S/A</v>
      </c>
    </row>
    <row r="106" spans="1:14" x14ac:dyDescent="0.25">
      <c r="A106" s="4" t="str">
        <f t="shared" si="1"/>
        <v>DESPESA DE REPRESENTAÇÃO - JANTAR-TRADER-JOAO GOMES (175653-3688FB)</v>
      </c>
      <c r="B106" s="11">
        <v>46082</v>
      </c>
      <c r="C106" s="4">
        <v>817991</v>
      </c>
      <c r="D106" s="16" t="s">
        <v>477</v>
      </c>
      <c r="E106" s="14">
        <v>-1768.45</v>
      </c>
      <c r="F106" s="2" t="s">
        <v>380</v>
      </c>
      <c r="G106" s="2">
        <v>46100</v>
      </c>
      <c r="H106" s="9">
        <v>14416</v>
      </c>
      <c r="I106" s="4"/>
      <c r="J106" s="4" t="s">
        <v>380</v>
      </c>
      <c r="K106" s="7" t="s">
        <v>918</v>
      </c>
      <c r="L106" s="4" t="s">
        <v>919</v>
      </c>
      <c r="M106" s="9" t="s">
        <v>335</v>
      </c>
      <c r="N106" s="4" t="str">
        <f>VLOOKUP(H106,Clientes!B:D,3,)</f>
        <v>BANCO JP MORGAN S/A</v>
      </c>
    </row>
    <row r="107" spans="1:14" x14ac:dyDescent="0.25">
      <c r="A107" s="4" t="str">
        <f t="shared" si="1"/>
        <v>DESPESA DE REPRESENTAÇÃO - ALMOÇO-TRADER-YURI BIALOKORSKI (121137-3688CM)</v>
      </c>
      <c r="B107" s="11">
        <v>46082</v>
      </c>
      <c r="C107" s="4">
        <v>817991</v>
      </c>
      <c r="D107" s="16" t="s">
        <v>621</v>
      </c>
      <c r="E107" s="14">
        <v>-705.63</v>
      </c>
      <c r="F107" s="2" t="s">
        <v>447</v>
      </c>
      <c r="G107" s="2">
        <v>46100</v>
      </c>
      <c r="H107" s="9">
        <v>12404</v>
      </c>
      <c r="I107" s="4"/>
      <c r="J107" s="4" t="s">
        <v>447</v>
      </c>
      <c r="K107" s="7" t="s">
        <v>920</v>
      </c>
      <c r="L107" s="4" t="s">
        <v>921</v>
      </c>
      <c r="M107" s="9" t="s">
        <v>335</v>
      </c>
      <c r="N107" s="4" t="str">
        <f>VLOOKUP(H107,Clientes!B:D,3,)</f>
        <v>MORE INVEST GESTORA DE RECURSOS LTDA</v>
      </c>
    </row>
    <row r="108" spans="1:14" x14ac:dyDescent="0.25">
      <c r="A108" s="4" t="str">
        <f t="shared" si="1"/>
        <v>DESPESA DE REPRESENTAÇÃO - ALMOÇO-TRADER-MARCOS HORI (121242-3688RF)</v>
      </c>
      <c r="B108" s="11">
        <v>46082</v>
      </c>
      <c r="C108" s="4">
        <v>817991</v>
      </c>
      <c r="D108" s="16" t="s">
        <v>31</v>
      </c>
      <c r="E108" s="14">
        <v>-333</v>
      </c>
      <c r="F108" s="2" t="s">
        <v>447</v>
      </c>
      <c r="G108" s="2">
        <v>46107</v>
      </c>
      <c r="H108" s="9">
        <v>80343</v>
      </c>
      <c r="I108" s="4"/>
      <c r="J108" s="4" t="s">
        <v>447</v>
      </c>
      <c r="K108" s="7" t="s">
        <v>922</v>
      </c>
      <c r="L108" s="4" t="s">
        <v>923</v>
      </c>
      <c r="M108" s="9" t="s">
        <v>335</v>
      </c>
      <c r="N108" s="4" t="str">
        <f>VLOOKUP(H108,Clientes!B:D,3,)</f>
        <v>BANCO BS2 S/A</v>
      </c>
    </row>
    <row r="109" spans="1:14" x14ac:dyDescent="0.25">
      <c r="A109" s="4" t="str">
        <f t="shared" si="1"/>
        <v>DESPESA DE REPRESENTAÇÃO - ALMOÇO-TRADER-ANDRE PIMENTEL (150812-3688AS)</v>
      </c>
      <c r="B109" s="11">
        <v>46082</v>
      </c>
      <c r="C109" s="4">
        <v>817991</v>
      </c>
      <c r="D109" s="16" t="s">
        <v>449</v>
      </c>
      <c r="E109" s="14">
        <v>-992</v>
      </c>
      <c r="F109" s="2" t="s">
        <v>447</v>
      </c>
      <c r="G109" s="2">
        <v>46107</v>
      </c>
      <c r="H109" s="9">
        <v>80691</v>
      </c>
      <c r="I109" s="4"/>
      <c r="J109" s="4" t="s">
        <v>447</v>
      </c>
      <c r="K109" s="7" t="s">
        <v>924</v>
      </c>
      <c r="L109" s="4" t="s">
        <v>925</v>
      </c>
      <c r="M109" s="9" t="s">
        <v>335</v>
      </c>
      <c r="N109" s="4" t="str">
        <f>VLOOKUP(H109,Clientes!B:D,3,)</f>
        <v>UJAY CAPITAL INVESTIMENTOS LTDA</v>
      </c>
    </row>
    <row r="110" spans="1:14" x14ac:dyDescent="0.25">
      <c r="A110" s="4" t="str">
        <f t="shared" si="1"/>
        <v>DESPESA DE REPRESENTAÇÃO - HAPPY HOUR-TRADER-MARCELO ISSA (092056-3688AA)</v>
      </c>
      <c r="B110" s="11">
        <v>46082</v>
      </c>
      <c r="C110" s="4">
        <v>817991</v>
      </c>
      <c r="D110" s="16" t="s">
        <v>379</v>
      </c>
      <c r="E110" s="14">
        <v>-2100</v>
      </c>
      <c r="F110" s="2" t="s">
        <v>766</v>
      </c>
      <c r="G110" s="2">
        <v>46107</v>
      </c>
      <c r="H110" s="9">
        <v>27645</v>
      </c>
      <c r="I110" s="4"/>
      <c r="J110" s="4" t="s">
        <v>485</v>
      </c>
      <c r="K110" s="7" t="s">
        <v>926</v>
      </c>
      <c r="L110" s="4" t="s">
        <v>927</v>
      </c>
      <c r="M110" s="9" t="s">
        <v>335</v>
      </c>
      <c r="N110" s="4" t="str">
        <f>VLOOKUP(H110,Clientes!B:D,3,)</f>
        <v>GOLDMAN SACHS DO BRASIL BANCO MULTIPLO S/A</v>
      </c>
    </row>
    <row r="111" spans="1:14" x14ac:dyDescent="0.25">
      <c r="A111" s="4" t="str">
        <f t="shared" si="1"/>
        <v>DESPESA DE REPRESENTAÇÃO - ALMOÇO-TRADER-BRUNO DE MATTOS A DOS SANTOS (141743-3688FR)</v>
      </c>
      <c r="B111" s="11">
        <v>46082</v>
      </c>
      <c r="C111" s="4">
        <v>817991</v>
      </c>
      <c r="D111" s="16" t="s">
        <v>632</v>
      </c>
      <c r="E111" s="14">
        <v>-1279.1600000000001</v>
      </c>
      <c r="F111" s="2" t="s">
        <v>447</v>
      </c>
      <c r="G111" s="2">
        <v>46107</v>
      </c>
      <c r="H111" s="9">
        <v>80227</v>
      </c>
      <c r="I111" s="4"/>
      <c r="J111" s="4" t="s">
        <v>447</v>
      </c>
      <c r="K111" s="7" t="s">
        <v>928</v>
      </c>
      <c r="L111" s="4" t="s">
        <v>520</v>
      </c>
      <c r="M111" s="9" t="s">
        <v>335</v>
      </c>
      <c r="N111" s="4" t="str">
        <f>VLOOKUP(H111,Clientes!B:D,3,)</f>
        <v>ITAU UNIBANCO S/A</v>
      </c>
    </row>
    <row r="112" spans="1:14" x14ac:dyDescent="0.25">
      <c r="A112" s="4" t="str">
        <f t="shared" si="1"/>
        <v>DESPESA DE REPRESENTAÇÃO - JANTAR-TRADER-OTO SILVA (161317-3688AM)</v>
      </c>
      <c r="B112" s="11">
        <v>46082</v>
      </c>
      <c r="C112" s="4">
        <v>817991</v>
      </c>
      <c r="D112" s="16" t="s">
        <v>626</v>
      </c>
      <c r="E112" s="14">
        <v>-1071.24</v>
      </c>
      <c r="F112" s="2" t="s">
        <v>380</v>
      </c>
      <c r="G112" s="2">
        <v>46107</v>
      </c>
      <c r="H112" s="9">
        <v>16705</v>
      </c>
      <c r="I112" s="4"/>
      <c r="J112" s="4" t="s">
        <v>380</v>
      </c>
      <c r="K112" s="7" t="s">
        <v>929</v>
      </c>
      <c r="L112" s="4" t="s">
        <v>930</v>
      </c>
      <c r="M112" s="9" t="s">
        <v>335</v>
      </c>
      <c r="N112" s="4" t="str">
        <f>VLOOKUP(H112,Clientes!B:D,3,)</f>
        <v>BANCO BRADESCO S/A</v>
      </c>
    </row>
    <row r="113" spans="1:14" x14ac:dyDescent="0.25">
      <c r="A113" s="4" t="str">
        <f t="shared" si="1"/>
        <v>DESPESA DE REPRESENTAÇÃO - ALMOÇO-TRADER-LUIS MOREIRA (162152-3688AM)</v>
      </c>
      <c r="B113" s="11">
        <v>46082</v>
      </c>
      <c r="C113" s="4">
        <v>817991</v>
      </c>
      <c r="D113" s="16" t="s">
        <v>626</v>
      </c>
      <c r="E113" s="14">
        <v>-1570.7</v>
      </c>
      <c r="F113" s="2" t="s">
        <v>447</v>
      </c>
      <c r="G113" s="2">
        <v>46107</v>
      </c>
      <c r="H113" s="9">
        <v>80386</v>
      </c>
      <c r="I113" s="4"/>
      <c r="J113" s="4" t="s">
        <v>447</v>
      </c>
      <c r="K113" s="7" t="s">
        <v>931</v>
      </c>
      <c r="L113" s="4" t="s">
        <v>932</v>
      </c>
      <c r="M113" s="9" t="s">
        <v>335</v>
      </c>
      <c r="N113" s="4" t="str">
        <f>VLOOKUP(H113,Clientes!B:D,3,)</f>
        <v>LEGACY CAPITAL GESTORA DE RECURSOS LTDA</v>
      </c>
    </row>
    <row r="114" spans="1:14" x14ac:dyDescent="0.25">
      <c r="A114" s="4" t="str">
        <f t="shared" si="1"/>
        <v>DESPESA DE REPRESENTAÇÃO - ALMOÇO-TRADER-GIOVANNE TELES (161523-3688AM)</v>
      </c>
      <c r="B114" s="11">
        <v>46082</v>
      </c>
      <c r="C114" s="4">
        <v>817991</v>
      </c>
      <c r="D114" s="16" t="s">
        <v>626</v>
      </c>
      <c r="E114" s="14">
        <v>-563.02</v>
      </c>
      <c r="F114" s="2" t="s">
        <v>447</v>
      </c>
      <c r="G114" s="2">
        <v>46107</v>
      </c>
      <c r="H114" s="9">
        <v>14479</v>
      </c>
      <c r="I114" s="4"/>
      <c r="J114" s="4" t="s">
        <v>447</v>
      </c>
      <c r="K114" s="7" t="s">
        <v>933</v>
      </c>
      <c r="L114" s="4" t="s">
        <v>583</v>
      </c>
      <c r="M114" s="9" t="s">
        <v>335</v>
      </c>
      <c r="N114" s="4" t="str">
        <f>VLOOKUP(H114,Clientes!B:D,3,)</f>
        <v>BANCO SANTANDER (BRASIL) S/A</v>
      </c>
    </row>
    <row r="115" spans="1:14" x14ac:dyDescent="0.25">
      <c r="A115" s="4" t="str">
        <f t="shared" si="1"/>
        <v>DESPESA DE REPRESENTAÇÃO - ALMOÇO-TRADER-MATHIAS  CLERC (161837-3688AM)</v>
      </c>
      <c r="B115" s="11">
        <v>46082</v>
      </c>
      <c r="C115" s="4">
        <v>817991</v>
      </c>
      <c r="D115" s="16" t="s">
        <v>626</v>
      </c>
      <c r="E115" s="14">
        <v>-804.56</v>
      </c>
      <c r="F115" s="2" t="s">
        <v>447</v>
      </c>
      <c r="G115" s="2">
        <v>46107</v>
      </c>
      <c r="H115" s="9">
        <v>16705</v>
      </c>
      <c r="I115" s="4"/>
      <c r="J115" s="4" t="s">
        <v>447</v>
      </c>
      <c r="K115" s="7" t="s">
        <v>934</v>
      </c>
      <c r="L115" s="4" t="s">
        <v>935</v>
      </c>
      <c r="M115" s="9" t="s">
        <v>335</v>
      </c>
      <c r="N115" s="4" t="str">
        <f>VLOOKUP(H115,Clientes!B:D,3,)</f>
        <v>BANCO BRADESCO S/A</v>
      </c>
    </row>
    <row r="116" spans="1:14" x14ac:dyDescent="0.25">
      <c r="A116" s="4" t="str">
        <f t="shared" si="1"/>
        <v>DESPESA DE REPRESENTAÇÃO - CITY TAX E REFEIÇÕES NO EXTERIOR-TRADER-GUILHERME GAYOLA CONTATO (094839-3688RB)</v>
      </c>
      <c r="B116" s="11">
        <v>46082</v>
      </c>
      <c r="C116" s="4">
        <v>817991</v>
      </c>
      <c r="D116" s="16" t="s">
        <v>668</v>
      </c>
      <c r="E116" s="14">
        <v>-2472</v>
      </c>
      <c r="F116" s="2" t="s">
        <v>389</v>
      </c>
      <c r="G116" s="2">
        <v>46107</v>
      </c>
      <c r="H116" s="9">
        <v>14416</v>
      </c>
      <c r="I116" s="4"/>
      <c r="J116" s="4" t="s">
        <v>936</v>
      </c>
      <c r="K116" s="7" t="s">
        <v>937</v>
      </c>
      <c r="L116" s="4" t="s">
        <v>218</v>
      </c>
      <c r="M116" s="9" t="s">
        <v>335</v>
      </c>
      <c r="N116" s="4" t="str">
        <f>VLOOKUP(H116,Clientes!B:D,3,)</f>
        <v>BANCO JP MORGAN S/A</v>
      </c>
    </row>
    <row r="117" spans="1:14" x14ac:dyDescent="0.25">
      <c r="A117" s="4" t="str">
        <f t="shared" si="1"/>
        <v>DESPESA DE REPRESENTAÇÃO - TAXI E UBER VIAGEM NY-TRADER-GUILHERME GAYOLA CONTATO (085654-3688RB)</v>
      </c>
      <c r="B117" s="11">
        <v>46082</v>
      </c>
      <c r="C117" s="4">
        <v>817991</v>
      </c>
      <c r="D117" s="16" t="s">
        <v>668</v>
      </c>
      <c r="E117" s="14">
        <v>-2616</v>
      </c>
      <c r="F117" s="2" t="s">
        <v>765</v>
      </c>
      <c r="G117" s="2">
        <v>46107</v>
      </c>
      <c r="H117" s="9">
        <v>14416</v>
      </c>
      <c r="I117" s="4"/>
      <c r="J117" s="4" t="s">
        <v>938</v>
      </c>
      <c r="K117" s="7" t="s">
        <v>939</v>
      </c>
      <c r="L117" s="4" t="s">
        <v>218</v>
      </c>
      <c r="M117" s="9" t="s">
        <v>335</v>
      </c>
      <c r="N117" s="4" t="str">
        <f>VLOOKUP(H117,Clientes!B:D,3,)</f>
        <v>BANCO JP MORGAN S/A</v>
      </c>
    </row>
    <row r="118" spans="1:14" x14ac:dyDescent="0.25">
      <c r="A118" s="4" t="str">
        <f t="shared" si="1"/>
        <v>DESPESA DE REPRESENTAÇÃO - ALMOÇO COM GUILHERME CONTATO EM NY-TRADER-GUILHERME GAYOLA CONTATO (092025-3688RB)</v>
      </c>
      <c r="B118" s="11">
        <v>46082</v>
      </c>
      <c r="C118" s="4">
        <v>817991</v>
      </c>
      <c r="D118" s="16" t="s">
        <v>668</v>
      </c>
      <c r="E118" s="14">
        <v>-6957</v>
      </c>
      <c r="F118" s="2" t="s">
        <v>447</v>
      </c>
      <c r="G118" s="2">
        <v>46107</v>
      </c>
      <c r="H118" s="9">
        <v>14416</v>
      </c>
      <c r="I118" s="4"/>
      <c r="J118" s="4" t="s">
        <v>940</v>
      </c>
      <c r="K118" s="7" t="s">
        <v>941</v>
      </c>
      <c r="L118" s="4" t="s">
        <v>218</v>
      </c>
      <c r="M118" s="9" t="s">
        <v>335</v>
      </c>
      <c r="N118" s="4" t="str">
        <f>VLOOKUP(H118,Clientes!B:D,3,)</f>
        <v>BANCO JP MORGAN S/A</v>
      </c>
    </row>
    <row r="119" spans="1:14" x14ac:dyDescent="0.25">
      <c r="A119" s="4" t="str">
        <f t="shared" si="1"/>
        <v>DESPESA DE REPRESENTAÇÃO - ALMOÇO-TRADER-EDUARDO CASTRO (093815-3688RB)</v>
      </c>
      <c r="B119" s="11">
        <v>46082</v>
      </c>
      <c r="C119" s="4">
        <v>817991</v>
      </c>
      <c r="D119" s="16" t="s">
        <v>668</v>
      </c>
      <c r="E119" s="14">
        <v>-13045</v>
      </c>
      <c r="F119" s="2" t="s">
        <v>447</v>
      </c>
      <c r="G119" s="2">
        <v>46107</v>
      </c>
      <c r="H119" s="9">
        <v>18658</v>
      </c>
      <c r="I119" s="4"/>
      <c r="J119" s="4" t="s">
        <v>447</v>
      </c>
      <c r="K119" s="7" t="s">
        <v>942</v>
      </c>
      <c r="L119" s="4" t="s">
        <v>791</v>
      </c>
      <c r="M119" s="9" t="s">
        <v>335</v>
      </c>
      <c r="N119" s="4" t="str">
        <f>VLOOKUP(H119,Clientes!B:D,3,)</f>
        <v>SCOTIABANK BRASILS/A BANCO MULTIPLO(ANTIGO DRESDNER BANK BR)</v>
      </c>
    </row>
    <row r="120" spans="1:14" x14ac:dyDescent="0.25">
      <c r="A120" s="4" t="str">
        <f t="shared" si="1"/>
        <v>DESPESA DE REPRESENTAÇÃO - ROAMING INTERNET-BROKER-RODRIGO BETTI MARQUES (093311-3688RB)</v>
      </c>
      <c r="B120" s="11">
        <v>46082</v>
      </c>
      <c r="C120" s="4">
        <v>817991</v>
      </c>
      <c r="D120" s="16" t="s">
        <v>668</v>
      </c>
      <c r="E120" s="14">
        <v>-149</v>
      </c>
      <c r="F120" s="2" t="s">
        <v>389</v>
      </c>
      <c r="G120" s="2">
        <v>46107</v>
      </c>
      <c r="H120" s="9">
        <v>1170</v>
      </c>
      <c r="I120" s="4"/>
      <c r="J120" s="4" t="s">
        <v>943</v>
      </c>
      <c r="K120" s="7" t="s">
        <v>944</v>
      </c>
      <c r="L120" s="4" t="s">
        <v>668</v>
      </c>
      <c r="M120" s="9" t="s">
        <v>2</v>
      </c>
      <c r="N120" s="4" t="str">
        <f>VLOOKUP(H120,Clientes!B:D,3,)</f>
        <v>BGC LIQUIDEZ DTVM LTDA</v>
      </c>
    </row>
    <row r="121" spans="1:14" x14ac:dyDescent="0.25">
      <c r="A121" s="4" t="str">
        <f t="shared" si="1"/>
        <v>DESPESA DE REPRESENTAÇÃO - DRINKS COM CLIENTE-TRADER-GUILHERME GAYOLA CONTATO (092754-3688RB)</v>
      </c>
      <c r="B121" s="11">
        <v>46082</v>
      </c>
      <c r="C121" s="4">
        <v>817991</v>
      </c>
      <c r="D121" s="16" t="s">
        <v>668</v>
      </c>
      <c r="E121" s="14">
        <v>-377</v>
      </c>
      <c r="F121" s="2" t="s">
        <v>389</v>
      </c>
      <c r="G121" s="2">
        <v>46107</v>
      </c>
      <c r="H121" s="9">
        <v>14416</v>
      </c>
      <c r="I121" s="4"/>
      <c r="J121" s="4" t="s">
        <v>1028</v>
      </c>
      <c r="K121" s="7" t="s">
        <v>945</v>
      </c>
      <c r="L121" s="4" t="s">
        <v>218</v>
      </c>
      <c r="M121" s="9" t="s">
        <v>335</v>
      </c>
      <c r="N121" s="4" t="str">
        <f>VLOOKUP(H121,Clientes!B:D,3,)</f>
        <v>BANCO JP MORGAN S/A</v>
      </c>
    </row>
    <row r="122" spans="1:14" x14ac:dyDescent="0.25">
      <c r="A122" s="4" t="str">
        <f t="shared" si="1"/>
        <v>DESPESA DE REPRESENTAÇÃO - ALMOÇO-TRADER-FELIPE LOPES (150542-3688AS)</v>
      </c>
      <c r="B122" s="11">
        <v>46082</v>
      </c>
      <c r="C122" s="4">
        <v>817991</v>
      </c>
      <c r="D122" s="16" t="s">
        <v>449</v>
      </c>
      <c r="E122" s="14">
        <v>-1271</v>
      </c>
      <c r="F122" s="2" t="s">
        <v>447</v>
      </c>
      <c r="G122" s="2">
        <v>46107</v>
      </c>
      <c r="H122" s="9">
        <v>15501</v>
      </c>
      <c r="I122" s="4"/>
      <c r="J122" s="4" t="s">
        <v>447</v>
      </c>
      <c r="K122" s="7" t="s">
        <v>946</v>
      </c>
      <c r="L122" s="4" t="s">
        <v>947</v>
      </c>
      <c r="M122" s="9" t="s">
        <v>335</v>
      </c>
      <c r="N122" s="4" t="str">
        <f>VLOOKUP(H122,Clientes!B:D,3,)</f>
        <v>BANCO BTG PACTUAL S/A</v>
      </c>
    </row>
    <row r="123" spans="1:14" x14ac:dyDescent="0.25">
      <c r="A123" s="4" t="str">
        <f t="shared" si="1"/>
        <v>DESPESA DE REPRESENTAÇÃO - ALMOÇO-TRADER-GUILHERME PACHECO (174614-3688AC)</v>
      </c>
      <c r="B123" s="11">
        <v>46082</v>
      </c>
      <c r="C123" s="4">
        <v>817991</v>
      </c>
      <c r="D123" s="16" t="s">
        <v>331</v>
      </c>
      <c r="E123" s="14">
        <v>-1157.05</v>
      </c>
      <c r="F123" s="2" t="s">
        <v>447</v>
      </c>
      <c r="G123" s="2">
        <v>46107</v>
      </c>
      <c r="H123" s="9">
        <v>15781</v>
      </c>
      <c r="I123" s="4"/>
      <c r="J123" s="4" t="s">
        <v>447</v>
      </c>
      <c r="K123" s="7" t="s">
        <v>948</v>
      </c>
      <c r="L123" s="4" t="s">
        <v>949</v>
      </c>
      <c r="M123" s="9" t="s">
        <v>335</v>
      </c>
      <c r="N123" s="4" t="str">
        <f>VLOOKUP(H123,Clientes!B:D,3,)</f>
        <v>BANCO SAFRA S/A</v>
      </c>
    </row>
    <row r="124" spans="1:14" x14ac:dyDescent="0.25">
      <c r="A124" s="4" t="str">
        <f t="shared" si="1"/>
        <v>DESPESA DE REPRESENTAÇÃO - ALMOÇO-TRADER-GABRIEL MELLO (164901-3688AV)</v>
      </c>
      <c r="B124" s="11">
        <v>46082</v>
      </c>
      <c r="C124" s="4">
        <v>817991</v>
      </c>
      <c r="D124" s="16" t="s">
        <v>23</v>
      </c>
      <c r="E124" s="14">
        <v>-728</v>
      </c>
      <c r="F124" s="2" t="s">
        <v>447</v>
      </c>
      <c r="G124" s="2">
        <v>46107</v>
      </c>
      <c r="H124" s="9">
        <v>12395</v>
      </c>
      <c r="I124" s="4"/>
      <c r="J124" s="4" t="s">
        <v>447</v>
      </c>
      <c r="K124" s="7" t="s">
        <v>950</v>
      </c>
      <c r="L124" s="4" t="s">
        <v>951</v>
      </c>
      <c r="M124" s="9" t="s">
        <v>335</v>
      </c>
      <c r="N124" s="4" t="str">
        <f>VLOOKUP(H124,Clientes!B:D,3,)</f>
        <v>AZ QUEST INVESTIMENTOS LTDA</v>
      </c>
    </row>
    <row r="125" spans="1:14" x14ac:dyDescent="0.25">
      <c r="A125" s="4" t="str">
        <f t="shared" si="1"/>
        <v>DESPESA DE REPRESENTAÇÃO - TRASPORTE PARA VISITAS E AEROPORTOS-TRADER-EDUARDO CASTRO (162654-3688CB)</v>
      </c>
      <c r="B125" s="11">
        <v>46082</v>
      </c>
      <c r="C125" s="4">
        <v>817991</v>
      </c>
      <c r="D125" s="16" t="s">
        <v>132</v>
      </c>
      <c r="E125" s="14">
        <v>-2039.35</v>
      </c>
      <c r="F125" s="2" t="s">
        <v>765</v>
      </c>
      <c r="G125" s="2">
        <v>46107</v>
      </c>
      <c r="H125" s="9">
        <v>18658</v>
      </c>
      <c r="I125" s="4"/>
      <c r="J125" s="4" t="s">
        <v>952</v>
      </c>
      <c r="K125" s="7" t="s">
        <v>953</v>
      </c>
      <c r="L125" s="4" t="s">
        <v>791</v>
      </c>
      <c r="M125" s="9" t="s">
        <v>335</v>
      </c>
      <c r="N125" s="4" t="str">
        <f>VLOOKUP(H125,Clientes!B:D,3,)</f>
        <v>SCOTIABANK BRASILS/A BANCO MULTIPLO(ANTIGO DRESDNER BANK BR)</v>
      </c>
    </row>
    <row r="126" spans="1:14" x14ac:dyDescent="0.25">
      <c r="A126" s="4" t="str">
        <f t="shared" si="1"/>
        <v>DESPESA DE REPRESENTAÇÃO - ALMOÇO-TRADER-LUCAS BALADI  (145802-3688CB)</v>
      </c>
      <c r="B126" s="11">
        <v>46082</v>
      </c>
      <c r="C126" s="4">
        <v>817991</v>
      </c>
      <c r="D126" s="16" t="s">
        <v>132</v>
      </c>
      <c r="E126" s="14">
        <v>-7643.97</v>
      </c>
      <c r="F126" s="2" t="s">
        <v>447</v>
      </c>
      <c r="G126" s="2">
        <v>46107</v>
      </c>
      <c r="H126" s="9">
        <v>27645</v>
      </c>
      <c r="I126" s="4"/>
      <c r="J126" s="4" t="s">
        <v>447</v>
      </c>
      <c r="K126" s="7" t="s">
        <v>954</v>
      </c>
      <c r="L126" s="4" t="s">
        <v>955</v>
      </c>
      <c r="M126" s="9" t="s">
        <v>335</v>
      </c>
      <c r="N126" s="4" t="str">
        <f>VLOOKUP(H126,Clientes!B:D,3,)</f>
        <v>GOLDMAN SACHS DO BRASIL BANCO MULTIPLO S/A</v>
      </c>
    </row>
    <row r="127" spans="1:14" x14ac:dyDescent="0.25">
      <c r="A127" s="4" t="str">
        <f t="shared" si="1"/>
        <v>DESPESA DE REPRESENTAÇÃO - CAFÉ DA MANHÃ-TRADER-GARY STEIN (145516-3688CB)</v>
      </c>
      <c r="B127" s="11">
        <v>46082</v>
      </c>
      <c r="C127" s="4">
        <v>817991</v>
      </c>
      <c r="D127" s="16" t="s">
        <v>132</v>
      </c>
      <c r="E127" s="14">
        <v>-168.4</v>
      </c>
      <c r="F127" s="2" t="s">
        <v>771</v>
      </c>
      <c r="G127" s="2">
        <v>46107</v>
      </c>
      <c r="H127" s="9">
        <v>81249</v>
      </c>
      <c r="I127" s="4"/>
      <c r="J127" s="2" t="s">
        <v>771</v>
      </c>
      <c r="K127" s="7" t="s">
        <v>956</v>
      </c>
      <c r="L127" s="4" t="s">
        <v>957</v>
      </c>
      <c r="M127" s="9" t="s">
        <v>335</v>
      </c>
      <c r="N127" s="4" t="str">
        <f>VLOOKUP(H127,Clientes!B:D,3,)</f>
        <v>BANCO HSBC S/A</v>
      </c>
    </row>
    <row r="128" spans="1:14" x14ac:dyDescent="0.25">
      <c r="A128" s="4" t="str">
        <f t="shared" si="1"/>
        <v>DESPESA DE REPRESENTAÇÃO - ALMOÇO-TRADER-ARTUR GELUMBAUSKAS (150046-3688CB)</v>
      </c>
      <c r="B128" s="11">
        <v>46082</v>
      </c>
      <c r="C128" s="4">
        <v>817991</v>
      </c>
      <c r="D128" s="16" t="s">
        <v>132</v>
      </c>
      <c r="E128" s="14">
        <v>-944.38</v>
      </c>
      <c r="F128" s="2" t="s">
        <v>447</v>
      </c>
      <c r="G128" s="2">
        <v>46107</v>
      </c>
      <c r="H128" s="9">
        <v>18658</v>
      </c>
      <c r="I128" s="4"/>
      <c r="J128" s="4" t="s">
        <v>447</v>
      </c>
      <c r="K128" s="7" t="s">
        <v>1030</v>
      </c>
      <c r="L128" s="4" t="s">
        <v>958</v>
      </c>
      <c r="M128" s="9" t="s">
        <v>335</v>
      </c>
      <c r="N128" s="4" t="str">
        <f>VLOOKUP(H128,Clientes!B:D,3,)</f>
        <v>SCOTIABANK BRASILS/A BANCO MULTIPLO(ANTIGO DRESDNER BANK BR)</v>
      </c>
    </row>
    <row r="129" spans="1:14" x14ac:dyDescent="0.25">
      <c r="A129" s="4" t="str">
        <f t="shared" si="1"/>
        <v>DESPESA DE REPRESENTAÇÃO - HOSPEDAGEM NO GILD HALL NYC-BROKER-CARLOS BASILE (165506-3688CB)</v>
      </c>
      <c r="B129" s="11">
        <v>46082</v>
      </c>
      <c r="C129" s="4">
        <v>817991</v>
      </c>
      <c r="D129" s="16" t="s">
        <v>574</v>
      </c>
      <c r="E129" s="14">
        <v>-932.96</v>
      </c>
      <c r="F129" s="2" t="s">
        <v>667</v>
      </c>
      <c r="G129" s="2">
        <v>46107</v>
      </c>
      <c r="H129" s="9">
        <v>1170</v>
      </c>
      <c r="I129" s="4"/>
      <c r="J129" s="4" t="s">
        <v>1029</v>
      </c>
      <c r="K129" s="7" t="s">
        <v>959</v>
      </c>
      <c r="L129" s="4" t="s">
        <v>132</v>
      </c>
      <c r="M129" s="9" t="s">
        <v>2</v>
      </c>
      <c r="N129" s="4" t="str">
        <f>VLOOKUP(H129,Clientes!B:D,3,)</f>
        <v>BGC LIQUIDEZ DTVM LTDA</v>
      </c>
    </row>
    <row r="130" spans="1:14" x14ac:dyDescent="0.25">
      <c r="A130" s="4" t="str">
        <f t="shared" ref="A130:A151" si="2">CONCATENATE($J$1,J130,$I$3,M130,$I$3,L130,$I$1,K130,$I$2)</f>
        <v>DESPESA DE REPRESENTAÇÃO - PASSAGEM SÃO PAULO X BRASÍLIA -BROKER-JUAREZ JOAQUIM DE LACERDA (AGENDA 41094)</v>
      </c>
      <c r="B130" s="11">
        <v>46082</v>
      </c>
      <c r="C130" s="4">
        <v>817991</v>
      </c>
      <c r="D130" s="16" t="s">
        <v>614</v>
      </c>
      <c r="E130" s="14">
        <v>-1734.68</v>
      </c>
      <c r="F130" s="2" t="s">
        <v>765</v>
      </c>
      <c r="G130" s="2">
        <v>46111</v>
      </c>
      <c r="H130" s="9">
        <v>1170</v>
      </c>
      <c r="I130" s="4"/>
      <c r="J130" s="4" t="s">
        <v>812</v>
      </c>
      <c r="K130" s="7" t="s">
        <v>960</v>
      </c>
      <c r="L130" s="4" t="s">
        <v>614</v>
      </c>
      <c r="M130" s="9" t="s">
        <v>2</v>
      </c>
      <c r="N130" s="4" t="str">
        <f>VLOOKUP(H130,Clientes!B:D,3,)</f>
        <v>BGC LIQUIDEZ DTVM LTDA</v>
      </c>
    </row>
    <row r="131" spans="1:14" x14ac:dyDescent="0.25">
      <c r="A131" s="4" t="str">
        <f t="shared" si="2"/>
        <v>DESPESA DE REPRESENTAÇÃO - PASSAGEM SÃO PAULO X BRASÍLIA -BROKER-GUSTAVO D ELBOUX FERRIELLO (AGENDA 41094)</v>
      </c>
      <c r="B131" s="11">
        <v>46082</v>
      </c>
      <c r="C131" s="4">
        <v>817991</v>
      </c>
      <c r="D131" s="16" t="s">
        <v>615</v>
      </c>
      <c r="E131" s="14">
        <v>-894</v>
      </c>
      <c r="F131" s="2" t="s">
        <v>765</v>
      </c>
      <c r="G131" s="2">
        <v>46111</v>
      </c>
      <c r="H131" s="9">
        <v>1170</v>
      </c>
      <c r="I131" s="4"/>
      <c r="J131" s="4" t="s">
        <v>812</v>
      </c>
      <c r="K131" s="7" t="s">
        <v>960</v>
      </c>
      <c r="L131" s="4" t="s">
        <v>615</v>
      </c>
      <c r="M131" s="9" t="s">
        <v>2</v>
      </c>
      <c r="N131" s="4" t="str">
        <f>VLOOKUP(H131,Clientes!B:D,3,)</f>
        <v>BGC LIQUIDEZ DTVM LTDA</v>
      </c>
    </row>
    <row r="132" spans="1:14" x14ac:dyDescent="0.25">
      <c r="A132" s="4" t="str">
        <f t="shared" si="2"/>
        <v>DESPESA DE REPRESENTAÇÃO - PASSAGEM SÃO PAULO X BRASÍLIA -BROKER-ENRICO BORTPLUZO CASSIANO (AGENDA 41094)</v>
      </c>
      <c r="B132" s="11">
        <v>46082</v>
      </c>
      <c r="C132" s="4">
        <v>817991</v>
      </c>
      <c r="D132" s="16" t="s">
        <v>647</v>
      </c>
      <c r="E132" s="14">
        <v>-1091.1099999999999</v>
      </c>
      <c r="F132" s="2" t="s">
        <v>765</v>
      </c>
      <c r="G132" s="2">
        <v>46111</v>
      </c>
      <c r="H132" s="9">
        <v>1170</v>
      </c>
      <c r="I132" s="4"/>
      <c r="J132" s="4" t="s">
        <v>812</v>
      </c>
      <c r="K132" s="7" t="s">
        <v>960</v>
      </c>
      <c r="L132" s="4" t="s">
        <v>647</v>
      </c>
      <c r="M132" s="9" t="s">
        <v>2</v>
      </c>
      <c r="N132" s="4" t="str">
        <f>VLOOKUP(H132,Clientes!B:D,3,)</f>
        <v>BGC LIQUIDEZ DTVM LTDA</v>
      </c>
    </row>
    <row r="133" spans="1:14" x14ac:dyDescent="0.25">
      <c r="A133" s="4" t="str">
        <f t="shared" si="2"/>
        <v>DESPESA DE REPRESENTAÇÃO - ALMOÇO-TRADER-GUILHERME HARARI MONACO (085427-3688PI)</v>
      </c>
      <c r="B133" s="11">
        <v>46082</v>
      </c>
      <c r="C133" s="4">
        <v>817991</v>
      </c>
      <c r="D133" s="16" t="s">
        <v>772</v>
      </c>
      <c r="E133" s="14">
        <v>-1148</v>
      </c>
      <c r="F133" s="2" t="s">
        <v>447</v>
      </c>
      <c r="G133" s="2">
        <v>46107</v>
      </c>
      <c r="H133" s="9">
        <v>82706</v>
      </c>
      <c r="I133" s="4"/>
      <c r="J133" s="4" t="s">
        <v>447</v>
      </c>
      <c r="K133" s="7" t="s">
        <v>961</v>
      </c>
      <c r="L133" s="4" t="s">
        <v>962</v>
      </c>
      <c r="M133" s="9" t="s">
        <v>335</v>
      </c>
      <c r="N133" s="4" t="str">
        <f>VLOOKUP(H133,Clientes!B:D,3,)</f>
        <v>BANCO XP S/A</v>
      </c>
    </row>
    <row r="134" spans="1:14" x14ac:dyDescent="0.25">
      <c r="A134" s="4" t="str">
        <f t="shared" si="2"/>
        <v>DESPESA DE REPRESENTAÇÃO - ALMOÇO-TRADER-ANDERSON SILVA SOUZA (085054-3688PI)</v>
      </c>
      <c r="B134" s="11">
        <v>46082</v>
      </c>
      <c r="C134" s="4">
        <v>817991</v>
      </c>
      <c r="D134" s="16" t="s">
        <v>772</v>
      </c>
      <c r="E134" s="14">
        <v>-1899</v>
      </c>
      <c r="F134" s="2" t="s">
        <v>447</v>
      </c>
      <c r="G134" s="2">
        <v>46107</v>
      </c>
      <c r="H134" s="9">
        <v>14479</v>
      </c>
      <c r="I134" s="4"/>
      <c r="J134" s="4" t="s">
        <v>447</v>
      </c>
      <c r="K134" s="7" t="s">
        <v>963</v>
      </c>
      <c r="L134" s="4" t="s">
        <v>358</v>
      </c>
      <c r="M134" s="9" t="s">
        <v>335</v>
      </c>
      <c r="N134" s="4" t="str">
        <f>VLOOKUP(H134,Clientes!B:D,3,)</f>
        <v>BANCO SANTANDER (BRASIL) S/A</v>
      </c>
    </row>
    <row r="135" spans="1:14" x14ac:dyDescent="0.25">
      <c r="A135" s="4" t="str">
        <f t="shared" si="2"/>
        <v>DESPESA DE REPRESENTAÇÃO - ALMOÇO-TRADER-ALEXANDRE AUGUSTO NEVES (084044-3688PI)</v>
      </c>
      <c r="B135" s="11">
        <v>46082</v>
      </c>
      <c r="C135" s="4">
        <v>817991</v>
      </c>
      <c r="D135" s="16" t="s">
        <v>772</v>
      </c>
      <c r="E135" s="14">
        <v>-3522</v>
      </c>
      <c r="F135" s="2" t="s">
        <v>447</v>
      </c>
      <c r="G135" s="2">
        <v>46107</v>
      </c>
      <c r="H135" s="9">
        <v>123839</v>
      </c>
      <c r="I135" s="4"/>
      <c r="J135" s="4" t="s">
        <v>447</v>
      </c>
      <c r="K135" s="7" t="s">
        <v>964</v>
      </c>
      <c r="L135" s="4" t="s">
        <v>965</v>
      </c>
      <c r="M135" s="9" t="s">
        <v>335</v>
      </c>
      <c r="N135" s="4" t="str">
        <f>VLOOKUP(H135,Clientes!B:D,3,)</f>
        <v>BANCO BNP PARIBAS BRASIL S/A</v>
      </c>
    </row>
    <row r="136" spans="1:14" x14ac:dyDescent="0.25">
      <c r="A136" s="4" t="str">
        <f t="shared" si="2"/>
        <v>DESPESA DE REPRESENTAÇÃO - ALMOÇO-TRADER-TASSIO TANKA  (175128-3688FB)</v>
      </c>
      <c r="B136" s="11">
        <v>46082</v>
      </c>
      <c r="C136" s="4">
        <v>817991</v>
      </c>
      <c r="D136" s="16" t="s">
        <v>477</v>
      </c>
      <c r="E136" s="14">
        <v>-696.08</v>
      </c>
      <c r="F136" s="2" t="s">
        <v>447</v>
      </c>
      <c r="G136" s="2">
        <v>46107</v>
      </c>
      <c r="H136" s="9">
        <v>79460</v>
      </c>
      <c r="I136" s="4"/>
      <c r="J136" s="4" t="s">
        <v>447</v>
      </c>
      <c r="K136" s="7" t="s">
        <v>966</v>
      </c>
      <c r="L136" s="4" t="s">
        <v>967</v>
      </c>
      <c r="M136" s="9" t="s">
        <v>335</v>
      </c>
      <c r="N136" s="4" t="str">
        <f>VLOOKUP(H136,Clientes!B:D,3,)</f>
        <v>ITAU UNIBANCO S/A</v>
      </c>
    </row>
    <row r="137" spans="1:14" x14ac:dyDescent="0.25">
      <c r="A137" s="4" t="str">
        <f t="shared" si="2"/>
        <v>DESPESA DE REPRESENTAÇÃO - INGRESSOS PARA O SHOW AC/DC -TRADER-DANIEL MOTTA CAMARGO SILVA (AGENDA 40639)</v>
      </c>
      <c r="B137" s="11">
        <v>46082</v>
      </c>
      <c r="C137" s="4">
        <v>817991</v>
      </c>
      <c r="D137" s="16" t="s">
        <v>516</v>
      </c>
      <c r="E137" s="14">
        <v>-1641.74</v>
      </c>
      <c r="F137" s="2" t="s">
        <v>766</v>
      </c>
      <c r="G137" s="2">
        <v>46084</v>
      </c>
      <c r="H137" s="9">
        <v>15501</v>
      </c>
      <c r="I137" s="4"/>
      <c r="J137" s="4" t="s">
        <v>994</v>
      </c>
      <c r="K137" s="7" t="s">
        <v>1031</v>
      </c>
      <c r="L137" s="4" t="s">
        <v>299</v>
      </c>
      <c r="M137" s="9" t="s">
        <v>335</v>
      </c>
      <c r="N137" s="4" t="str">
        <f>VLOOKUP(H137,Clientes!B:D,3,)</f>
        <v>BANCO BTG PACTUAL S/A</v>
      </c>
    </row>
    <row r="138" spans="1:14" x14ac:dyDescent="0.25">
      <c r="A138" s="4" t="str">
        <f t="shared" si="2"/>
        <v>DESPESA DE REPRESENTAÇÃO - INGRESSOS PARA O SHOW AC/DC -BROKER-DANIEL TEIXEIRA SIQUEIRA GONÇALVES (AGENDA 40639)</v>
      </c>
      <c r="B138" s="11">
        <v>46082</v>
      </c>
      <c r="C138" s="4">
        <v>817991</v>
      </c>
      <c r="D138" s="16" t="s">
        <v>516</v>
      </c>
      <c r="E138" s="14">
        <v>-1641.74</v>
      </c>
      <c r="F138" s="2" t="s">
        <v>766</v>
      </c>
      <c r="G138" s="2">
        <v>46084</v>
      </c>
      <c r="H138" s="9">
        <v>1170</v>
      </c>
      <c r="I138" s="4"/>
      <c r="J138" s="4" t="s">
        <v>994</v>
      </c>
      <c r="K138" s="7" t="s">
        <v>1031</v>
      </c>
      <c r="L138" s="4" t="s">
        <v>516</v>
      </c>
      <c r="M138" s="9" t="s">
        <v>2</v>
      </c>
      <c r="N138" s="4" t="str">
        <f>VLOOKUP(H138,Clientes!B:D,3,)</f>
        <v>BGC LIQUIDEZ DTVM LTDA</v>
      </c>
    </row>
    <row r="139" spans="1:14" x14ac:dyDescent="0.25">
      <c r="A139" s="4" t="str">
        <f t="shared" si="2"/>
        <v>DESPESA DE REPRESENTAÇÃO - INGRESSOS PARA O SHOW AC/DC -TRADER-DANILO MACARI (AGENDA 40639)</v>
      </c>
      <c r="B139" s="11">
        <v>46082</v>
      </c>
      <c r="C139" s="4">
        <v>817991</v>
      </c>
      <c r="D139" s="16" t="s">
        <v>516</v>
      </c>
      <c r="E139" s="14">
        <v>-1641.74</v>
      </c>
      <c r="F139" s="2" t="s">
        <v>766</v>
      </c>
      <c r="G139" s="2">
        <v>46084</v>
      </c>
      <c r="H139" s="9">
        <v>82010</v>
      </c>
      <c r="I139" s="4"/>
      <c r="J139" s="4" t="s">
        <v>994</v>
      </c>
      <c r="K139" s="7" t="s">
        <v>1031</v>
      </c>
      <c r="L139" s="4" t="s">
        <v>1032</v>
      </c>
      <c r="M139" s="9" t="s">
        <v>335</v>
      </c>
      <c r="N139" s="4" t="str">
        <f>VLOOKUP(H139,Clientes!B:D,3,)</f>
        <v>ITAU UNIBANCO ASSET - JANEIRO</v>
      </c>
    </row>
    <row r="140" spans="1:14" x14ac:dyDescent="0.25">
      <c r="A140" s="4" t="str">
        <f t="shared" si="2"/>
        <v>DESPESA DE REPRESENTAÇÃO - INGRESSOS PARA O SHOW AC/DC -TRADER-BRUNO BUDANT PEROTTONI (AGENDA 40639)</v>
      </c>
      <c r="B140" s="11">
        <v>46082</v>
      </c>
      <c r="C140" s="4">
        <v>817991</v>
      </c>
      <c r="D140" s="16" t="s">
        <v>459</v>
      </c>
      <c r="E140" s="14">
        <v>-1641.74</v>
      </c>
      <c r="F140" s="2" t="s">
        <v>766</v>
      </c>
      <c r="G140" s="2">
        <v>46084</v>
      </c>
      <c r="H140" s="9">
        <v>81794</v>
      </c>
      <c r="I140" s="4"/>
      <c r="J140" s="4" t="s">
        <v>994</v>
      </c>
      <c r="K140" s="7" t="s">
        <v>1031</v>
      </c>
      <c r="L140" s="4" t="s">
        <v>535</v>
      </c>
      <c r="M140" s="9" t="s">
        <v>335</v>
      </c>
      <c r="N140" s="4" t="str">
        <f>VLOOKUP(H140,Clientes!B:D,3,)</f>
        <v>BRAZA BANK S/A BANCO DE CAMBIO</v>
      </c>
    </row>
    <row r="141" spans="1:14" x14ac:dyDescent="0.25">
      <c r="A141" s="4" t="str">
        <f t="shared" si="2"/>
        <v>DESPESA DE REPRESENTAÇÃO - INGRESSOS PARA O SHOW AC/DC -TRADER-VINICIUS MARTIGNON DA SILVA (AGENDA 40639)</v>
      </c>
      <c r="B141" s="11">
        <v>46082</v>
      </c>
      <c r="C141" s="4">
        <v>817991</v>
      </c>
      <c r="D141" s="16" t="s">
        <v>626</v>
      </c>
      <c r="E141" s="14">
        <v>-1641.74</v>
      </c>
      <c r="F141" s="2" t="s">
        <v>766</v>
      </c>
      <c r="G141" s="2">
        <v>46084</v>
      </c>
      <c r="H141" s="9">
        <v>82467</v>
      </c>
      <c r="I141" s="4"/>
      <c r="J141" s="4" t="s">
        <v>994</v>
      </c>
      <c r="K141" s="7" t="s">
        <v>1031</v>
      </c>
      <c r="L141" s="4" t="s">
        <v>1033</v>
      </c>
      <c r="M141" s="9" t="s">
        <v>335</v>
      </c>
      <c r="N141" s="4" t="str">
        <f>VLOOKUP(H141,Clientes!B:D,3,)</f>
        <v>BRAM - BRADESCO ASSET MANAGEMENT S/A DTVM</v>
      </c>
    </row>
    <row r="142" spans="1:14" x14ac:dyDescent="0.25">
      <c r="A142" s="4" t="str">
        <f t="shared" si="2"/>
        <v>DESPESA DE REPRESENTAÇÃO - INGRESSOS PARA O SHOW AC/DC -TRADER-VICTORIA DE CASTRO MONTEIRO (AGENDA 40639)</v>
      </c>
      <c r="B142" s="11">
        <v>46082</v>
      </c>
      <c r="C142" s="4">
        <v>817991</v>
      </c>
      <c r="D142" s="16" t="s">
        <v>626</v>
      </c>
      <c r="E142" s="14">
        <v>-1641.74</v>
      </c>
      <c r="F142" s="2" t="s">
        <v>766</v>
      </c>
      <c r="G142" s="2">
        <v>46084</v>
      </c>
      <c r="H142" s="9">
        <v>82467</v>
      </c>
      <c r="I142" s="4"/>
      <c r="J142" s="4" t="s">
        <v>994</v>
      </c>
      <c r="K142" s="7" t="s">
        <v>1031</v>
      </c>
      <c r="L142" s="4" t="s">
        <v>1034</v>
      </c>
      <c r="M142" s="9" t="s">
        <v>335</v>
      </c>
      <c r="N142" s="4" t="str">
        <f>VLOOKUP(H142,Clientes!B:D,3,)</f>
        <v>BRAM - BRADESCO ASSET MANAGEMENT S/A DTVM</v>
      </c>
    </row>
    <row r="143" spans="1:14" x14ac:dyDescent="0.25">
      <c r="A143" s="4" t="str">
        <f t="shared" si="2"/>
        <v>DESPESA DE REPRESENTAÇÃO - INGRESSOS PARA O SHOW AC/DC -TRADER-LUCAS MAGDALENA GRAÇA FATORI (AGENDA 40639)</v>
      </c>
      <c r="B143" s="11">
        <v>46082</v>
      </c>
      <c r="C143" s="4">
        <v>817991</v>
      </c>
      <c r="D143" s="16" t="s">
        <v>626</v>
      </c>
      <c r="E143" s="14">
        <v>-1641.74</v>
      </c>
      <c r="F143" s="2" t="s">
        <v>766</v>
      </c>
      <c r="G143" s="2">
        <v>46084</v>
      </c>
      <c r="H143" s="9">
        <v>82467</v>
      </c>
      <c r="I143" s="4"/>
      <c r="J143" s="4" t="s">
        <v>994</v>
      </c>
      <c r="K143" s="7" t="s">
        <v>1031</v>
      </c>
      <c r="L143" s="4" t="s">
        <v>1035</v>
      </c>
      <c r="M143" s="9" t="s">
        <v>335</v>
      </c>
      <c r="N143" s="4" t="str">
        <f>VLOOKUP(H143,Clientes!B:D,3,)</f>
        <v>BRAM - BRADESCO ASSET MANAGEMENT S/A DTVM</v>
      </c>
    </row>
    <row r="144" spans="1:14" x14ac:dyDescent="0.25">
      <c r="A144" s="4" t="str">
        <f t="shared" si="2"/>
        <v>DESPESA DE REPRESENTAÇÃO - INGRESSOS PARA O SHOW AC/DC -TRADER-MARINA TELES FATORI (AGENDA 40639)</v>
      </c>
      <c r="B144" s="11">
        <v>46082</v>
      </c>
      <c r="C144" s="4">
        <v>817991</v>
      </c>
      <c r="D144" s="16" t="s">
        <v>626</v>
      </c>
      <c r="E144" s="14">
        <v>-1641.74</v>
      </c>
      <c r="F144" s="2" t="s">
        <v>766</v>
      </c>
      <c r="G144" s="2">
        <v>46084</v>
      </c>
      <c r="H144" s="9">
        <v>82467</v>
      </c>
      <c r="I144" s="4"/>
      <c r="J144" s="4" t="s">
        <v>994</v>
      </c>
      <c r="K144" s="7" t="s">
        <v>1031</v>
      </c>
      <c r="L144" s="4" t="s">
        <v>1036</v>
      </c>
      <c r="M144" s="9" t="s">
        <v>335</v>
      </c>
      <c r="N144" s="4" t="str">
        <f>VLOOKUP(H144,Clientes!B:D,3,)</f>
        <v>BRAM - BRADESCO ASSET MANAGEMENT S/A DTVM</v>
      </c>
    </row>
    <row r="145" spans="1:14" x14ac:dyDescent="0.25">
      <c r="A145" s="4" t="str">
        <f t="shared" si="2"/>
        <v>DESPESA DE REPRESENTAÇÃO - INGRESSOS PARA O SHOW AC/DC -TRADER-JOSÉ VERGARA (AGENDA 40639)</v>
      </c>
      <c r="B145" s="11">
        <v>46082</v>
      </c>
      <c r="C145" s="4">
        <v>817991</v>
      </c>
      <c r="D145" s="16" t="s">
        <v>459</v>
      </c>
      <c r="E145" s="14">
        <v>-1641.74</v>
      </c>
      <c r="F145" s="2" t="s">
        <v>766</v>
      </c>
      <c r="G145" s="2">
        <v>46084</v>
      </c>
      <c r="H145" s="9">
        <v>1170</v>
      </c>
      <c r="I145" s="4"/>
      <c r="J145" s="4" t="s">
        <v>994</v>
      </c>
      <c r="K145" s="7" t="s">
        <v>1031</v>
      </c>
      <c r="L145" s="4" t="s">
        <v>459</v>
      </c>
      <c r="M145" s="9" t="s">
        <v>335</v>
      </c>
      <c r="N145" s="4" t="str">
        <f>VLOOKUP(H145,Clientes!B:D,3,)</f>
        <v>BGC LIQUIDEZ DTVM LTDA</v>
      </c>
    </row>
    <row r="146" spans="1:14" x14ac:dyDescent="0.25">
      <c r="A146" s="4" t="str">
        <f t="shared" si="2"/>
        <v>DESPESA DE REPRESENTAÇÃO - TAXI RESISDENCIA X AEROPORTO-CEO-ERMINIO OLIVI LUCCI (AGENDA 40803)</v>
      </c>
      <c r="B146" s="11">
        <v>46082</v>
      </c>
      <c r="C146" s="4">
        <v>817991</v>
      </c>
      <c r="D146" s="16" t="s">
        <v>650</v>
      </c>
      <c r="E146" s="14">
        <v>-350</v>
      </c>
      <c r="F146" s="2" t="s">
        <v>765</v>
      </c>
      <c r="G146" s="2">
        <v>46091</v>
      </c>
      <c r="H146" s="9">
        <v>1170</v>
      </c>
      <c r="I146" s="4"/>
      <c r="J146" s="4" t="s">
        <v>1037</v>
      </c>
      <c r="K146" s="7" t="s">
        <v>1043</v>
      </c>
      <c r="L146" s="4" t="s">
        <v>650</v>
      </c>
      <c r="M146" s="9" t="s">
        <v>490</v>
      </c>
      <c r="N146" s="4" t="str">
        <f>VLOOKUP(H146,Clientes!B:D,3,)</f>
        <v>BGC LIQUIDEZ DTVM LTDA</v>
      </c>
    </row>
    <row r="147" spans="1:14" x14ac:dyDescent="0.25">
      <c r="A147" s="4" t="str">
        <f t="shared" si="2"/>
        <v>DESPESA DE REPRESENTAÇÃO - COMPRA DE DOLARES NO AEROPORTO-CEO-ERMINIO OLIVI LUCCI (AGENDA 40803)</v>
      </c>
      <c r="B147" s="11">
        <v>46082</v>
      </c>
      <c r="C147" s="4">
        <v>817991</v>
      </c>
      <c r="D147" s="16" t="s">
        <v>650</v>
      </c>
      <c r="E147" s="14">
        <v>-1155.06</v>
      </c>
      <c r="F147" s="2" t="s">
        <v>389</v>
      </c>
      <c r="G147" s="2">
        <v>46091</v>
      </c>
      <c r="H147" s="9">
        <v>1170</v>
      </c>
      <c r="I147" s="4"/>
      <c r="J147" s="4" t="s">
        <v>1038</v>
      </c>
      <c r="K147" s="7" t="s">
        <v>1043</v>
      </c>
      <c r="L147" s="4" t="s">
        <v>650</v>
      </c>
      <c r="M147" s="9" t="s">
        <v>490</v>
      </c>
      <c r="N147" s="4" t="str">
        <f>VLOOKUP(H147,Clientes!B:D,3,)</f>
        <v>BGC LIQUIDEZ DTVM LTDA</v>
      </c>
    </row>
    <row r="148" spans="1:14" x14ac:dyDescent="0.25">
      <c r="A148" s="4" t="str">
        <f t="shared" si="2"/>
        <v>DESPESA DE REPRESENTAÇÃO - TAXI AEROPORTO X BGC-CEO-ERMINIO OLIVI LUCCI (AGENDA 40803)</v>
      </c>
      <c r="B148" s="11">
        <v>46082</v>
      </c>
      <c r="C148" s="4">
        <v>817991</v>
      </c>
      <c r="D148" s="16" t="s">
        <v>650</v>
      </c>
      <c r="E148" s="14">
        <v>-350</v>
      </c>
      <c r="F148" s="2" t="s">
        <v>765</v>
      </c>
      <c r="G148" s="2">
        <v>46091</v>
      </c>
      <c r="H148" s="9">
        <v>1170</v>
      </c>
      <c r="I148" s="4"/>
      <c r="J148" s="4" t="s">
        <v>1039</v>
      </c>
      <c r="K148" s="7" t="s">
        <v>1043</v>
      </c>
      <c r="L148" s="4" t="s">
        <v>650</v>
      </c>
      <c r="M148" s="9" t="s">
        <v>490</v>
      </c>
      <c r="N148" s="4" t="str">
        <f>VLOOKUP(H148,Clientes!B:D,3,)</f>
        <v>BGC LIQUIDEZ DTVM LTDA</v>
      </c>
    </row>
    <row r="149" spans="1:14" x14ac:dyDescent="0.25">
      <c r="A149" s="4" t="str">
        <f t="shared" si="2"/>
        <v>DESPESA DE REPRESENTAÇÃO - TRANSPORTE EXECUTIVO MENSAL DE FEVEREIRO-CEO-ERMINIO OLIVI LUCCI (AGENDA 40803)</v>
      </c>
      <c r="B149" s="11">
        <v>46082</v>
      </c>
      <c r="C149" s="4">
        <v>817991</v>
      </c>
      <c r="D149" s="16" t="s">
        <v>650</v>
      </c>
      <c r="E149" s="14">
        <v>-2660</v>
      </c>
      <c r="F149" s="2" t="s">
        <v>765</v>
      </c>
      <c r="G149" s="2">
        <v>46091</v>
      </c>
      <c r="H149" s="9">
        <v>1170</v>
      </c>
      <c r="I149" s="4"/>
      <c r="J149" s="4" t="s">
        <v>1040</v>
      </c>
      <c r="K149" s="7" t="s">
        <v>1043</v>
      </c>
      <c r="L149" s="4" t="s">
        <v>650</v>
      </c>
      <c r="M149" s="9" t="s">
        <v>490</v>
      </c>
      <c r="N149" s="4" t="str">
        <f>VLOOKUP(H149,Clientes!B:D,3,)</f>
        <v>BGC LIQUIDEZ DTVM LTDA</v>
      </c>
    </row>
    <row r="150" spans="1:14" x14ac:dyDescent="0.25">
      <c r="A150" s="4" t="str">
        <f t="shared" si="2"/>
        <v>DESPESA DE REPRESENTAÇÃO - ALMOÇO COM MATHEUS NASCIF-CEO-ERMINIO OLIVI LUCCI (AGENDA 40803)</v>
      </c>
      <c r="B150" s="11">
        <v>46082</v>
      </c>
      <c r="C150" s="4">
        <v>817991</v>
      </c>
      <c r="D150" s="16" t="s">
        <v>650</v>
      </c>
      <c r="E150" s="14">
        <v>-369.51</v>
      </c>
      <c r="F150" s="2" t="s">
        <v>447</v>
      </c>
      <c r="G150" s="2">
        <v>46091</v>
      </c>
      <c r="H150" s="9">
        <v>1170</v>
      </c>
      <c r="I150" s="4"/>
      <c r="J150" s="4" t="s">
        <v>1041</v>
      </c>
      <c r="K150" s="7" t="s">
        <v>1043</v>
      </c>
      <c r="L150" s="4" t="s">
        <v>650</v>
      </c>
      <c r="M150" s="9" t="s">
        <v>490</v>
      </c>
      <c r="N150" s="4" t="str">
        <f>VLOOKUP(H150,Clientes!B:D,3,)</f>
        <v>BGC LIQUIDEZ DTVM LTDA</v>
      </c>
    </row>
    <row r="151" spans="1:14" x14ac:dyDescent="0.25">
      <c r="A151" s="4" t="str">
        <f t="shared" si="2"/>
        <v>DESPESA DE REPRESENTAÇÃO - CAFE COM A MESA DO SPOT-CEO-ERMINIO OLIVI LUCCI (AGENDA 40803)</v>
      </c>
      <c r="B151" s="11">
        <v>46082</v>
      </c>
      <c r="C151" s="4">
        <v>817991</v>
      </c>
      <c r="D151" s="16" t="s">
        <v>650</v>
      </c>
      <c r="E151" s="14">
        <v>-251.99</v>
      </c>
      <c r="F151" s="2" t="s">
        <v>771</v>
      </c>
      <c r="G151" s="2">
        <v>46091</v>
      </c>
      <c r="H151" s="9">
        <v>1170</v>
      </c>
      <c r="I151" s="4"/>
      <c r="J151" s="4" t="s">
        <v>1042</v>
      </c>
      <c r="K151" s="7" t="s">
        <v>1043</v>
      </c>
      <c r="L151" s="4" t="s">
        <v>650</v>
      </c>
      <c r="M151" s="9" t="s">
        <v>490</v>
      </c>
      <c r="N151" s="4" t="str">
        <f>VLOOKUP(H151,Clientes!B:D,3,)</f>
        <v>BGC LIQUIDEZ DTVM LTDA</v>
      </c>
    </row>
    <row r="152" spans="1:14" x14ac:dyDescent="0.25">
      <c r="A152" s="4" t="str">
        <f t="shared" ref="A152:A157" si="3">CONCATENATE($J$1,J152,$I$3,M152,$I$3,L152,$I$1,K152,$I$2)</f>
        <v>DESPESA DE REPRESENTAÇÃO - DEVOLUÇÃO CARTÃO CORPORATIVO -CEO-ERMINIO OLIVI LUCCI (AGENDA 40803)</v>
      </c>
      <c r="B152" s="11">
        <v>46082</v>
      </c>
      <c r="C152" s="4">
        <v>817991</v>
      </c>
      <c r="D152" s="16" t="s">
        <v>650</v>
      </c>
      <c r="E152" s="14">
        <v>653.6</v>
      </c>
      <c r="F152" s="2" t="s">
        <v>765</v>
      </c>
      <c r="G152" s="2">
        <v>46099</v>
      </c>
      <c r="H152" s="9">
        <v>1170</v>
      </c>
      <c r="I152" s="4"/>
      <c r="J152" s="4" t="s">
        <v>1044</v>
      </c>
      <c r="K152" s="7" t="s">
        <v>1043</v>
      </c>
      <c r="L152" s="4" t="s">
        <v>650</v>
      </c>
      <c r="M152" s="9" t="s">
        <v>490</v>
      </c>
      <c r="N152" s="4" t="str">
        <f>VLOOKUP(H152,Clientes!B:D,3,)</f>
        <v>BGC LIQUIDEZ DTVM LTDA</v>
      </c>
    </row>
    <row r="153" spans="1:14" x14ac:dyDescent="0.25">
      <c r="A153" s="4" t="str">
        <f t="shared" si="3"/>
        <v>DESPESA DE REPRESENTAÇÃO - ALMOÇO-TRADER-GUILHERME RANZEIRO FERREIRA DA (090944-3688FC)</v>
      </c>
      <c r="B153" s="11">
        <v>46082</v>
      </c>
      <c r="C153" s="4">
        <v>817991</v>
      </c>
      <c r="D153" s="16" t="s">
        <v>480</v>
      </c>
      <c r="E153" s="14">
        <v>-2534.6999999999998</v>
      </c>
      <c r="F153" s="2" t="s">
        <v>447</v>
      </c>
      <c r="G153" s="2">
        <v>46100</v>
      </c>
      <c r="H153" s="9">
        <v>18857</v>
      </c>
      <c r="I153" s="4"/>
      <c r="J153" s="4" t="s">
        <v>447</v>
      </c>
      <c r="K153" s="7" t="s">
        <v>863</v>
      </c>
      <c r="L153" s="4" t="s">
        <v>1045</v>
      </c>
      <c r="M153" s="9" t="s">
        <v>335</v>
      </c>
      <c r="N153" s="4" t="str">
        <f>VLOOKUP(H153,Clientes!B:D,3,)</f>
        <v>BANCO DO BRASIL S/A</v>
      </c>
    </row>
    <row r="154" spans="1:14" x14ac:dyDescent="0.25">
      <c r="A154" s="4" t="str">
        <f t="shared" si="3"/>
        <v>DESPESA DE REPRESENTAÇÃO - JANTAR-TRADER-ENRICO VENDRAME (144959-3688CB)</v>
      </c>
      <c r="B154" s="11">
        <v>46082</v>
      </c>
      <c r="C154" s="4">
        <v>817991</v>
      </c>
      <c r="D154" s="16" t="s">
        <v>132</v>
      </c>
      <c r="E154" s="14">
        <v>-1816.67</v>
      </c>
      <c r="F154" s="2" t="s">
        <v>380</v>
      </c>
      <c r="G154" s="2">
        <v>46107</v>
      </c>
      <c r="H154" s="9">
        <v>81259</v>
      </c>
      <c r="I154" s="4"/>
      <c r="J154" s="4" t="s">
        <v>380</v>
      </c>
      <c r="K154" s="7" t="s">
        <v>1046</v>
      </c>
      <c r="L154" s="4" t="s">
        <v>1047</v>
      </c>
      <c r="M154" s="9" t="s">
        <v>335</v>
      </c>
      <c r="N154" s="4" t="str">
        <f>VLOOKUP(H154,Clientes!B:D,3,)</f>
        <v>GOLDMAN SACHS DO BRASIL BANCO MULTIPLO S/A</v>
      </c>
    </row>
    <row r="155" spans="1:14" x14ac:dyDescent="0.25">
      <c r="A155" s="4" t="str">
        <f t="shared" si="3"/>
        <v>DESPESA DE REPRESENTAÇÃO - UBER-ECONOMISTA-FELIPE DE SA TAVARES (E-MAIL 09/04/2026)</v>
      </c>
      <c r="B155" s="11">
        <v>46082</v>
      </c>
      <c r="C155" s="4">
        <v>817991</v>
      </c>
      <c r="D155" s="16" t="s">
        <v>768</v>
      </c>
      <c r="E155" s="14">
        <v>-33.99</v>
      </c>
      <c r="F155" s="2" t="s">
        <v>765</v>
      </c>
      <c r="G155" s="2">
        <v>46106</v>
      </c>
      <c r="H155" s="9">
        <v>1170</v>
      </c>
      <c r="I155" s="4"/>
      <c r="J155" s="4" t="s">
        <v>659</v>
      </c>
      <c r="K155" s="7" t="s">
        <v>1048</v>
      </c>
      <c r="L155" s="4" t="s">
        <v>768</v>
      </c>
      <c r="M155" s="9" t="s">
        <v>551</v>
      </c>
      <c r="N155" s="4" t="str">
        <f>VLOOKUP(H155,Clientes!B:D,3,)</f>
        <v>BGC LIQUIDEZ DTVM LTDA</v>
      </c>
    </row>
    <row r="156" spans="1:14" x14ac:dyDescent="0.25">
      <c r="A156" s="4" t="str">
        <f t="shared" si="3"/>
        <v>DESPESA DE REPRESENTAÇÃO - UBER-SALES-MARCELLE DA SILVEIRA GIL CADILHE (E-MAIL 09/04/2026)</v>
      </c>
      <c r="B156" s="11">
        <v>46082</v>
      </c>
      <c r="C156" s="4">
        <v>817991</v>
      </c>
      <c r="D156" s="16" t="s">
        <v>428</v>
      </c>
      <c r="E156" s="14">
        <v>-630.47</v>
      </c>
      <c r="F156" s="2" t="s">
        <v>765</v>
      </c>
      <c r="G156" s="2">
        <v>46105</v>
      </c>
      <c r="H156" s="9">
        <v>1170</v>
      </c>
      <c r="I156" s="4"/>
      <c r="J156" s="4" t="s">
        <v>659</v>
      </c>
      <c r="K156" s="7" t="s">
        <v>1048</v>
      </c>
      <c r="L156" s="4" t="s">
        <v>658</v>
      </c>
      <c r="M156" s="9" t="s">
        <v>468</v>
      </c>
      <c r="N156" s="4" t="str">
        <f>VLOOKUP(H156,Clientes!B:D,3,)</f>
        <v>BGC LIQUIDEZ DTVM LTDA</v>
      </c>
    </row>
    <row r="157" spans="1:14" x14ac:dyDescent="0.25">
      <c r="A157" s="4" t="str">
        <f t="shared" si="3"/>
        <v>DESPESA DE REPRESENTAÇÃO - UBER-SALES-MELISSA LEITE FIGUEIREDO ROCHA (E-MAIL 09/04/2026)</v>
      </c>
      <c r="B157" s="11">
        <v>46082</v>
      </c>
      <c r="C157" s="4">
        <v>817991</v>
      </c>
      <c r="D157" s="16" t="s">
        <v>428</v>
      </c>
      <c r="E157" s="14">
        <v>-129.16</v>
      </c>
      <c r="F157" s="2" t="s">
        <v>765</v>
      </c>
      <c r="G157" s="2">
        <v>46097</v>
      </c>
      <c r="H157" s="9">
        <v>1170</v>
      </c>
      <c r="I157" s="4"/>
      <c r="J157" s="4" t="s">
        <v>659</v>
      </c>
      <c r="K157" s="7" t="s">
        <v>1048</v>
      </c>
      <c r="L157" s="4" t="s">
        <v>663</v>
      </c>
      <c r="M157" s="9" t="s">
        <v>468</v>
      </c>
      <c r="N157" s="4" t="str">
        <f>VLOOKUP(H157,Clientes!B:D,3,)</f>
        <v>BGC LIQUIDEZ DTVM LTDA</v>
      </c>
    </row>
    <row r="158" spans="1:14" x14ac:dyDescent="0.25">
      <c r="A158" s="4" t="str">
        <f t="shared" ref="A158:A167" si="4">CONCATENATE($J$1,J158,$I$3,M158,$I$3,L158,$I$1,K158,$I$2)</f>
        <v>DESPESA DE REPRESENTAÇÃO - CAFÉ DA MANHÃ COM EDUARDO LEITE NO LOUP PARA 16 PESSOAS-SALES-JOSE ANTONIO DEZENE JUNIOR (AGENDA 40767)</v>
      </c>
      <c r="B158" s="11">
        <v>46082</v>
      </c>
      <c r="C158" s="4">
        <v>817991</v>
      </c>
      <c r="D158" s="16" t="s">
        <v>428</v>
      </c>
      <c r="E158" s="14">
        <v>-1017</v>
      </c>
      <c r="F158" s="2" t="s">
        <v>771</v>
      </c>
      <c r="G158" s="2">
        <v>46086</v>
      </c>
      <c r="H158" s="9">
        <v>1170</v>
      </c>
      <c r="I158" s="4"/>
      <c r="J158" s="4" t="s">
        <v>1322</v>
      </c>
      <c r="K158" s="7" t="s">
        <v>1323</v>
      </c>
      <c r="L158" s="4" t="s">
        <v>428</v>
      </c>
      <c r="M158" s="9" t="s">
        <v>468</v>
      </c>
      <c r="N158" s="4" t="str">
        <f>VLOOKUP(H158,Clientes!B:D,3,)</f>
        <v>BGC LIQUIDEZ DTVM LTDA</v>
      </c>
    </row>
    <row r="159" spans="1:14" s="32" customFormat="1" x14ac:dyDescent="0.25">
      <c r="A159" s="24" t="str">
        <f t="shared" si="4"/>
        <v>DESPESA DE REPRESENTAÇÃO - EVENTO KAITAI NO OIZUMI SUSHI-BROKER-RICARDO ANDRE VASCONCELOS RAMOS (AGENDA 40767)</v>
      </c>
      <c r="B159" s="25">
        <v>46082</v>
      </c>
      <c r="C159" s="24">
        <v>817991</v>
      </c>
      <c r="D159" s="34" t="s">
        <v>604</v>
      </c>
      <c r="E159" s="33">
        <v>-25230</v>
      </c>
      <c r="F159" s="29" t="s">
        <v>766</v>
      </c>
      <c r="G159" s="29">
        <v>46094</v>
      </c>
      <c r="H159" s="30">
        <v>1170</v>
      </c>
      <c r="I159" s="24"/>
      <c r="J159" s="24" t="s">
        <v>1245</v>
      </c>
      <c r="K159" s="31" t="s">
        <v>1323</v>
      </c>
      <c r="L159" s="24" t="s">
        <v>604</v>
      </c>
      <c r="M159" s="30" t="s">
        <v>2</v>
      </c>
      <c r="N159" s="4" t="str">
        <f>VLOOKUP(H159,Clientes!B:D,3,)</f>
        <v>BGC LIQUIDEZ DTVM LTDA</v>
      </c>
    </row>
    <row r="160" spans="1:14" x14ac:dyDescent="0.25">
      <c r="A160" s="4" t="str">
        <f t="shared" si="4"/>
        <v>DESPESA DE REPRESENTAÇÃO - CAFÉ DA TARDE COM ROMEU ZEMA NO DIA 17/03 NO LOUP-SALES-JOSE ANTONIO DEZENE JUNIOR (AGENDA 40879)</v>
      </c>
      <c r="B160" s="11">
        <v>46082</v>
      </c>
      <c r="C160" s="4">
        <v>817991</v>
      </c>
      <c r="D160" s="16" t="s">
        <v>428</v>
      </c>
      <c r="E160" s="14">
        <v>-1017</v>
      </c>
      <c r="F160" s="2" t="s">
        <v>1259</v>
      </c>
      <c r="G160" s="2">
        <v>46097</v>
      </c>
      <c r="H160" s="9">
        <v>1170</v>
      </c>
      <c r="I160" s="4"/>
      <c r="J160" s="4" t="s">
        <v>1325</v>
      </c>
      <c r="K160" s="7" t="s">
        <v>1326</v>
      </c>
      <c r="L160" s="4" t="s">
        <v>428</v>
      </c>
      <c r="M160" s="9" t="s">
        <v>468</v>
      </c>
      <c r="N160" s="4" t="str">
        <f>VLOOKUP(H160,Clientes!B:D,3,)</f>
        <v>BGC LIQUIDEZ DTVM LTDA</v>
      </c>
    </row>
    <row r="161" spans="1:14" x14ac:dyDescent="0.25">
      <c r="A161" s="4" t="str">
        <f t="shared" si="4"/>
        <v>DESPESA DE REPRESENTAÇÃO - REEMBOLSO REFERENTE AO SALDO DA COMPRA EM DOLAR-CEO-ERMINIO OLIVI LUCCI (AGENDA 40887)</v>
      </c>
      <c r="B161" s="11">
        <v>46082</v>
      </c>
      <c r="C161" s="4">
        <v>817991</v>
      </c>
      <c r="D161" s="16" t="s">
        <v>650</v>
      </c>
      <c r="E161" s="14">
        <v>441.54</v>
      </c>
      <c r="F161" s="2" t="s">
        <v>389</v>
      </c>
      <c r="G161" s="2">
        <v>46094</v>
      </c>
      <c r="H161" s="9">
        <v>1170</v>
      </c>
      <c r="I161" s="4"/>
      <c r="J161" s="4" t="s">
        <v>1327</v>
      </c>
      <c r="K161" s="7" t="s">
        <v>1328</v>
      </c>
      <c r="L161" s="4" t="s">
        <v>650</v>
      </c>
      <c r="M161" s="9" t="s">
        <v>490</v>
      </c>
      <c r="N161" s="4" t="str">
        <f>VLOOKUP(H161,Clientes!B:D,3,)</f>
        <v>BGC LIQUIDEZ DTVM LTDA</v>
      </c>
    </row>
    <row r="162" spans="1:14" x14ac:dyDescent="0.25">
      <c r="A162" s="4" t="str">
        <f t="shared" si="4"/>
        <v>DESPESA DE REPRESENTAÇÃO - CAFÉ DA TARDE COM ROMEU ZEMA NO DIA 17/03 NO LOUP-SALES-JOSE ANTONIO DEZENE JUNIOR (AGENDA 41022)</v>
      </c>
      <c r="B162" s="11">
        <v>46082</v>
      </c>
      <c r="C162" s="4">
        <v>817991</v>
      </c>
      <c r="D162" s="16" t="s">
        <v>428</v>
      </c>
      <c r="E162" s="14">
        <v>-3051</v>
      </c>
      <c r="F162" s="2" t="s">
        <v>1259</v>
      </c>
      <c r="G162" s="2">
        <v>46105</v>
      </c>
      <c r="H162" s="9">
        <v>1170</v>
      </c>
      <c r="I162" s="4"/>
      <c r="J162" s="4" t="s">
        <v>1325</v>
      </c>
      <c r="K162" s="7" t="s">
        <v>1329</v>
      </c>
      <c r="L162" s="4" t="s">
        <v>428</v>
      </c>
      <c r="M162" s="9" t="s">
        <v>468</v>
      </c>
      <c r="N162" s="4" t="str">
        <f>VLOOKUP(H162,Clientes!B:D,3,)</f>
        <v>BGC LIQUIDEZ DTVM LTDA</v>
      </c>
    </row>
    <row r="163" spans="1:14" x14ac:dyDescent="0.25">
      <c r="A163" s="4" t="str">
        <f t="shared" si="4"/>
        <v>DESPESA DE REPRESENTAÇÃO - JANTAR COM RENAN SANTOS E KIM KATAGUIRI NO DIA 09/04 NO LOUP-SALES-JOSE ANTONIO DEZENE JUNIOR (AGENDA 41113)</v>
      </c>
      <c r="B163" s="11">
        <v>46082</v>
      </c>
      <c r="C163" s="4">
        <v>817991</v>
      </c>
      <c r="D163" s="16" t="s">
        <v>428</v>
      </c>
      <c r="E163" s="14">
        <v>-2147</v>
      </c>
      <c r="F163" s="2" t="s">
        <v>380</v>
      </c>
      <c r="G163" s="2">
        <v>46111</v>
      </c>
      <c r="H163" s="9">
        <v>1170</v>
      </c>
      <c r="J163" s="4" t="s">
        <v>1331</v>
      </c>
      <c r="K163" s="7" t="s">
        <v>1330</v>
      </c>
      <c r="L163" s="4" t="s">
        <v>428</v>
      </c>
      <c r="M163" s="9" t="s">
        <v>468</v>
      </c>
      <c r="N163" s="4" t="str">
        <f>VLOOKUP(H163,Clientes!B:D,3,)</f>
        <v>BGC LIQUIDEZ DTVM LTDA</v>
      </c>
    </row>
    <row r="164" spans="1:14" x14ac:dyDescent="0.25">
      <c r="A164" s="4" t="str">
        <f t="shared" si="4"/>
        <v>DESPESA DE REPRESENTAÇÃO - -- ()</v>
      </c>
      <c r="B164" s="11">
        <v>46082</v>
      </c>
      <c r="C164" s="4">
        <v>817991</v>
      </c>
    </row>
    <row r="165" spans="1:14" x14ac:dyDescent="0.25">
      <c r="A165" s="4" t="str">
        <f t="shared" si="4"/>
        <v>DESPESA DE REPRESENTAÇÃO - -- ()</v>
      </c>
      <c r="B165" s="11">
        <v>46082</v>
      </c>
      <c r="C165" s="4">
        <v>817991</v>
      </c>
    </row>
    <row r="166" spans="1:14" x14ac:dyDescent="0.25">
      <c r="A166" s="4" t="str">
        <f t="shared" si="4"/>
        <v>DESPESA DE REPRESENTAÇÃO - -- ()</v>
      </c>
      <c r="B166" s="11">
        <v>46082</v>
      </c>
      <c r="C166" s="4">
        <v>817991</v>
      </c>
    </row>
    <row r="167" spans="1:14" x14ac:dyDescent="0.25">
      <c r="A167" s="4" t="str">
        <f t="shared" si="4"/>
        <v>DESPESA DE REPRESENTAÇÃO - -- ()</v>
      </c>
      <c r="B167" s="11">
        <v>46082</v>
      </c>
      <c r="C167" s="4">
        <v>817991</v>
      </c>
    </row>
  </sheetData>
  <autoFilter ref="A1:P167" xr:uid="{DE400142-598C-47FA-AC04-BF93BB1AE8F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80DA-B733-4F54-850B-B1907ECFC407}">
  <sheetPr codeName="Sheet1"/>
  <dimension ref="A1:N199"/>
  <sheetViews>
    <sheetView showGridLines="0" workbookViewId="0">
      <selection activeCell="D2" sqref="D2"/>
    </sheetView>
  </sheetViews>
  <sheetFormatPr defaultRowHeight="15" x14ac:dyDescent="0.25"/>
  <cols>
    <col min="1" max="1" width="59.7109375" customWidth="1"/>
    <col min="2" max="2" width="12.5703125" customWidth="1"/>
    <col min="3" max="3" width="11.7109375" customWidth="1"/>
    <col min="4" max="4" width="33.42578125" customWidth="1"/>
    <col min="5" max="5" width="9.85546875" style="20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21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x14ac:dyDescent="0.25">
      <c r="A2" s="4" t="str">
        <f t="shared" ref="A2:A33" si="0">CONCATENATE($J$1,J2,$I$3,M2,$I$3,L2,$I$1,K2,$I$2)</f>
        <v>DESPESA DE REPRESENTAÇÃO - COMPRA DE 5 CAMISAS DO BRASIL PARA CLIENTESBROKERWESLEY MARQUES DA SILVA (133624-3688RU</v>
      </c>
      <c r="B2" s="11">
        <v>46113</v>
      </c>
      <c r="C2" s="4">
        <v>817991</v>
      </c>
      <c r="D2" s="1" t="s">
        <v>1310</v>
      </c>
      <c r="E2" s="14">
        <v>-2203.9299999999998</v>
      </c>
      <c r="F2" s="2" t="s">
        <v>389</v>
      </c>
      <c r="G2" s="2">
        <v>46114</v>
      </c>
      <c r="H2" s="9">
        <v>1170</v>
      </c>
      <c r="I2" s="4"/>
      <c r="J2" s="4" t="s">
        <v>1311</v>
      </c>
      <c r="K2" s="7" t="s">
        <v>1071</v>
      </c>
      <c r="L2" s="9" t="s">
        <v>1310</v>
      </c>
      <c r="M2" s="9" t="s">
        <v>2</v>
      </c>
      <c r="N2" s="4" t="str">
        <f>VLOOKUP(H2,Clientes!B:D,3,)</f>
        <v>BGC LIQUIDEZ DTVM LTDA</v>
      </c>
    </row>
    <row r="3" spans="1:14" x14ac:dyDescent="0.25">
      <c r="A3" s="4" t="str">
        <f t="shared" si="0"/>
        <v>DESPESA DE REPRESENTAÇÃO - PESONALIZAÇÃO CAMISETAS DO BRASILBROKERWESLEY MARQUES DA SILVA (111714-3688PO</v>
      </c>
      <c r="B3" s="11">
        <v>46113</v>
      </c>
      <c r="C3" s="4">
        <v>817991</v>
      </c>
      <c r="D3" s="1" t="s">
        <v>1310</v>
      </c>
      <c r="E3" s="14">
        <v>-622.79999999999995</v>
      </c>
      <c r="F3" s="2" t="s">
        <v>389</v>
      </c>
      <c r="G3" s="2">
        <v>46134</v>
      </c>
      <c r="H3" s="9">
        <v>1170</v>
      </c>
      <c r="I3" s="4"/>
      <c r="J3" s="4" t="s">
        <v>1162</v>
      </c>
      <c r="K3" s="7" t="s">
        <v>1163</v>
      </c>
      <c r="L3" s="9" t="s">
        <v>1310</v>
      </c>
      <c r="M3" s="9" t="s">
        <v>2</v>
      </c>
      <c r="N3" s="4" t="str">
        <f>VLOOKUP(H3,Clientes!B:D,3,)</f>
        <v>BGC LIQUIDEZ DTVM LTDA</v>
      </c>
    </row>
    <row r="4" spans="1:14" x14ac:dyDescent="0.25">
      <c r="A4" s="4" t="str">
        <f t="shared" si="0"/>
        <v>DESPESA DE REPRESENTAÇÃO - ALMOÇOTRADERBRUNO SAVARIS  (120157-3688RP</v>
      </c>
      <c r="B4" s="11">
        <v>46113</v>
      </c>
      <c r="C4" s="4">
        <v>817991</v>
      </c>
      <c r="D4" s="1" t="s">
        <v>482</v>
      </c>
      <c r="E4" s="14">
        <v>-463</v>
      </c>
      <c r="F4" s="2" t="s">
        <v>447</v>
      </c>
      <c r="G4" s="2">
        <v>46114</v>
      </c>
      <c r="H4" s="9">
        <v>83063</v>
      </c>
      <c r="I4" s="4"/>
      <c r="J4" s="4" t="s">
        <v>447</v>
      </c>
      <c r="K4" s="7" t="s">
        <v>1072</v>
      </c>
      <c r="L4" s="9" t="s">
        <v>1073</v>
      </c>
      <c r="M4" s="9" t="s">
        <v>335</v>
      </c>
      <c r="N4" s="4" t="str">
        <f>VLOOKUP(H4,Clientes!B:D,3,)</f>
        <v>SCHONFELD STRATEGIC ADVISORS BRAZIL LTDA.</v>
      </c>
    </row>
    <row r="5" spans="1:14" x14ac:dyDescent="0.25">
      <c r="A5" s="4" t="str">
        <f t="shared" si="0"/>
        <v>DESPESA DE REPRESENTAÇÃO - ALMOÇOTRADERNICOLE BENINNI (144822-3688RP</v>
      </c>
      <c r="B5" s="11">
        <v>46113</v>
      </c>
      <c r="C5" s="4">
        <v>817991</v>
      </c>
      <c r="D5" s="1" t="s">
        <v>482</v>
      </c>
      <c r="E5" s="14">
        <v>-966</v>
      </c>
      <c r="F5" s="2" t="s">
        <v>447</v>
      </c>
      <c r="G5" s="2">
        <v>46121</v>
      </c>
      <c r="H5" s="9">
        <v>83074</v>
      </c>
      <c r="I5" s="4"/>
      <c r="J5" s="4" t="s">
        <v>447</v>
      </c>
      <c r="K5" s="7" t="s">
        <v>1083</v>
      </c>
      <c r="L5" s="9" t="s">
        <v>1084</v>
      </c>
      <c r="M5" s="9" t="s">
        <v>335</v>
      </c>
      <c r="N5" s="4" t="str">
        <f>VLOOKUP(H5,Clientes!B:D,3,)</f>
        <v>UBS BRASIL ADMINISTRADORA DE VALORES MOBILIARIOS LTDA</v>
      </c>
    </row>
    <row r="6" spans="1:14" x14ac:dyDescent="0.25">
      <c r="A6" s="4" t="str">
        <f t="shared" si="0"/>
        <v>DESPESA DE REPRESENTAÇÃO - ALMOÇOTRADERYEONG TAE LEE (101017-3688RF</v>
      </c>
      <c r="B6" s="11">
        <v>46113</v>
      </c>
      <c r="C6" s="4">
        <v>817991</v>
      </c>
      <c r="D6" s="16" t="s">
        <v>31</v>
      </c>
      <c r="E6" s="14">
        <v>-554</v>
      </c>
      <c r="F6" s="2" t="s">
        <v>447</v>
      </c>
      <c r="G6" s="2">
        <v>46114</v>
      </c>
      <c r="H6" s="9">
        <v>43059</v>
      </c>
      <c r="I6" s="4" t="s">
        <v>333</v>
      </c>
      <c r="J6" s="4" t="s">
        <v>447</v>
      </c>
      <c r="K6" s="7" t="s">
        <v>1057</v>
      </c>
      <c r="L6" s="4" t="s">
        <v>1058</v>
      </c>
      <c r="M6" s="9" t="s">
        <v>335</v>
      </c>
      <c r="N6" s="4" t="str">
        <f>VLOOKUP(H6,Clientes!B:D,3,)</f>
        <v>BANCO FIBRA S/A</v>
      </c>
    </row>
    <row r="7" spans="1:14" x14ac:dyDescent="0.25">
      <c r="A7" s="4" t="str">
        <f t="shared" si="0"/>
        <v>DESPESA DE REPRESENTAÇÃO - PASSAGEM SÃO PAULO X BRASÍLIABROKERRICARDO ANDRE VASCONCELOS RAMOS (AGENDA 41173</v>
      </c>
      <c r="B7" s="11">
        <v>46113</v>
      </c>
      <c r="C7" s="4">
        <v>817991</v>
      </c>
      <c r="D7" s="1" t="s">
        <v>604</v>
      </c>
      <c r="E7" s="14">
        <v>-842.53</v>
      </c>
      <c r="F7" s="2" t="s">
        <v>388</v>
      </c>
      <c r="G7" s="2">
        <v>46120</v>
      </c>
      <c r="H7" s="9">
        <v>1170</v>
      </c>
      <c r="I7" s="4"/>
      <c r="J7" s="4" t="s">
        <v>1065</v>
      </c>
      <c r="K7" s="7" t="s">
        <v>1066</v>
      </c>
      <c r="L7" s="9" t="s">
        <v>604</v>
      </c>
      <c r="M7" s="9" t="s">
        <v>2</v>
      </c>
      <c r="N7" s="4" t="str">
        <f>VLOOKUP(H7,Clientes!B:D,3,)</f>
        <v>BGC LIQUIDEZ DTVM LTDA</v>
      </c>
    </row>
    <row r="8" spans="1:14" x14ac:dyDescent="0.25">
      <c r="A8" s="4" t="str">
        <f t="shared" si="0"/>
        <v>DESPESA DE REPRESENTAÇÃO - COMPRA DE 3 CAMISAS DO BRASIL PARA CLIENTESBROKERRICARDO ANDRE VASCONCELOS RAMOS (133624-3688RU</v>
      </c>
      <c r="B8" s="11">
        <v>46113</v>
      </c>
      <c r="C8" s="4">
        <v>817991</v>
      </c>
      <c r="D8" s="1" t="s">
        <v>604</v>
      </c>
      <c r="E8" s="14">
        <v>-1322.36</v>
      </c>
      <c r="F8" s="2" t="s">
        <v>389</v>
      </c>
      <c r="G8" s="2">
        <v>46114</v>
      </c>
      <c r="H8" s="9">
        <v>1170</v>
      </c>
      <c r="I8" s="4"/>
      <c r="J8" s="4" t="s">
        <v>1312</v>
      </c>
      <c r="K8" s="7" t="s">
        <v>1071</v>
      </c>
      <c r="L8" s="9" t="s">
        <v>604</v>
      </c>
      <c r="M8" s="9" t="s">
        <v>2</v>
      </c>
      <c r="N8" s="4" t="str">
        <f>VLOOKUP(H8,Clientes!B:D,3,)</f>
        <v>BGC LIQUIDEZ DTVM LTDA</v>
      </c>
    </row>
    <row r="9" spans="1:14" x14ac:dyDescent="0.25">
      <c r="A9" s="4" t="str">
        <f t="shared" si="0"/>
        <v>DESPESA DE REPRESENTAÇÃO - HAPPY HOURTRADERALEXANDRE AUGUSTO B RODRIGUES (090034-3688RR</v>
      </c>
      <c r="B9" s="11">
        <v>46113</v>
      </c>
      <c r="C9" s="4">
        <v>817991</v>
      </c>
      <c r="D9" s="1" t="s">
        <v>604</v>
      </c>
      <c r="E9" s="14">
        <v>-1700</v>
      </c>
      <c r="F9" s="2" t="s">
        <v>387</v>
      </c>
      <c r="G9" s="2">
        <v>46121</v>
      </c>
      <c r="H9" s="9">
        <v>81565</v>
      </c>
      <c r="I9" s="4"/>
      <c r="J9" s="4" t="s">
        <v>485</v>
      </c>
      <c r="K9" s="7" t="s">
        <v>1098</v>
      </c>
      <c r="L9" s="9" t="s">
        <v>1099</v>
      </c>
      <c r="M9" s="9" t="s">
        <v>335</v>
      </c>
      <c r="N9" s="4" t="str">
        <f>VLOOKUP(H9,Clientes!B:D,3,)</f>
        <v>SPX GESTAO DE RECURSOS LTDA</v>
      </c>
    </row>
    <row r="10" spans="1:14" x14ac:dyDescent="0.25">
      <c r="A10" s="4" t="str">
        <f t="shared" si="0"/>
        <v>DESPESA DE REPRESENTAÇÃO - INGRESSOS PARA O MANIFESTO MUSICAL SÃO PAULOTRADERCARLOS R DE MENEZES JUNIOR (084826-3688RR</v>
      </c>
      <c r="B10" s="11">
        <v>46113</v>
      </c>
      <c r="C10" s="4">
        <v>817991</v>
      </c>
      <c r="D10" s="1" t="s">
        <v>604</v>
      </c>
      <c r="E10" s="14">
        <v>-2340</v>
      </c>
      <c r="F10" s="2" t="s">
        <v>766</v>
      </c>
      <c r="G10" s="2">
        <v>46121</v>
      </c>
      <c r="H10" s="9">
        <v>79258</v>
      </c>
      <c r="I10" s="4"/>
      <c r="J10" s="4" t="s">
        <v>1226</v>
      </c>
      <c r="K10" s="7" t="s">
        <v>1100</v>
      </c>
      <c r="L10" s="9" t="s">
        <v>362</v>
      </c>
      <c r="M10" s="9" t="s">
        <v>335</v>
      </c>
      <c r="N10" s="4" t="str">
        <f>VLOOKUP(H10,Clientes!B:D,3,)</f>
        <v>ITAU UNIBANCO S/A</v>
      </c>
    </row>
    <row r="11" spans="1:14" x14ac:dyDescent="0.25">
      <c r="A11" s="4" t="str">
        <f t="shared" si="0"/>
        <v>DESPESA DE REPRESENTAÇÃO - HAPPY HOURTRADERALESSANDRO EZEQUIEL JUNIOR (085619-3688RR</v>
      </c>
      <c r="B11" s="11">
        <v>46113</v>
      </c>
      <c r="C11" s="4">
        <v>817991</v>
      </c>
      <c r="D11" s="1" t="s">
        <v>604</v>
      </c>
      <c r="E11" s="14">
        <v>-2962.41</v>
      </c>
      <c r="F11" s="2" t="s">
        <v>387</v>
      </c>
      <c r="G11" s="2">
        <v>46121</v>
      </c>
      <c r="H11" s="9">
        <v>14479</v>
      </c>
      <c r="I11" s="4"/>
      <c r="J11" s="4" t="s">
        <v>485</v>
      </c>
      <c r="K11" s="7" t="s">
        <v>1101</v>
      </c>
      <c r="L11" s="9" t="s">
        <v>160</v>
      </c>
      <c r="M11" s="9" t="s">
        <v>335</v>
      </c>
      <c r="N11" s="4" t="str">
        <f>VLOOKUP(H11,Clientes!B:D,3,)</f>
        <v>BANCO SANTANDER (BRASIL) S/A</v>
      </c>
    </row>
    <row r="12" spans="1:14" x14ac:dyDescent="0.25">
      <c r="A12" s="4" t="str">
        <f t="shared" si="0"/>
        <v>DESPESA DE REPRESENTAÇÃO - INGRESSOS SHOW "HISTÓRIAS SÃO PAULO" NO ALLIANZ PARQUETRADERJOAO KHOURI (085411-3688RR</v>
      </c>
      <c r="B12" s="11">
        <v>46113</v>
      </c>
      <c r="C12" s="4">
        <v>817991</v>
      </c>
      <c r="D12" s="1" t="s">
        <v>604</v>
      </c>
      <c r="E12" s="14">
        <v>-2984.96</v>
      </c>
      <c r="F12" s="2" t="s">
        <v>387</v>
      </c>
      <c r="G12" s="2">
        <v>46121</v>
      </c>
      <c r="H12" s="9">
        <v>144548</v>
      </c>
      <c r="I12" s="4"/>
      <c r="J12" s="4" t="s">
        <v>1225</v>
      </c>
      <c r="K12" s="7" t="s">
        <v>1102</v>
      </c>
      <c r="L12" s="9" t="s">
        <v>1103</v>
      </c>
      <c r="M12" s="9" t="s">
        <v>335</v>
      </c>
      <c r="N12" s="4" t="str">
        <f>VLOOKUP(H12,Clientes!B:D,3,)</f>
        <v>ABSOLUTE GESTAO DE INVESTIMENTOS LTDA</v>
      </c>
    </row>
    <row r="13" spans="1:14" x14ac:dyDescent="0.25">
      <c r="A13" s="4" t="str">
        <f t="shared" si="0"/>
        <v>DESPESA DE REPRESENTAÇÃO - ALMOÇOTRADERCARLOS R DE MENEZES JUNIOR (084637-3688RR</v>
      </c>
      <c r="B13" s="11">
        <v>46113</v>
      </c>
      <c r="C13" s="4">
        <v>817991</v>
      </c>
      <c r="D13" s="1" t="s">
        <v>604</v>
      </c>
      <c r="E13" s="14">
        <v>-562.51</v>
      </c>
      <c r="F13" s="2" t="s">
        <v>447</v>
      </c>
      <c r="G13" s="2">
        <v>46121</v>
      </c>
      <c r="H13" s="9">
        <v>79258</v>
      </c>
      <c r="I13" s="4"/>
      <c r="J13" s="4" t="s">
        <v>447</v>
      </c>
      <c r="K13" s="7" t="s">
        <v>1104</v>
      </c>
      <c r="L13" s="9" t="s">
        <v>362</v>
      </c>
      <c r="M13" s="9" t="s">
        <v>335</v>
      </c>
      <c r="N13" s="4" t="str">
        <f>VLOOKUP(H13,Clientes!B:D,3,)</f>
        <v>ITAU UNIBANCO S/A</v>
      </c>
    </row>
    <row r="14" spans="1:14" x14ac:dyDescent="0.25">
      <c r="A14" s="4" t="str">
        <f t="shared" si="0"/>
        <v>DESPESA DE REPRESENTAÇÃO - CAMISAS DO BRASIL PARA CLIENTES TRADERCARLOS R DE MENEZES JUNIOR (104520-3688RR</v>
      </c>
      <c r="B14" s="11">
        <v>46113</v>
      </c>
      <c r="C14" s="4">
        <v>817991</v>
      </c>
      <c r="D14" s="1" t="s">
        <v>604</v>
      </c>
      <c r="E14" s="14">
        <v>-2699.94</v>
      </c>
      <c r="F14" s="2" t="s">
        <v>387</v>
      </c>
      <c r="G14" s="2">
        <v>46121</v>
      </c>
      <c r="H14" s="9">
        <v>79258</v>
      </c>
      <c r="I14" s="4"/>
      <c r="J14" s="4" t="s">
        <v>1105</v>
      </c>
      <c r="K14" s="7" t="s">
        <v>1106</v>
      </c>
      <c r="L14" s="9" t="s">
        <v>362</v>
      </c>
      <c r="M14" s="9" t="s">
        <v>335</v>
      </c>
      <c r="N14" s="4" t="str">
        <f>VLOOKUP(H14,Clientes!B:D,3,)</f>
        <v>ITAU UNIBANCO S/A</v>
      </c>
    </row>
    <row r="15" spans="1:14" x14ac:dyDescent="0.25">
      <c r="A15" s="4" t="str">
        <f t="shared" si="0"/>
        <v>DESPESA DE REPRESENTAÇÃO - ALMOÇOTRADERJOAO KHOURI (145714-3688RR</v>
      </c>
      <c r="B15" s="11">
        <v>46113</v>
      </c>
      <c r="C15" s="4">
        <v>817991</v>
      </c>
      <c r="D15" s="1" t="s">
        <v>604</v>
      </c>
      <c r="E15" s="14">
        <v>-461.37</v>
      </c>
      <c r="F15" s="2" t="s">
        <v>447</v>
      </c>
      <c r="G15" s="2">
        <v>46128</v>
      </c>
      <c r="H15" s="9">
        <v>144548</v>
      </c>
      <c r="I15" s="4"/>
      <c r="J15" s="4" t="s">
        <v>447</v>
      </c>
      <c r="K15" s="7" t="s">
        <v>1113</v>
      </c>
      <c r="L15" s="9" t="s">
        <v>1103</v>
      </c>
      <c r="M15" s="9" t="s">
        <v>335</v>
      </c>
      <c r="N15" s="4" t="str">
        <f>VLOOKUP(H15,Clientes!B:D,3,)</f>
        <v>ABSOLUTE GESTAO DE INVESTIMENTOS LTDA</v>
      </c>
    </row>
    <row r="16" spans="1:14" x14ac:dyDescent="0.25">
      <c r="A16" s="4" t="str">
        <f t="shared" si="0"/>
        <v>DESPESA DE REPRESENTAÇÃO - COBERTURA FOTOGRÁFICA KAITAI NO OIZUMI SUSHIBROKERRICARDO ANDRE VASCONCELOS RAMOS (AGENDA 41493</v>
      </c>
      <c r="B16" s="11">
        <v>46113</v>
      </c>
      <c r="C16" s="4">
        <v>817991</v>
      </c>
      <c r="D16" s="1" t="s">
        <v>604</v>
      </c>
      <c r="E16" s="14">
        <v>-500</v>
      </c>
      <c r="F16" s="2" t="s">
        <v>387</v>
      </c>
      <c r="G16" s="2">
        <v>46129</v>
      </c>
      <c r="H16" s="9">
        <v>1170</v>
      </c>
      <c r="I16" s="4"/>
      <c r="J16" s="4" t="s">
        <v>1324</v>
      </c>
      <c r="K16" s="7" t="s">
        <v>1150</v>
      </c>
      <c r="L16" s="9" t="s">
        <v>604</v>
      </c>
      <c r="M16" s="9" t="s">
        <v>2</v>
      </c>
      <c r="N16" s="4" t="str">
        <f>VLOOKUP(H16,Clientes!B:D,3,)</f>
        <v>BGC LIQUIDEZ DTVM LTDA</v>
      </c>
    </row>
    <row r="17" spans="1:14" x14ac:dyDescent="0.25">
      <c r="A17" s="4" t="str">
        <f t="shared" si="0"/>
        <v>DESPESA DE REPRESENTAÇÃO - PESONALIZAÇÃO CAMISETAS DO BRASILBROKERRICARDO ANDRE VASCONCELOS RAMOS (111714-3688PO</v>
      </c>
      <c r="B17" s="11">
        <v>46113</v>
      </c>
      <c r="C17" s="4">
        <v>817991</v>
      </c>
      <c r="D17" s="1" t="s">
        <v>604</v>
      </c>
      <c r="E17" s="14">
        <v>-622.79999999999995</v>
      </c>
      <c r="F17" s="2" t="s">
        <v>389</v>
      </c>
      <c r="G17" s="2">
        <v>46134</v>
      </c>
      <c r="H17" s="9">
        <v>1170</v>
      </c>
      <c r="I17" s="4"/>
      <c r="J17" s="4" t="s">
        <v>1162</v>
      </c>
      <c r="K17" s="7" t="s">
        <v>1163</v>
      </c>
      <c r="L17" s="9" t="s">
        <v>604</v>
      </c>
      <c r="M17" s="9" t="s">
        <v>2</v>
      </c>
      <c r="N17" s="4" t="str">
        <f>VLOOKUP(H17,Clientes!B:D,3,)</f>
        <v>BGC LIQUIDEZ DTVM LTDA</v>
      </c>
    </row>
    <row r="18" spans="1:14" x14ac:dyDescent="0.25">
      <c r="A18" s="4" t="str">
        <f t="shared" si="0"/>
        <v>DESPESA DE REPRESENTAÇÃO - JANTARTRADERHUGO ALVES (090737-3688RR</v>
      </c>
      <c r="B18" s="11">
        <v>46113</v>
      </c>
      <c r="C18" s="4">
        <v>817991</v>
      </c>
      <c r="D18" s="1" t="s">
        <v>604</v>
      </c>
      <c r="E18" s="14">
        <v>-1054.58</v>
      </c>
      <c r="F18" s="2" t="s">
        <v>380</v>
      </c>
      <c r="G18" s="2">
        <v>46134</v>
      </c>
      <c r="H18" s="9">
        <v>79475</v>
      </c>
      <c r="I18" s="4"/>
      <c r="J18" s="4" t="s">
        <v>380</v>
      </c>
      <c r="K18" s="7" t="s">
        <v>1173</v>
      </c>
      <c r="L18" s="9" t="s">
        <v>1174</v>
      </c>
      <c r="M18" s="9" t="s">
        <v>335</v>
      </c>
      <c r="N18" s="4" t="str">
        <f>VLOOKUP(H18,Clientes!B:D,3,)</f>
        <v>CAIXA ECONOMICA FEDERAL</v>
      </c>
    </row>
    <row r="19" spans="1:14" x14ac:dyDescent="0.25">
      <c r="A19" s="4" t="str">
        <f t="shared" si="0"/>
        <v>DESPESA DE REPRESENTAÇÃO - ALMOÇO FUNDAÇÃO BANCO CENTRALTRADERDIEGO ALVES (091053-3688RR</v>
      </c>
      <c r="B19" s="11">
        <v>46113</v>
      </c>
      <c r="C19" s="4">
        <v>817991</v>
      </c>
      <c r="D19" s="1" t="s">
        <v>604</v>
      </c>
      <c r="E19" s="14">
        <v>-987.62</v>
      </c>
      <c r="F19" s="2" t="s">
        <v>447</v>
      </c>
      <c r="G19" s="2">
        <v>46134</v>
      </c>
      <c r="H19" s="9">
        <v>1170</v>
      </c>
      <c r="I19" s="4"/>
      <c r="J19" s="4" t="s">
        <v>1175</v>
      </c>
      <c r="K19" s="7" t="s">
        <v>1176</v>
      </c>
      <c r="L19" s="9" t="s">
        <v>1177</v>
      </c>
      <c r="M19" s="9" t="s">
        <v>335</v>
      </c>
      <c r="N19" s="4" t="str">
        <f>VLOOKUP(H19,Clientes!B:D,3,)</f>
        <v>BGC LIQUIDEZ DTVM LTDA</v>
      </c>
    </row>
    <row r="20" spans="1:14" x14ac:dyDescent="0.25">
      <c r="A20" s="4" t="str">
        <f t="shared" si="0"/>
        <v>DESPESA DE REPRESENTAÇÃO - HOSPEDAGEM QUALITY HOTEL SUITES BRASILIA BROKER RICARDO ANDRE VASCONCELOS RAMOS (AGENDA 41542</v>
      </c>
      <c r="B20" s="11">
        <v>46113</v>
      </c>
      <c r="C20" s="4">
        <v>817991</v>
      </c>
      <c r="D20" s="1" t="s">
        <v>604</v>
      </c>
      <c r="E20" s="14">
        <v>-865.65</v>
      </c>
      <c r="F20" s="2" t="s">
        <v>422</v>
      </c>
      <c r="G20" s="2">
        <v>46140</v>
      </c>
      <c r="H20" s="9">
        <v>1170</v>
      </c>
      <c r="I20" s="4"/>
      <c r="J20" s="4" t="s">
        <v>1182</v>
      </c>
      <c r="K20" s="7" t="s">
        <v>1180</v>
      </c>
      <c r="L20" s="9" t="s">
        <v>604</v>
      </c>
      <c r="M20" s="9" t="s">
        <v>1181</v>
      </c>
      <c r="N20" s="4" t="str">
        <f>VLOOKUP(H20,Clientes!B:D,3,)</f>
        <v>BGC LIQUIDEZ DTVM LTDA</v>
      </c>
    </row>
    <row r="21" spans="1:14" x14ac:dyDescent="0.25">
      <c r="A21" s="4" t="str">
        <f t="shared" si="0"/>
        <v>DESPESA DE REPRESENTAÇÃO - EVENTO KAITAI NO OIZUMI SUSHIBROKERRICARDO ANDRE VASCONCELOS RAMOS (AGENDA 40896</v>
      </c>
      <c r="B21" s="11">
        <v>46113</v>
      </c>
      <c r="C21" s="4">
        <v>817991</v>
      </c>
      <c r="D21" s="1" t="s">
        <v>604</v>
      </c>
      <c r="E21" s="14">
        <v>-25230</v>
      </c>
      <c r="F21" s="2" t="s">
        <v>387</v>
      </c>
      <c r="G21" s="2">
        <v>46119</v>
      </c>
      <c r="H21" s="9">
        <v>1170</v>
      </c>
      <c r="I21" s="4"/>
      <c r="J21" s="4" t="s">
        <v>1245</v>
      </c>
      <c r="K21" s="7" t="s">
        <v>1246</v>
      </c>
      <c r="L21" s="9" t="s">
        <v>604</v>
      </c>
      <c r="M21" s="9" t="s">
        <v>2</v>
      </c>
      <c r="N21" s="4" t="str">
        <f>VLOOKUP(H21,Clientes!B:D,3,)</f>
        <v>BGC LIQUIDEZ DTVM LTDA</v>
      </c>
    </row>
    <row r="22" spans="1:14" x14ac:dyDescent="0.25">
      <c r="A22" s="4" t="str">
        <f t="shared" si="0"/>
        <v>DESPESA DE REPRESENTAÇÃO - COMPRA DE 15 CAMISAS DO BRASIL PARA CLIENTESBROKERREINALDO ANDRE URBANO FILHO (133624-3688RU</v>
      </c>
      <c r="B22" s="11">
        <v>46113</v>
      </c>
      <c r="C22" s="4">
        <v>817991</v>
      </c>
      <c r="D22" s="1" t="s">
        <v>652</v>
      </c>
      <c r="E22" s="14">
        <v>-6611.78</v>
      </c>
      <c r="F22" s="2" t="s">
        <v>389</v>
      </c>
      <c r="G22" s="2">
        <v>46114</v>
      </c>
      <c r="H22" s="9">
        <v>1170</v>
      </c>
      <c r="I22" s="4"/>
      <c r="J22" s="4" t="s">
        <v>1313</v>
      </c>
      <c r="K22" s="7" t="s">
        <v>1071</v>
      </c>
      <c r="L22" s="9" t="s">
        <v>652</v>
      </c>
      <c r="M22" s="9" t="s">
        <v>2</v>
      </c>
      <c r="N22" s="4" t="str">
        <f>VLOOKUP(H22,Clientes!B:D,3,)</f>
        <v>BGC LIQUIDEZ DTVM LTDA</v>
      </c>
    </row>
    <row r="23" spans="1:14" x14ac:dyDescent="0.25">
      <c r="A23" s="4" t="str">
        <f t="shared" si="0"/>
        <v>DESPESA DE REPRESENTAÇÃO - ALMOÇOTRADERNORBERTO SUZIGAN FONSECA ALVES (154108-3688RU</v>
      </c>
      <c r="B23" s="11">
        <v>46113</v>
      </c>
      <c r="C23" s="4">
        <v>817991</v>
      </c>
      <c r="D23" s="1" t="s">
        <v>652</v>
      </c>
      <c r="E23" s="14">
        <v>-1324.925</v>
      </c>
      <c r="F23" s="2" t="s">
        <v>447</v>
      </c>
      <c r="G23" s="2">
        <v>46114</v>
      </c>
      <c r="H23" s="9">
        <v>80392</v>
      </c>
      <c r="I23" s="4"/>
      <c r="J23" s="4" t="s">
        <v>447</v>
      </c>
      <c r="K23" s="7" t="s">
        <v>1077</v>
      </c>
      <c r="L23" s="9" t="s">
        <v>710</v>
      </c>
      <c r="M23" s="9" t="s">
        <v>335</v>
      </c>
      <c r="N23" s="4" t="str">
        <f>VLOOKUP(H23,Clientes!B:D,3,)</f>
        <v>KAPITALO INVESTIMENTOS LTDA</v>
      </c>
    </row>
    <row r="24" spans="1:14" x14ac:dyDescent="0.25">
      <c r="A24" s="4" t="str">
        <f t="shared" si="0"/>
        <v>DESPESA DE REPRESENTAÇÃO - JANTAR DAYCOVAL ASSETTRADERPEDRO HENRIQUE FERREIRA FUNDOS (153421-3688RU</v>
      </c>
      <c r="B24" s="11">
        <v>46113</v>
      </c>
      <c r="C24" s="4">
        <v>817991</v>
      </c>
      <c r="D24" s="1" t="s">
        <v>652</v>
      </c>
      <c r="E24" s="14">
        <v>-1766.19</v>
      </c>
      <c r="F24" s="2" t="s">
        <v>380</v>
      </c>
      <c r="G24" s="2">
        <v>46121</v>
      </c>
      <c r="H24" s="9">
        <v>1170</v>
      </c>
      <c r="I24" s="4"/>
      <c r="J24" s="4" t="s">
        <v>1087</v>
      </c>
      <c r="K24" s="7" t="s">
        <v>1088</v>
      </c>
      <c r="L24" s="9" t="s">
        <v>1089</v>
      </c>
      <c r="M24" s="9" t="s">
        <v>335</v>
      </c>
      <c r="N24" s="4" t="str">
        <f>VLOOKUP(H24,Clientes!B:D,3,)</f>
        <v>BGC LIQUIDEZ DTVM LTDA</v>
      </c>
    </row>
    <row r="25" spans="1:14" x14ac:dyDescent="0.25">
      <c r="A25" s="4" t="str">
        <f t="shared" si="0"/>
        <v>DESPESA DE REPRESENTAÇÃO - ALMOÇOTRADERGABRIEL DEL (153803-3688RU</v>
      </c>
      <c r="B25" s="11">
        <v>46113</v>
      </c>
      <c r="C25" s="4">
        <v>817991</v>
      </c>
      <c r="D25" s="1" t="s">
        <v>652</v>
      </c>
      <c r="E25" s="14">
        <v>-1646.41</v>
      </c>
      <c r="F25" s="2" t="s">
        <v>447</v>
      </c>
      <c r="G25" s="2">
        <v>46121</v>
      </c>
      <c r="H25" s="9">
        <v>81501</v>
      </c>
      <c r="I25" s="4"/>
      <c r="J25" s="4" t="s">
        <v>447</v>
      </c>
      <c r="K25" s="7" t="s">
        <v>1111</v>
      </c>
      <c r="L25" s="9" t="s">
        <v>1112</v>
      </c>
      <c r="M25" s="9" t="s">
        <v>335</v>
      </c>
      <c r="N25" s="4" t="str">
        <f>VLOOKUP(H25,Clientes!B:D,3,)</f>
        <v>PORTO SEGURO INVESTIMENTOS LTDA</v>
      </c>
    </row>
    <row r="26" spans="1:14" x14ac:dyDescent="0.25">
      <c r="A26" s="4" t="str">
        <f t="shared" si="0"/>
        <v>DESPESA DE REPRESENTAÇÃO - PESONALIZAÇÃO CAMISETAS DO BRASILBROKERREINALDO ANDRE URBANO FILHO (111714-3688PO</v>
      </c>
      <c r="B26" s="11">
        <v>46113</v>
      </c>
      <c r="C26" s="4">
        <v>817991</v>
      </c>
      <c r="D26" s="1" t="s">
        <v>652</v>
      </c>
      <c r="E26" s="14">
        <v>-484.40000000000003</v>
      </c>
      <c r="F26" s="2" t="s">
        <v>389</v>
      </c>
      <c r="G26" s="2">
        <v>46134</v>
      </c>
      <c r="H26" s="9">
        <v>1170</v>
      </c>
      <c r="I26" s="4"/>
      <c r="J26" s="4" t="s">
        <v>1162</v>
      </c>
      <c r="K26" s="7" t="s">
        <v>1163</v>
      </c>
      <c r="L26" s="9" t="s">
        <v>652</v>
      </c>
      <c r="M26" s="9" t="s">
        <v>2</v>
      </c>
      <c r="N26" s="4" t="str">
        <f>VLOOKUP(H26,Clientes!B:D,3,)</f>
        <v>BGC LIQUIDEZ DTVM LTDA</v>
      </c>
    </row>
    <row r="27" spans="1:14" x14ac:dyDescent="0.25">
      <c r="A27" s="4" t="str">
        <f t="shared" si="0"/>
        <v>DESPESA DE REPRESENTAÇÃO - ALMOÇOTRADERROBERTO ELAYUI (101046-3688AM</v>
      </c>
      <c r="B27" s="11">
        <v>46113</v>
      </c>
      <c r="C27" s="4">
        <v>817991</v>
      </c>
      <c r="D27" s="1" t="s">
        <v>652</v>
      </c>
      <c r="E27" s="14">
        <v>-472.90499999999997</v>
      </c>
      <c r="F27" s="2" t="s">
        <v>447</v>
      </c>
      <c r="G27" s="2">
        <v>46142</v>
      </c>
      <c r="H27" s="9">
        <v>80240</v>
      </c>
      <c r="I27" s="4"/>
      <c r="J27" s="4" t="s">
        <v>447</v>
      </c>
      <c r="K27" s="7" t="s">
        <v>1189</v>
      </c>
      <c r="L27" s="9" t="s">
        <v>1190</v>
      </c>
      <c r="M27" s="9" t="s">
        <v>335</v>
      </c>
      <c r="N27" s="4" t="str">
        <f>VLOOKUP(H27,Clientes!B:D,3,)</f>
        <v>KINEA INVESTIMENTOS LTDA</v>
      </c>
    </row>
    <row r="28" spans="1:14" x14ac:dyDescent="0.25">
      <c r="A28" s="4" t="str">
        <f t="shared" si="0"/>
        <v>DESPESA DE REPRESENTAÇÃO - JANTARTRADERSIDNEY YOSHIRO (144305-3688RC</v>
      </c>
      <c r="B28" s="11">
        <v>46113</v>
      </c>
      <c r="C28" s="4">
        <v>817991</v>
      </c>
      <c r="D28" s="1" t="s">
        <v>646</v>
      </c>
      <c r="E28" s="14">
        <v>-2444</v>
      </c>
      <c r="F28" s="2" t="s">
        <v>380</v>
      </c>
      <c r="G28" s="2">
        <v>46128</v>
      </c>
      <c r="H28" s="9">
        <v>81653</v>
      </c>
      <c r="I28" s="4"/>
      <c r="J28" s="4" t="s">
        <v>380</v>
      </c>
      <c r="K28" s="7" t="s">
        <v>1133</v>
      </c>
      <c r="L28" s="9" t="s">
        <v>1134</v>
      </c>
      <c r="M28" s="9" t="s">
        <v>335</v>
      </c>
      <c r="N28" s="4" t="str">
        <f>VLOOKUP(H28,Clientes!B:D,3,)</f>
        <v>BANCO CITIBANK S/A</v>
      </c>
    </row>
    <row r="29" spans="1:14" x14ac:dyDescent="0.25">
      <c r="A29" s="4" t="str">
        <f t="shared" si="0"/>
        <v>DESPESA DE REPRESENTAÇÃO - JANTARTRADERVICTOR MARTINS  (160646-3688RC</v>
      </c>
      <c r="B29" s="11">
        <v>46113</v>
      </c>
      <c r="C29" s="4">
        <v>817991</v>
      </c>
      <c r="D29" s="1" t="s">
        <v>646</v>
      </c>
      <c r="E29" s="14">
        <v>-828</v>
      </c>
      <c r="F29" s="2" t="s">
        <v>380</v>
      </c>
      <c r="G29" s="2">
        <v>46128</v>
      </c>
      <c r="H29" s="9">
        <v>80375</v>
      </c>
      <c r="I29" s="4"/>
      <c r="J29" s="4" t="s">
        <v>380</v>
      </c>
      <c r="K29" s="7" t="s">
        <v>1136</v>
      </c>
      <c r="L29" s="9" t="s">
        <v>1137</v>
      </c>
      <c r="M29" s="9" t="s">
        <v>335</v>
      </c>
      <c r="N29" s="4" t="str">
        <f>VLOOKUP(H29,Clientes!B:D,3,)</f>
        <v>ITAU UNIBANCO S/A</v>
      </c>
    </row>
    <row r="30" spans="1:14" x14ac:dyDescent="0.25">
      <c r="A30" s="4" t="str">
        <f t="shared" si="0"/>
        <v>DESPESA DE REPRESENTAÇÃO - HAPPY HOURTRADERALEXANDRE AUGUSTO NEVES (153751-3688RC</v>
      </c>
      <c r="B30" s="11">
        <v>46113</v>
      </c>
      <c r="C30" s="4">
        <v>817991</v>
      </c>
      <c r="D30" s="1" t="s">
        <v>646</v>
      </c>
      <c r="E30" s="14">
        <v>-784</v>
      </c>
      <c r="F30" s="2" t="s">
        <v>387</v>
      </c>
      <c r="G30" s="2">
        <v>46134</v>
      </c>
      <c r="H30" s="9">
        <v>95010</v>
      </c>
      <c r="I30" s="4"/>
      <c r="J30" s="4" t="s">
        <v>485</v>
      </c>
      <c r="K30" s="7" t="s">
        <v>1157</v>
      </c>
      <c r="L30" s="9" t="s">
        <v>965</v>
      </c>
      <c r="M30" s="9" t="s">
        <v>335</v>
      </c>
      <c r="N30" s="4" t="str">
        <f>VLOOKUP(H30,Clientes!B:D,3,)</f>
        <v>BANCO BNP PARIBAS BRASIL S/A</v>
      </c>
    </row>
    <row r="31" spans="1:14" x14ac:dyDescent="0.25">
      <c r="A31" s="4" t="str">
        <f t="shared" si="0"/>
        <v>DESPESA DE REPRESENTAÇÃO - ALUGUEL FLAT BROKERPAULO GUILHERME MENEZES FELIX (AGENDA 41211</v>
      </c>
      <c r="B31" s="11">
        <v>46113</v>
      </c>
      <c r="C31" s="4">
        <v>817991</v>
      </c>
      <c r="D31" s="1" t="s">
        <v>424</v>
      </c>
      <c r="E31" s="14">
        <v>-4202</v>
      </c>
      <c r="F31" s="2" t="s">
        <v>422</v>
      </c>
      <c r="G31" s="2">
        <v>46136</v>
      </c>
      <c r="H31" s="9">
        <v>1170</v>
      </c>
      <c r="I31" s="4"/>
      <c r="J31" s="4" t="s">
        <v>425</v>
      </c>
      <c r="K31" s="7" t="s">
        <v>1254</v>
      </c>
      <c r="L31" s="9" t="s">
        <v>424</v>
      </c>
      <c r="M31" s="9" t="s">
        <v>2</v>
      </c>
      <c r="N31" s="4" t="str">
        <f>VLOOKUP(H31,Clientes!B:D,3,)</f>
        <v>BGC LIQUIDEZ DTVM LTDA</v>
      </c>
    </row>
    <row r="32" spans="1:14" x14ac:dyDescent="0.25">
      <c r="A32" s="4" t="str">
        <f t="shared" si="0"/>
        <v>DESPESA DE REPRESENTAÇÃO - CONDOMINIO E IPTU - FLATBROKERPAULO GUILHERME MENEZES FELIX (AGENDA 41213</v>
      </c>
      <c r="B32" s="11">
        <v>46113</v>
      </c>
      <c r="C32" s="4">
        <v>817991</v>
      </c>
      <c r="D32" s="1" t="s">
        <v>424</v>
      </c>
      <c r="E32" s="14">
        <v>-798</v>
      </c>
      <c r="F32" s="2" t="s">
        <v>422</v>
      </c>
      <c r="G32" s="2">
        <v>46136</v>
      </c>
      <c r="H32" s="9">
        <v>1170</v>
      </c>
      <c r="I32" s="4"/>
      <c r="J32" s="4" t="s">
        <v>429</v>
      </c>
      <c r="K32" s="7" t="s">
        <v>1255</v>
      </c>
      <c r="L32" s="9" t="s">
        <v>424</v>
      </c>
      <c r="M32" s="9" t="s">
        <v>2</v>
      </c>
      <c r="N32" s="4" t="str">
        <f>VLOOKUP(H32,Clientes!B:D,3,)</f>
        <v>BGC LIQUIDEZ DTVM LTDA</v>
      </c>
    </row>
    <row r="33" spans="1:14" x14ac:dyDescent="0.25">
      <c r="A33" s="4" t="str">
        <f t="shared" si="0"/>
        <v>DESPESA DE REPRESENTAÇÃO - ALUGUEL FLAT BROKERPAULO GUILHERME MENEZES FELIX (AGENDA 41214</v>
      </c>
      <c r="B33" s="11">
        <v>46113</v>
      </c>
      <c r="C33" s="4">
        <v>817991</v>
      </c>
      <c r="D33" s="1" t="s">
        <v>424</v>
      </c>
      <c r="E33" s="14">
        <v>-6022</v>
      </c>
      <c r="F33" s="2" t="s">
        <v>422</v>
      </c>
      <c r="G33" s="2">
        <v>46136</v>
      </c>
      <c r="H33" s="9">
        <v>1170</v>
      </c>
      <c r="I33" s="4"/>
      <c r="J33" s="4" t="s">
        <v>425</v>
      </c>
      <c r="K33" s="7" t="s">
        <v>1256</v>
      </c>
      <c r="L33" s="9" t="s">
        <v>424</v>
      </c>
      <c r="M33" s="9" t="s">
        <v>2</v>
      </c>
      <c r="N33" s="4" t="str">
        <f>VLOOKUP(H33,Clientes!B:D,3,)</f>
        <v>BGC LIQUIDEZ DTVM LTDA</v>
      </c>
    </row>
    <row r="34" spans="1:14" x14ac:dyDescent="0.25">
      <c r="A34" s="4" t="str">
        <f t="shared" ref="A34:A65" si="1">CONCATENATE($J$1,J34,$I$3,M34,$I$3,L34,$I$1,K34,$I$2)</f>
        <v>DESPESA DE REPRESENTAÇÃO - JANTARTRADERFILIPE CASTRO (093400-3688PI</v>
      </c>
      <c r="B34" s="11">
        <v>46113</v>
      </c>
      <c r="C34" s="4">
        <v>817991</v>
      </c>
      <c r="D34" s="1" t="s">
        <v>772</v>
      </c>
      <c r="E34" s="14">
        <v>-2926</v>
      </c>
      <c r="F34" s="2" t="s">
        <v>380</v>
      </c>
      <c r="G34" s="2">
        <v>46134</v>
      </c>
      <c r="H34" s="9">
        <v>79258</v>
      </c>
      <c r="I34" s="4"/>
      <c r="J34" s="4" t="s">
        <v>380</v>
      </c>
      <c r="K34" s="7" t="s">
        <v>1166</v>
      </c>
      <c r="L34" s="9" t="s">
        <v>1167</v>
      </c>
      <c r="M34" s="9" t="s">
        <v>335</v>
      </c>
      <c r="N34" s="4" t="str">
        <f>VLOOKUP(H34,Clientes!B:D,3,)</f>
        <v>ITAU UNIBANCO S/A</v>
      </c>
    </row>
    <row r="35" spans="1:14" x14ac:dyDescent="0.25">
      <c r="A35" s="4" t="str">
        <f t="shared" si="1"/>
        <v>DESPESA DE REPRESENTAÇÃO - FRETE DOCUMENTAÇÃOBROKERPAOLO FRANCA LIDA (E-MAIL 22/05/2026</v>
      </c>
      <c r="B35" s="11">
        <v>46113</v>
      </c>
      <c r="C35" s="4">
        <v>817991</v>
      </c>
      <c r="D35" s="1" t="s">
        <v>772</v>
      </c>
      <c r="E35" s="14">
        <v>-41.87</v>
      </c>
      <c r="F35" s="2" t="s">
        <v>389</v>
      </c>
      <c r="G35" s="2">
        <v>46129</v>
      </c>
      <c r="H35" s="9">
        <v>1170</v>
      </c>
      <c r="I35" s="4"/>
      <c r="J35" s="4" t="s">
        <v>660</v>
      </c>
      <c r="K35" s="7" t="s">
        <v>1476</v>
      </c>
      <c r="L35" s="9" t="s">
        <v>772</v>
      </c>
      <c r="M35" s="9" t="s">
        <v>2</v>
      </c>
      <c r="N35" s="4" t="str">
        <f>VLOOKUP(H35,Clientes!B:D,3,)</f>
        <v>BGC LIQUIDEZ DTVM LTDA</v>
      </c>
    </row>
    <row r="36" spans="1:14" x14ac:dyDescent="0.25">
      <c r="A36" s="4" t="str">
        <f t="shared" si="1"/>
        <v>DESPESA DE REPRESENTAÇÃO - HAPPY HOURTRADERFELIPE  (092129-3688AA</v>
      </c>
      <c r="B36" s="11">
        <v>46113</v>
      </c>
      <c r="C36" s="4">
        <v>817991</v>
      </c>
      <c r="D36" s="1" t="s">
        <v>574</v>
      </c>
      <c r="E36" s="14">
        <v>-662.5</v>
      </c>
      <c r="F36" s="2" t="s">
        <v>387</v>
      </c>
      <c r="G36" s="2">
        <v>46142</v>
      </c>
      <c r="H36" s="9">
        <v>83577</v>
      </c>
      <c r="I36" s="4"/>
      <c r="J36" s="4" t="s">
        <v>485</v>
      </c>
      <c r="K36" s="7" t="s">
        <v>1218</v>
      </c>
      <c r="L36" s="9" t="s">
        <v>1219</v>
      </c>
      <c r="M36" s="9" t="s">
        <v>335</v>
      </c>
      <c r="N36" s="4" t="str">
        <f>VLOOKUP(H36,Clientes!B:D,3,)</f>
        <v>BANCO MIZUHO DO BRASIL S/A</v>
      </c>
    </row>
    <row r="37" spans="1:14" x14ac:dyDescent="0.25">
      <c r="A37" s="4" t="str">
        <f t="shared" si="1"/>
        <v>DESPESA DE REPRESENTAÇÃO - ALMOÇOTRADERBRUNA GUTIERREZ (160922-3688MP</v>
      </c>
      <c r="B37" s="11">
        <v>46113</v>
      </c>
      <c r="C37" s="4">
        <v>817991</v>
      </c>
      <c r="D37" s="1" t="s">
        <v>477</v>
      </c>
      <c r="E37" s="14">
        <v>-859.93</v>
      </c>
      <c r="F37" s="2" t="s">
        <v>447</v>
      </c>
      <c r="G37" s="2">
        <v>46114</v>
      </c>
      <c r="H37" s="9">
        <v>80359</v>
      </c>
      <c r="I37" s="4"/>
      <c r="J37" s="4" t="s">
        <v>447</v>
      </c>
      <c r="K37" s="7" t="s">
        <v>1075</v>
      </c>
      <c r="L37" s="9" t="s">
        <v>1076</v>
      </c>
      <c r="M37" s="9" t="s">
        <v>335</v>
      </c>
      <c r="N37" s="4" t="str">
        <f>VLOOKUP(H37,Clientes!B:D,3,)</f>
        <v>VINLAND CAPITAL MANAGEMENT GESTORA DE RECURSOS LTDA</v>
      </c>
    </row>
    <row r="38" spans="1:14" x14ac:dyDescent="0.25">
      <c r="A38" s="4" t="str">
        <f t="shared" si="1"/>
        <v>DESPESA DE REPRESENTAÇÃO - CAFÉ DA MANHÃTRADERANTONIO RIBEIRO (174201-3688MP</v>
      </c>
      <c r="B38" s="11">
        <v>46113</v>
      </c>
      <c r="C38" s="4">
        <v>817991</v>
      </c>
      <c r="D38" s="1" t="s">
        <v>477</v>
      </c>
      <c r="E38" s="14">
        <v>-113.12</v>
      </c>
      <c r="F38" s="2" t="s">
        <v>771</v>
      </c>
      <c r="G38" s="2">
        <v>46128</v>
      </c>
      <c r="H38" s="9">
        <v>80375</v>
      </c>
      <c r="I38" s="4"/>
      <c r="J38" s="4" t="s">
        <v>771</v>
      </c>
      <c r="K38" s="7" t="s">
        <v>1138</v>
      </c>
      <c r="L38" s="9" t="s">
        <v>1139</v>
      </c>
      <c r="M38" s="9" t="s">
        <v>335</v>
      </c>
      <c r="N38" s="4" t="str">
        <f>VLOOKUP(H38,Clientes!B:D,3,)</f>
        <v>ITAU UNIBANCO S/A</v>
      </c>
    </row>
    <row r="39" spans="1:14" x14ac:dyDescent="0.25">
      <c r="A39" s="4" t="str">
        <f t="shared" si="1"/>
        <v>DESPESA DE REPRESENTAÇÃO - HAPPY HOUR STUDIO INVESTIMENTOSTRADERLUIZ HENRIQUE MARTINS  (174654-3688MP</v>
      </c>
      <c r="B39" s="11">
        <v>46113</v>
      </c>
      <c r="C39" s="4">
        <v>817991</v>
      </c>
      <c r="D39" s="1" t="s">
        <v>477</v>
      </c>
      <c r="E39" s="14">
        <v>-323.68</v>
      </c>
      <c r="F39" s="2" t="s">
        <v>387</v>
      </c>
      <c r="G39" s="2">
        <v>46128</v>
      </c>
      <c r="H39" s="9">
        <v>1170</v>
      </c>
      <c r="I39" s="4"/>
      <c r="J39" s="4" t="s">
        <v>1140</v>
      </c>
      <c r="K39" s="7" t="s">
        <v>1141</v>
      </c>
      <c r="L39" s="9" t="s">
        <v>1142</v>
      </c>
      <c r="M39" s="9" t="s">
        <v>335</v>
      </c>
      <c r="N39" s="4" t="str">
        <f>VLOOKUP(H39,Clientes!B:D,3,)</f>
        <v>BGC LIQUIDEZ DTVM LTDA</v>
      </c>
    </row>
    <row r="40" spans="1:14" x14ac:dyDescent="0.25">
      <c r="A40" s="4" t="str">
        <f t="shared" si="1"/>
        <v>DESPESA DE REPRESENTAÇÃO - JANTAR TRUXT INVESTIMENTOSTRADERMARCELLA FREITAS (174519-3688MP</v>
      </c>
      <c r="B40" s="11">
        <v>46113</v>
      </c>
      <c r="C40" s="4">
        <v>817991</v>
      </c>
      <c r="D40" s="1" t="s">
        <v>477</v>
      </c>
      <c r="E40" s="14">
        <v>-433.92</v>
      </c>
      <c r="F40" s="2" t="s">
        <v>380</v>
      </c>
      <c r="G40" s="2">
        <v>46128</v>
      </c>
      <c r="H40" s="9">
        <v>1170</v>
      </c>
      <c r="I40" s="4"/>
      <c r="J40" s="4" t="s">
        <v>1143</v>
      </c>
      <c r="K40" s="7" t="s">
        <v>1144</v>
      </c>
      <c r="L40" s="9" t="s">
        <v>1145</v>
      </c>
      <c r="M40" s="9" t="s">
        <v>335</v>
      </c>
      <c r="N40" s="4" t="str">
        <f>VLOOKUP(H40,Clientes!B:D,3,)</f>
        <v>BGC LIQUIDEZ DTVM LTDA</v>
      </c>
    </row>
    <row r="41" spans="1:14" x14ac:dyDescent="0.25">
      <c r="A41" s="4" t="str">
        <f t="shared" si="1"/>
        <v>DESPESA DE REPRESENTAÇÃO - ALMOÇO SQUADRA INVESTIMENTOS TRADERRAFAEL SOARES (174302-3688MP</v>
      </c>
      <c r="B41" s="11">
        <v>46113</v>
      </c>
      <c r="C41" s="4">
        <v>817991</v>
      </c>
      <c r="D41" s="1" t="s">
        <v>477</v>
      </c>
      <c r="E41" s="14">
        <v>-771.79</v>
      </c>
      <c r="F41" s="2" t="s">
        <v>447</v>
      </c>
      <c r="G41" s="2">
        <v>46128</v>
      </c>
      <c r="H41" s="9">
        <v>1170</v>
      </c>
      <c r="I41" s="4"/>
      <c r="J41" s="4" t="s">
        <v>1146</v>
      </c>
      <c r="K41" s="7" t="s">
        <v>1147</v>
      </c>
      <c r="L41" s="9" t="s">
        <v>1148</v>
      </c>
      <c r="M41" s="9" t="s">
        <v>335</v>
      </c>
      <c r="N41" s="4" t="str">
        <f>VLOOKUP(H41,Clientes!B:D,3,)</f>
        <v>BGC LIQUIDEZ DTVM LTDA</v>
      </c>
    </row>
    <row r="42" spans="1:14" x14ac:dyDescent="0.25">
      <c r="A42" s="4" t="str">
        <f t="shared" si="1"/>
        <v>DESPESA DE REPRESENTAÇÃO - JANTARTRADERDOUGLAS DALBERTO (100335-3688FB</v>
      </c>
      <c r="B42" s="11">
        <v>46113</v>
      </c>
      <c r="C42" s="4">
        <v>817991</v>
      </c>
      <c r="D42" s="1" t="s">
        <v>477</v>
      </c>
      <c r="E42" s="14">
        <v>-1108.53</v>
      </c>
      <c r="F42" s="2" t="s">
        <v>380</v>
      </c>
      <c r="G42" s="2">
        <v>46134</v>
      </c>
      <c r="H42" s="9">
        <v>79409</v>
      </c>
      <c r="I42" s="4"/>
      <c r="J42" s="4" t="s">
        <v>380</v>
      </c>
      <c r="K42" s="7" t="s">
        <v>1164</v>
      </c>
      <c r="L42" s="9" t="s">
        <v>1165</v>
      </c>
      <c r="M42" s="9" t="s">
        <v>335</v>
      </c>
      <c r="N42" s="4" t="str">
        <f>VLOOKUP(H42,Clientes!B:D,3,)</f>
        <v>BANCO CITIBANK S/A</v>
      </c>
    </row>
    <row r="43" spans="1:14" x14ac:dyDescent="0.25">
      <c r="A43" s="4" t="str">
        <f t="shared" si="1"/>
        <v>DESPESA DE REPRESENTAÇÃO - JANTARTRADERVICTOR QUINTAL (095043-3688MP</v>
      </c>
      <c r="B43" s="11">
        <v>46113</v>
      </c>
      <c r="C43" s="4">
        <v>817991</v>
      </c>
      <c r="D43" s="1" t="s">
        <v>477</v>
      </c>
      <c r="E43" s="14">
        <v>-4170.83</v>
      </c>
      <c r="F43" s="2" t="s">
        <v>380</v>
      </c>
      <c r="G43" s="2">
        <v>46142</v>
      </c>
      <c r="H43" s="9">
        <v>79449</v>
      </c>
      <c r="I43" s="4"/>
      <c r="J43" s="4" t="s">
        <v>380</v>
      </c>
      <c r="K43" s="7" t="s">
        <v>1191</v>
      </c>
      <c r="L43" s="9" t="s">
        <v>1192</v>
      </c>
      <c r="M43" s="9" t="s">
        <v>335</v>
      </c>
      <c r="N43" s="4" t="str">
        <f>VLOOKUP(H43,Clientes!B:D,3,)</f>
        <v>BANCO CREDIT AGRICOLE BRASIL S/A</v>
      </c>
    </row>
    <row r="44" spans="1:14" x14ac:dyDescent="0.25">
      <c r="A44" s="4" t="str">
        <f t="shared" si="1"/>
        <v>DESPESA DE REPRESENTAÇÃO - JANTARTRADERVITOR BALBACHEVSKY (122445-3688MP</v>
      </c>
      <c r="B44" s="11">
        <v>46113</v>
      </c>
      <c r="C44" s="4">
        <v>817991</v>
      </c>
      <c r="D44" s="1" t="s">
        <v>477</v>
      </c>
      <c r="E44" s="14">
        <v>-1998.97</v>
      </c>
      <c r="F44" s="2" t="s">
        <v>380</v>
      </c>
      <c r="G44" s="2">
        <v>46142</v>
      </c>
      <c r="H44" s="9">
        <v>80754</v>
      </c>
      <c r="I44" s="4"/>
      <c r="J44" s="4" t="s">
        <v>380</v>
      </c>
      <c r="K44" s="7" t="s">
        <v>1216</v>
      </c>
      <c r="L44" s="9" t="s">
        <v>1217</v>
      </c>
      <c r="M44" s="9" t="s">
        <v>335</v>
      </c>
      <c r="N44" s="4" t="str">
        <f>VLOOKUP(H44,Clientes!B:D,3,)</f>
        <v>BANCO MORGAN STANLEY S/A</v>
      </c>
    </row>
    <row r="45" spans="1:14" x14ac:dyDescent="0.25">
      <c r="A45" s="4" t="str">
        <f t="shared" si="1"/>
        <v>DESPESA DE REPRESENTAÇÃO - PASSAGEM SÃO PAULO AMSTERDAMBROKERFELIPE DE ANDRADE BASILE (AGENDA 41309</v>
      </c>
      <c r="B45" s="11">
        <v>46113</v>
      </c>
      <c r="C45" s="4">
        <v>817991</v>
      </c>
      <c r="D45" s="1" t="s">
        <v>423</v>
      </c>
      <c r="E45" s="14">
        <v>-8534.68</v>
      </c>
      <c r="F45" s="2" t="s">
        <v>388</v>
      </c>
      <c r="G45" s="2">
        <v>46127</v>
      </c>
      <c r="H45" s="9">
        <v>1170</v>
      </c>
      <c r="I45" s="4"/>
      <c r="J45" s="4" t="s">
        <v>1093</v>
      </c>
      <c r="K45" s="7" t="s">
        <v>1092</v>
      </c>
      <c r="L45" s="9" t="s">
        <v>1054</v>
      </c>
      <c r="M45" s="9" t="s">
        <v>2</v>
      </c>
      <c r="N45" s="4" t="str">
        <f>VLOOKUP(H45,Clientes!B:D,3,)</f>
        <v>BGC LIQUIDEZ DTVM LTDA</v>
      </c>
    </row>
    <row r="46" spans="1:14" x14ac:dyDescent="0.25">
      <c r="A46" s="4" t="str">
        <f t="shared" si="1"/>
        <v>DESPESA DE REPRESENTAÇÃO - PASSAGEM BROKERFELIPE DE ANDRADE BASILE (AGENDA 41446</v>
      </c>
      <c r="B46" s="11">
        <v>46113</v>
      </c>
      <c r="C46" s="4">
        <v>817991</v>
      </c>
      <c r="D46" s="1" t="s">
        <v>423</v>
      </c>
      <c r="E46" s="14">
        <v>-1360</v>
      </c>
      <c r="F46" s="2" t="s">
        <v>388</v>
      </c>
      <c r="G46" s="2">
        <v>46134</v>
      </c>
      <c r="H46" s="9">
        <v>1170</v>
      </c>
      <c r="I46" s="4"/>
      <c r="J46" s="4" t="s">
        <v>1128</v>
      </c>
      <c r="K46" s="7" t="s">
        <v>1129</v>
      </c>
      <c r="L46" s="9" t="s">
        <v>1054</v>
      </c>
      <c r="M46" s="9" t="s">
        <v>2</v>
      </c>
      <c r="N46" s="4" t="str">
        <f>VLOOKUP(H46,Clientes!B:D,3,)</f>
        <v>BGC LIQUIDEZ DTVM LTDA</v>
      </c>
    </row>
    <row r="47" spans="1:14" x14ac:dyDescent="0.25">
      <c r="A47" s="4" t="str">
        <f t="shared" si="1"/>
        <v>DESPESA DE REPRESENTAÇÃO - HOSPEDAGEM THE ALFREDBROKERFELIPE DE ANDRADE BASILE (AGENDA 41543</v>
      </c>
      <c r="B47" s="11">
        <v>46113</v>
      </c>
      <c r="C47" s="4">
        <v>817991</v>
      </c>
      <c r="D47" s="1" t="s">
        <v>423</v>
      </c>
      <c r="E47" s="14">
        <v>-7095</v>
      </c>
      <c r="F47" s="2" t="s">
        <v>422</v>
      </c>
      <c r="G47" s="2">
        <v>46140</v>
      </c>
      <c r="H47" s="9">
        <v>1170</v>
      </c>
      <c r="I47" s="4"/>
      <c r="J47" s="4" t="s">
        <v>1184</v>
      </c>
      <c r="K47" s="7" t="s">
        <v>1183</v>
      </c>
      <c r="L47" s="9" t="s">
        <v>1054</v>
      </c>
      <c r="M47" s="9" t="s">
        <v>2</v>
      </c>
      <c r="N47" s="4" t="str">
        <f>VLOOKUP(H47,Clientes!B:D,3,)</f>
        <v>BGC LIQUIDEZ DTVM LTDA</v>
      </c>
    </row>
    <row r="48" spans="1:14" x14ac:dyDescent="0.25">
      <c r="A48" s="4" t="str">
        <f t="shared" si="1"/>
        <v>DESPESA DE REPRESENTAÇÃO - JANTARTRADERJOAO VICTOR RODRIGUES RAMALHO (082422-3688VP</v>
      </c>
      <c r="B48" s="11">
        <v>46113</v>
      </c>
      <c r="C48" s="4">
        <v>817991</v>
      </c>
      <c r="D48" s="1" t="s">
        <v>423</v>
      </c>
      <c r="E48" s="14">
        <v>-2439</v>
      </c>
      <c r="F48" s="2" t="s">
        <v>380</v>
      </c>
      <c r="G48" s="2">
        <v>46142</v>
      </c>
      <c r="H48" s="9">
        <v>12413</v>
      </c>
      <c r="I48" s="4"/>
      <c r="J48" s="4" t="s">
        <v>380</v>
      </c>
      <c r="K48" s="7" t="s">
        <v>1211</v>
      </c>
      <c r="L48" s="9" t="s">
        <v>1212</v>
      </c>
      <c r="M48" s="9" t="s">
        <v>335</v>
      </c>
      <c r="N48" s="4" t="str">
        <f>VLOOKUP(H48,Clientes!B:D,3,)</f>
        <v>KAPITALO INVESTIMENTOS LTDA</v>
      </c>
    </row>
    <row r="49" spans="1:14" x14ac:dyDescent="0.25">
      <c r="A49" s="4" t="str">
        <f t="shared" si="1"/>
        <v>DESPESA DE REPRESENTAÇÃO - ALUGUEL FLAT GESTORANDRE HALL ACCIOLY (AGENDA 41195</v>
      </c>
      <c r="B49" s="11">
        <v>46113</v>
      </c>
      <c r="C49" s="4">
        <v>817991</v>
      </c>
      <c r="D49" s="1" t="s">
        <v>423</v>
      </c>
      <c r="E49" s="14">
        <v>-2574.2649999999999</v>
      </c>
      <c r="F49" s="2" t="s">
        <v>422</v>
      </c>
      <c r="G49" s="2">
        <v>46118</v>
      </c>
      <c r="H49" s="9">
        <v>1170</v>
      </c>
      <c r="I49" s="4"/>
      <c r="J49" s="4" t="s">
        <v>425</v>
      </c>
      <c r="K49" s="7" t="s">
        <v>1253</v>
      </c>
      <c r="L49" s="9" t="s">
        <v>742</v>
      </c>
      <c r="M49" s="9" t="s">
        <v>598</v>
      </c>
      <c r="N49" s="4" t="str">
        <f>VLOOKUP(H49,Clientes!B:D,3,)</f>
        <v>BGC LIQUIDEZ DTVM LTDA</v>
      </c>
    </row>
    <row r="50" spans="1:14" x14ac:dyDescent="0.25">
      <c r="A50" s="4" t="str">
        <f t="shared" si="1"/>
        <v>DESPESA DE REPRESENTAÇÃO - CONDOMINIO E IPTU - FLATGESTORANDRE HALL ACCIOLY (AGENDA 41195</v>
      </c>
      <c r="B50" s="11">
        <v>46113</v>
      </c>
      <c r="C50" s="4">
        <v>817991</v>
      </c>
      <c r="D50" s="1" t="s">
        <v>423</v>
      </c>
      <c r="E50" s="14">
        <v>-1576</v>
      </c>
      <c r="F50" s="2" t="s">
        <v>422</v>
      </c>
      <c r="G50" s="2">
        <v>46118</v>
      </c>
      <c r="H50" s="9">
        <v>1170</v>
      </c>
      <c r="I50" s="4"/>
      <c r="J50" s="4" t="s">
        <v>429</v>
      </c>
      <c r="K50" s="7" t="s">
        <v>1253</v>
      </c>
      <c r="L50" s="9" t="s">
        <v>742</v>
      </c>
      <c r="M50" s="9" t="s">
        <v>598</v>
      </c>
      <c r="N50" s="4" t="str">
        <f>VLOOKUP(H50,Clientes!B:D,3,)</f>
        <v>BGC LIQUIDEZ DTVM LTDA</v>
      </c>
    </row>
    <row r="51" spans="1:14" x14ac:dyDescent="0.25">
      <c r="A51" s="4" t="str">
        <f t="shared" si="1"/>
        <v>DESPESA DE REPRESENTAÇÃO - COMPRA DE 2 CAMISAS DO BRASIL PARA CLIENTESBROKERJUAREZ JOAQUIM DE LACERDA (133624-3688RU</v>
      </c>
      <c r="B51" s="11">
        <v>46113</v>
      </c>
      <c r="C51" s="4">
        <v>817991</v>
      </c>
      <c r="D51" s="1" t="s">
        <v>614</v>
      </c>
      <c r="E51" s="14">
        <v>-881.57</v>
      </c>
      <c r="F51" s="2" t="s">
        <v>389</v>
      </c>
      <c r="G51" s="2">
        <v>46114</v>
      </c>
      <c r="H51" s="9">
        <v>1170</v>
      </c>
      <c r="I51" s="4"/>
      <c r="J51" s="4" t="s">
        <v>1314</v>
      </c>
      <c r="K51" s="7" t="s">
        <v>1071</v>
      </c>
      <c r="L51" s="9" t="s">
        <v>614</v>
      </c>
      <c r="M51" s="9" t="s">
        <v>2</v>
      </c>
      <c r="N51" s="4" t="str">
        <f>VLOOKUP(H51,Clientes!B:D,3,)</f>
        <v>BGC LIQUIDEZ DTVM LTDA</v>
      </c>
    </row>
    <row r="52" spans="1:14" x14ac:dyDescent="0.25">
      <c r="A52" s="4" t="str">
        <f t="shared" si="1"/>
        <v>DESPESA DE REPRESENTAÇÃO - ALMOÇO AB FINTECHPRESIDENTEDIEGO PEREZ (163618-3688JL</v>
      </c>
      <c r="B52" s="11">
        <v>46113</v>
      </c>
      <c r="C52" s="4">
        <v>817991</v>
      </c>
      <c r="D52" s="1" t="s">
        <v>614</v>
      </c>
      <c r="E52" s="14">
        <v>-295.95</v>
      </c>
      <c r="F52" s="2" t="s">
        <v>447</v>
      </c>
      <c r="G52" s="2">
        <v>46121</v>
      </c>
      <c r="H52" s="9">
        <v>1170</v>
      </c>
      <c r="I52" s="4"/>
      <c r="J52" s="4" t="s">
        <v>1090</v>
      </c>
      <c r="K52" s="7" t="s">
        <v>1091</v>
      </c>
      <c r="L52" s="9" t="s">
        <v>595</v>
      </c>
      <c r="M52" s="9" t="s">
        <v>597</v>
      </c>
      <c r="N52" s="4" t="str">
        <f>VLOOKUP(H52,Clientes!B:D,3,)</f>
        <v>BGC LIQUIDEZ DTVM LTDA</v>
      </c>
    </row>
    <row r="53" spans="1:14" x14ac:dyDescent="0.25">
      <c r="A53" s="4" t="str">
        <f t="shared" si="1"/>
        <v>DESPESA DE REPRESENTAÇÃO - ALMOÇO COM HDI SEGUROSDIRETORFELIPE BORALLI (142009-3688JL</v>
      </c>
      <c r="B53" s="11">
        <v>46113</v>
      </c>
      <c r="C53" s="4">
        <v>817991</v>
      </c>
      <c r="D53" s="1" t="s">
        <v>614</v>
      </c>
      <c r="E53" s="14">
        <v>-2335.71</v>
      </c>
      <c r="F53" s="2" t="s">
        <v>447</v>
      </c>
      <c r="G53" s="2">
        <v>46128</v>
      </c>
      <c r="H53" s="9">
        <v>1170</v>
      </c>
      <c r="I53" s="4"/>
      <c r="J53" s="4" t="s">
        <v>1120</v>
      </c>
      <c r="K53" s="7" t="s">
        <v>1121</v>
      </c>
      <c r="L53" s="9" t="s">
        <v>1122</v>
      </c>
      <c r="M53" s="9" t="s">
        <v>1233</v>
      </c>
      <c r="N53" s="4" t="str">
        <f>VLOOKUP(H53,Clientes!B:D,3,)</f>
        <v>BGC LIQUIDEZ DTVM LTDA</v>
      </c>
    </row>
    <row r="54" spans="1:14" x14ac:dyDescent="0.25">
      <c r="A54" s="4" t="str">
        <f t="shared" si="1"/>
        <v>DESPESA DE REPRESENTAÇÃO - PASSAGEM RIO DE JANEIRO X SÃO PAULOBROKERJUAREZ JOAQUIM DE LACERDA (AGENDA 41506</v>
      </c>
      <c r="B54" s="11">
        <v>46113</v>
      </c>
      <c r="C54" s="4">
        <v>817991</v>
      </c>
      <c r="D54" s="1" t="s">
        <v>614</v>
      </c>
      <c r="E54" s="14">
        <v>-957.57</v>
      </c>
      <c r="F54" s="2" t="s">
        <v>388</v>
      </c>
      <c r="G54" s="2">
        <v>46142</v>
      </c>
      <c r="H54" s="9">
        <v>1170</v>
      </c>
      <c r="I54" s="4"/>
      <c r="J54" s="4" t="s">
        <v>495</v>
      </c>
      <c r="K54" s="7" t="s">
        <v>1151</v>
      </c>
      <c r="L54" s="9" t="s">
        <v>614</v>
      </c>
      <c r="M54" s="9" t="s">
        <v>2</v>
      </c>
      <c r="N54" s="4" t="str">
        <f>VLOOKUP(H54,Clientes!B:D,3,)</f>
        <v>BGC LIQUIDEZ DTVM LTDA</v>
      </c>
    </row>
    <row r="55" spans="1:14" x14ac:dyDescent="0.25">
      <c r="A55" s="4" t="str">
        <f t="shared" si="1"/>
        <v>DESPESA DE REPRESENTAÇÃO - ALMOÇO COM FIPECQ-FUNDACAOBROKERJUAREZ JOAQUIM DE LACERDA (115818-3688JL</v>
      </c>
      <c r="B55" s="11">
        <v>46113</v>
      </c>
      <c r="C55" s="4">
        <v>817991</v>
      </c>
      <c r="D55" s="1" t="s">
        <v>614</v>
      </c>
      <c r="E55" s="14">
        <v>-1169.79</v>
      </c>
      <c r="F55" s="2" t="s">
        <v>447</v>
      </c>
      <c r="G55" s="2">
        <v>46134</v>
      </c>
      <c r="H55" s="9">
        <v>1170</v>
      </c>
      <c r="I55" s="4"/>
      <c r="J55" s="4" t="s">
        <v>1158</v>
      </c>
      <c r="K55" s="7" t="s">
        <v>1159</v>
      </c>
      <c r="L55" s="9" t="s">
        <v>614</v>
      </c>
      <c r="M55" s="9" t="s">
        <v>2</v>
      </c>
      <c r="N55" s="4" t="str">
        <f>VLOOKUP(H55,Clientes!B:D,3,)</f>
        <v>BGC LIQUIDEZ DTVM LTDA</v>
      </c>
    </row>
    <row r="56" spans="1:14" x14ac:dyDescent="0.25">
      <c r="A56" s="4" t="str">
        <f t="shared" si="1"/>
        <v>DESPESA DE REPRESENTAÇÃO - ESTACIONAMENTO VISITA CLIENTES BRASILIA BROKERJUAREZ JOAQUIM DE LACERDA (120808-3688JL</v>
      </c>
      <c r="B56" s="11">
        <v>46113</v>
      </c>
      <c r="C56" s="4">
        <v>817991</v>
      </c>
      <c r="D56" s="1" t="s">
        <v>614</v>
      </c>
      <c r="E56" s="14">
        <v>-157</v>
      </c>
      <c r="F56" s="2" t="s">
        <v>388</v>
      </c>
      <c r="G56" s="2">
        <v>46134</v>
      </c>
      <c r="H56" s="9">
        <v>1170</v>
      </c>
      <c r="I56" s="4"/>
      <c r="J56" s="4" t="s">
        <v>1160</v>
      </c>
      <c r="K56" s="7" t="s">
        <v>1161</v>
      </c>
      <c r="L56" s="9" t="s">
        <v>614</v>
      </c>
      <c r="M56" s="9" t="s">
        <v>2</v>
      </c>
      <c r="N56" s="4" t="str">
        <f>VLOOKUP(H56,Clientes!B:D,3,)</f>
        <v>BGC LIQUIDEZ DTVM LTDA</v>
      </c>
    </row>
    <row r="57" spans="1:14" x14ac:dyDescent="0.25">
      <c r="A57" s="4" t="str">
        <f t="shared" si="1"/>
        <v>DESPESA DE REPRESENTAÇÃO - UBERBROKERJUAREZ JOAQUIM DE LACERDA (E-MAIL 11/05/2026</v>
      </c>
      <c r="B57" s="11">
        <v>46113</v>
      </c>
      <c r="C57" s="4">
        <v>817991</v>
      </c>
      <c r="D57" s="1" t="s">
        <v>614</v>
      </c>
      <c r="E57" s="14">
        <v>-191.2</v>
      </c>
      <c r="F57" s="2" t="s">
        <v>388</v>
      </c>
      <c r="G57" s="2">
        <v>46330</v>
      </c>
      <c r="H57" s="9">
        <v>1170</v>
      </c>
      <c r="I57" s="4"/>
      <c r="J57" s="4" t="s">
        <v>659</v>
      </c>
      <c r="K57" s="7" t="s">
        <v>1332</v>
      </c>
      <c r="L57" s="9" t="s">
        <v>614</v>
      </c>
      <c r="M57" s="9" t="s">
        <v>2</v>
      </c>
      <c r="N57" s="4" t="str">
        <f>VLOOKUP(H57,Clientes!B:D,3,)</f>
        <v>BGC LIQUIDEZ DTVM LTDA</v>
      </c>
    </row>
    <row r="58" spans="1:14" x14ac:dyDescent="0.25">
      <c r="A58" s="4" t="str">
        <f t="shared" si="1"/>
        <v>DESPESA DE REPRESENTAÇÃO - JANTARTRADERTATSUMI  (155250-3688JV</v>
      </c>
      <c r="B58" s="11">
        <v>46113</v>
      </c>
      <c r="C58" s="4">
        <v>817991</v>
      </c>
      <c r="D58" s="1" t="s">
        <v>459</v>
      </c>
      <c r="E58" s="14">
        <v>-1580.87</v>
      </c>
      <c r="F58" s="2" t="s">
        <v>380</v>
      </c>
      <c r="G58" s="2">
        <v>46121</v>
      </c>
      <c r="H58" s="9">
        <v>80667</v>
      </c>
      <c r="I58" s="4"/>
      <c r="J58" s="4" t="s">
        <v>380</v>
      </c>
      <c r="K58" s="7" t="s">
        <v>1107</v>
      </c>
      <c r="L58" s="9" t="s">
        <v>1108</v>
      </c>
      <c r="M58" s="9" t="s">
        <v>335</v>
      </c>
      <c r="N58" s="4" t="str">
        <f>VLOOKUP(H58,Clientes!B:D,3,)</f>
        <v>ACE CAPITAL GESTORA DE RECURSOS LTDA</v>
      </c>
    </row>
    <row r="59" spans="1:14" x14ac:dyDescent="0.25">
      <c r="A59" s="4" t="str">
        <f t="shared" si="1"/>
        <v>DESPESA DE REPRESENTAÇÃO - ALMOÇOTRADERALYSSON LIMA  (155522-3688JV</v>
      </c>
      <c r="B59" s="11">
        <v>46113</v>
      </c>
      <c r="C59" s="4">
        <v>817991</v>
      </c>
      <c r="D59" s="1" t="s">
        <v>459</v>
      </c>
      <c r="E59" s="14">
        <v>-577.65</v>
      </c>
      <c r="F59" s="2" t="s">
        <v>447</v>
      </c>
      <c r="G59" s="2">
        <v>46121</v>
      </c>
      <c r="H59" s="9">
        <v>1170</v>
      </c>
      <c r="I59" s="4"/>
      <c r="J59" s="4" t="s">
        <v>447</v>
      </c>
      <c r="K59" s="7" t="s">
        <v>1109</v>
      </c>
      <c r="L59" s="9" t="s">
        <v>1110</v>
      </c>
      <c r="M59" s="9" t="s">
        <v>335</v>
      </c>
      <c r="N59" s="4" t="str">
        <f>VLOOKUP(H59,Clientes!B:D,3,)</f>
        <v>BGC LIQUIDEZ DTVM LTDA</v>
      </c>
    </row>
    <row r="60" spans="1:14" x14ac:dyDescent="0.25">
      <c r="A60" s="4" t="str">
        <f t="shared" si="1"/>
        <v>DESPESA DE REPRESENTAÇÃO - PASSAGEM RIO DE JANEIRO X SÃO PAULOBROKERANDRE WATT VIANNA (AGENDA 41221</v>
      </c>
      <c r="B60" s="11">
        <v>46113</v>
      </c>
      <c r="C60" s="4">
        <v>817991</v>
      </c>
      <c r="D60" s="1" t="s">
        <v>23</v>
      </c>
      <c r="E60" s="14">
        <v>-1070.6400000000001</v>
      </c>
      <c r="F60" s="2" t="s">
        <v>388</v>
      </c>
      <c r="G60" s="2">
        <v>46127</v>
      </c>
      <c r="H60" s="9">
        <v>1170</v>
      </c>
      <c r="I60" s="4"/>
      <c r="J60" s="4" t="s">
        <v>495</v>
      </c>
      <c r="K60" s="7" t="s">
        <v>1074</v>
      </c>
      <c r="L60" s="9" t="s">
        <v>670</v>
      </c>
      <c r="M60" s="9" t="s">
        <v>2</v>
      </c>
      <c r="N60" s="4" t="str">
        <f>VLOOKUP(H60,Clientes!B:D,3,)</f>
        <v>BGC LIQUIDEZ DTVM LTDA</v>
      </c>
    </row>
    <row r="61" spans="1:14" x14ac:dyDescent="0.25">
      <c r="A61" s="4" t="str">
        <f t="shared" si="1"/>
        <v>DESPESA DE REPRESENTAÇÃO - PASSAGEM RIO DE JANEIRO X SÃO PAULOBROKERJOSE MAURICIO GOMES TEIXEIRA (AGENDA 41221</v>
      </c>
      <c r="B61" s="11">
        <v>46113</v>
      </c>
      <c r="C61" s="4">
        <v>817991</v>
      </c>
      <c r="D61" s="1" t="s">
        <v>23</v>
      </c>
      <c r="E61" s="14">
        <v>-1440.27</v>
      </c>
      <c r="F61" s="2" t="s">
        <v>388</v>
      </c>
      <c r="G61" s="2">
        <v>46127</v>
      </c>
      <c r="H61" s="9">
        <v>1170</v>
      </c>
      <c r="I61" s="4"/>
      <c r="J61" s="4" t="s">
        <v>495</v>
      </c>
      <c r="K61" s="7" t="s">
        <v>1074</v>
      </c>
      <c r="L61" s="9" t="s">
        <v>23</v>
      </c>
      <c r="M61" s="9" t="s">
        <v>2</v>
      </c>
      <c r="N61" s="4" t="str">
        <f>VLOOKUP(H61,Clientes!B:D,3,)</f>
        <v>BGC LIQUIDEZ DTVM LTDA</v>
      </c>
    </row>
    <row r="62" spans="1:14" x14ac:dyDescent="0.25">
      <c r="A62" s="4" t="str">
        <f t="shared" si="1"/>
        <v>DESPESA DE REPRESENTAÇÃO - PASSAGEM RIO DE JANEIRO X SÃO PAULOBROKERBRUNO FERREIRA GOMES (AGENDA 41221</v>
      </c>
      <c r="B62" s="11">
        <v>46113</v>
      </c>
      <c r="C62" s="4">
        <v>817991</v>
      </c>
      <c r="D62" s="1" t="s">
        <v>23</v>
      </c>
      <c r="E62" s="14">
        <v>-872.14</v>
      </c>
      <c r="F62" s="2" t="s">
        <v>388</v>
      </c>
      <c r="G62" s="2">
        <v>46127</v>
      </c>
      <c r="H62" s="9">
        <v>1170</v>
      </c>
      <c r="I62" s="4"/>
      <c r="J62" s="4" t="s">
        <v>495</v>
      </c>
      <c r="K62" s="7" t="s">
        <v>1074</v>
      </c>
      <c r="L62" s="9" t="s">
        <v>664</v>
      </c>
      <c r="M62" s="9" t="s">
        <v>2</v>
      </c>
      <c r="N62" s="4" t="str">
        <f>VLOOKUP(H62,Clientes!B:D,3,)</f>
        <v>BGC LIQUIDEZ DTVM LTDA</v>
      </c>
    </row>
    <row r="63" spans="1:14" x14ac:dyDescent="0.25">
      <c r="A63" s="4" t="str">
        <f t="shared" si="1"/>
        <v>DESPESA DE REPRESENTAÇÃO - PASSAGEM RIO DE JANEIRO X SÃO PAULOBROKERANDRE WATT VIANNA (AGENDA 41221</v>
      </c>
      <c r="B63" s="11">
        <v>46113</v>
      </c>
      <c r="C63" s="4">
        <v>817991</v>
      </c>
      <c r="D63" s="1" t="s">
        <v>23</v>
      </c>
      <c r="E63" s="14">
        <v>-525.78</v>
      </c>
      <c r="F63" s="2" t="s">
        <v>388</v>
      </c>
      <c r="G63" s="2">
        <v>46127</v>
      </c>
      <c r="H63" s="9">
        <v>1170</v>
      </c>
      <c r="I63" s="4"/>
      <c r="J63" s="4" t="s">
        <v>495</v>
      </c>
      <c r="K63" s="7" t="s">
        <v>1074</v>
      </c>
      <c r="L63" s="9" t="s">
        <v>670</v>
      </c>
      <c r="M63" s="9" t="s">
        <v>2</v>
      </c>
      <c r="N63" s="4" t="str">
        <f>VLOOKUP(H63,Clientes!B:D,3,)</f>
        <v>BGC LIQUIDEZ DTVM LTDA</v>
      </c>
    </row>
    <row r="64" spans="1:14" x14ac:dyDescent="0.25">
      <c r="A64" s="4" t="str">
        <f t="shared" si="1"/>
        <v>DESPESA DE REPRESENTAÇÃO - ALMOÇOTRADERMARCO AZEVEDO (165814-3688JT</v>
      </c>
      <c r="B64" s="11">
        <v>46113</v>
      </c>
      <c r="C64" s="4">
        <v>817991</v>
      </c>
      <c r="D64" s="1" t="s">
        <v>23</v>
      </c>
      <c r="E64" s="14">
        <v>-924</v>
      </c>
      <c r="F64" s="2" t="s">
        <v>447</v>
      </c>
      <c r="G64" s="2">
        <v>46128</v>
      </c>
      <c r="H64" s="9">
        <v>80375</v>
      </c>
      <c r="I64" s="4"/>
      <c r="J64" s="4" t="s">
        <v>447</v>
      </c>
      <c r="K64" s="7" t="s">
        <v>1232</v>
      </c>
      <c r="L64" s="9" t="s">
        <v>1135</v>
      </c>
      <c r="M64" s="9" t="s">
        <v>335</v>
      </c>
      <c r="N64" s="4" t="str">
        <f>VLOOKUP(H64,Clientes!B:D,3,)</f>
        <v>ITAU UNIBANCO S/A</v>
      </c>
    </row>
    <row r="65" spans="1:14" x14ac:dyDescent="0.25">
      <c r="A65" s="4" t="str">
        <f t="shared" si="1"/>
        <v>DESPESA DE REPRESENTAÇÃO - ALMOÇOTRADERLEONARDO BREDER (113306-3688AV</v>
      </c>
      <c r="B65" s="11">
        <v>46113</v>
      </c>
      <c r="C65" s="4">
        <v>817991</v>
      </c>
      <c r="D65" s="1" t="s">
        <v>23</v>
      </c>
      <c r="E65" s="14">
        <v>-855</v>
      </c>
      <c r="F65" s="2" t="s">
        <v>447</v>
      </c>
      <c r="G65" s="2">
        <v>46134</v>
      </c>
      <c r="H65" s="9">
        <v>144548</v>
      </c>
      <c r="I65" s="4"/>
      <c r="J65" s="4" t="s">
        <v>447</v>
      </c>
      <c r="K65" s="7" t="s">
        <v>1168</v>
      </c>
      <c r="L65" s="9" t="s">
        <v>1169</v>
      </c>
      <c r="M65" s="9" t="s">
        <v>335</v>
      </c>
      <c r="N65" s="4" t="str">
        <f>VLOOKUP(H65,Clientes!B:D,3,)</f>
        <v>ABSOLUTE GESTAO DE INVESTIMENTOS LTDA</v>
      </c>
    </row>
    <row r="66" spans="1:14" x14ac:dyDescent="0.25">
      <c r="A66" s="4" t="str">
        <f t="shared" ref="A66:A97" si="2">CONCATENATE($J$1,J66,$I$3,M66,$I$3,L66,$I$1,K66,$I$2)</f>
        <v>DESPESA DE REPRESENTAÇÃO - ALMOÇOTRADERTHIAGO DIAS MARINHEIRO (113449-3688AV</v>
      </c>
      <c r="B66" s="11">
        <v>46113</v>
      </c>
      <c r="C66" s="4">
        <v>817991</v>
      </c>
      <c r="D66" s="1" t="s">
        <v>23</v>
      </c>
      <c r="E66" s="14">
        <v>-1440</v>
      </c>
      <c r="F66" s="2" t="s">
        <v>447</v>
      </c>
      <c r="G66" s="2">
        <v>46134</v>
      </c>
      <c r="H66" s="9">
        <v>81259</v>
      </c>
      <c r="I66" s="4"/>
      <c r="J66" s="4" t="s">
        <v>447</v>
      </c>
      <c r="K66" s="7" t="s">
        <v>1170</v>
      </c>
      <c r="L66" s="9" t="s">
        <v>735</v>
      </c>
      <c r="M66" s="9" t="s">
        <v>335</v>
      </c>
      <c r="N66" s="4" t="str">
        <f>VLOOKUP(H66,Clientes!B:D,3,)</f>
        <v>GOLDMAN SACHS DO BRASIL BANCO MULTIPLO S/A</v>
      </c>
    </row>
    <row r="67" spans="1:14" x14ac:dyDescent="0.25">
      <c r="A67" s="4" t="str">
        <f t="shared" si="2"/>
        <v>DESPESA DE REPRESENTAÇÃO - JANTARTRADERANDRE FADUL  (152133-3688JT</v>
      </c>
      <c r="B67" s="11">
        <v>46113</v>
      </c>
      <c r="C67" s="4">
        <v>817991</v>
      </c>
      <c r="D67" s="1" t="s">
        <v>23</v>
      </c>
      <c r="E67" s="14">
        <v>-2095</v>
      </c>
      <c r="F67" s="2" t="s">
        <v>380</v>
      </c>
      <c r="G67" s="2">
        <v>46142</v>
      </c>
      <c r="H67" s="9">
        <v>82467</v>
      </c>
      <c r="I67" s="4"/>
      <c r="J67" s="4" t="s">
        <v>380</v>
      </c>
      <c r="K67" s="7" t="s">
        <v>1200</v>
      </c>
      <c r="L67" s="9" t="s">
        <v>1201</v>
      </c>
      <c r="M67" s="9" t="s">
        <v>335</v>
      </c>
      <c r="N67" s="4" t="str">
        <f>VLOOKUP(H67,Clientes!B:D,3,)</f>
        <v>BRAM - BRADESCO ASSET MANAGEMENT S/A DTVM</v>
      </c>
    </row>
    <row r="68" spans="1:14" x14ac:dyDescent="0.25">
      <c r="A68" s="4" t="str">
        <f t="shared" si="2"/>
        <v>DESPESA DE REPRESENTAÇÃO - ALMOÇO ALASKA TRADERDANILO BREDDA (152333-3688JT</v>
      </c>
      <c r="B68" s="11">
        <v>46113</v>
      </c>
      <c r="C68" s="4">
        <v>817991</v>
      </c>
      <c r="D68" s="1" t="s">
        <v>23</v>
      </c>
      <c r="E68" s="14">
        <v>-373</v>
      </c>
      <c r="F68" s="2" t="s">
        <v>447</v>
      </c>
      <c r="G68" s="2">
        <v>46142</v>
      </c>
      <c r="H68" s="9">
        <v>1170</v>
      </c>
      <c r="I68" s="4"/>
      <c r="J68" s="4" t="s">
        <v>1202</v>
      </c>
      <c r="K68" s="7" t="s">
        <v>1203</v>
      </c>
      <c r="L68" s="9" t="s">
        <v>221</v>
      </c>
      <c r="M68" s="9" t="s">
        <v>335</v>
      </c>
      <c r="N68" s="4" t="str">
        <f>VLOOKUP(H68,Clientes!B:D,3,)</f>
        <v>BGC LIQUIDEZ DTVM LTDA</v>
      </c>
    </row>
    <row r="69" spans="1:14" x14ac:dyDescent="0.25">
      <c r="A69" s="4" t="str">
        <f t="shared" si="2"/>
        <v>DESPESA DE REPRESENTAÇÃO - ALMOÇOTRADERRODRIGO JOLIG (151936-3688JT</v>
      </c>
      <c r="B69" s="11">
        <v>46113</v>
      </c>
      <c r="C69" s="4">
        <v>817991</v>
      </c>
      <c r="D69" s="1" t="s">
        <v>23</v>
      </c>
      <c r="E69" s="14">
        <v>-1084</v>
      </c>
      <c r="F69" s="2" t="s">
        <v>447</v>
      </c>
      <c r="G69" s="2">
        <v>46142</v>
      </c>
      <c r="H69" s="9">
        <v>80359</v>
      </c>
      <c r="I69" s="4"/>
      <c r="J69" s="4" t="s">
        <v>447</v>
      </c>
      <c r="K69" s="7" t="s">
        <v>1204</v>
      </c>
      <c r="L69" s="9" t="s">
        <v>855</v>
      </c>
      <c r="M69" s="9" t="s">
        <v>335</v>
      </c>
      <c r="N69" s="4" t="str">
        <f>VLOOKUP(H69,Clientes!B:D,3,)</f>
        <v>VINLAND CAPITAL MANAGEMENT GESTORA DE RECURSOS LTDA</v>
      </c>
    </row>
    <row r="70" spans="1:14" x14ac:dyDescent="0.25">
      <c r="A70" s="4" t="str">
        <f t="shared" si="2"/>
        <v>DESPESA DE REPRESENTAÇÃO - ALMOÇOTRADERGETULIO TURATTI OST (150858-3688JT</v>
      </c>
      <c r="B70" s="11">
        <v>46113</v>
      </c>
      <c r="C70" s="4">
        <v>817991</v>
      </c>
      <c r="D70" s="1" t="s">
        <v>23</v>
      </c>
      <c r="E70" s="14">
        <v>-983</v>
      </c>
      <c r="F70" s="2" t="s">
        <v>447</v>
      </c>
      <c r="G70" s="2">
        <v>46142</v>
      </c>
      <c r="H70" s="9">
        <v>79956</v>
      </c>
      <c r="I70" s="4"/>
      <c r="J70" s="4" t="s">
        <v>447</v>
      </c>
      <c r="K70" s="7" t="s">
        <v>1205</v>
      </c>
      <c r="L70" s="9" t="s">
        <v>1126</v>
      </c>
      <c r="M70" s="9" t="s">
        <v>335</v>
      </c>
      <c r="N70" s="4" t="str">
        <f>VLOOKUP(H70,Clientes!B:D,3,)</f>
        <v>SUL AMERICA INVESTIMENTOS GESTORA DE RECURSOS S/A</v>
      </c>
    </row>
    <row r="71" spans="1:14" x14ac:dyDescent="0.25">
      <c r="A71" s="4" t="str">
        <f t="shared" si="2"/>
        <v>DESPESA DE REPRESENTAÇÃO - JANTARTRADERIGOR MARQUES (151201-3688JT</v>
      </c>
      <c r="B71" s="11">
        <v>46113</v>
      </c>
      <c r="C71" s="4">
        <v>817991</v>
      </c>
      <c r="D71" s="1" t="s">
        <v>23</v>
      </c>
      <c r="E71" s="14">
        <v>-4115</v>
      </c>
      <c r="F71" s="2" t="s">
        <v>380</v>
      </c>
      <c r="G71" s="2">
        <v>46142</v>
      </c>
      <c r="H71" s="9">
        <v>80769</v>
      </c>
      <c r="I71" s="4"/>
      <c r="J71" s="4" t="s">
        <v>380</v>
      </c>
      <c r="K71" s="7" t="s">
        <v>1206</v>
      </c>
      <c r="L71" s="9" t="s">
        <v>1207</v>
      </c>
      <c r="M71" s="9" t="s">
        <v>335</v>
      </c>
      <c r="N71" s="4" t="str">
        <f>VLOOKUP(H71,Clientes!B:D,3,)</f>
        <v>BANCO XP S/A</v>
      </c>
    </row>
    <row r="72" spans="1:14" x14ac:dyDescent="0.25">
      <c r="A72" s="4" t="str">
        <f t="shared" si="2"/>
        <v>DESPESA DE REPRESENTAÇÃO - ALUGUEL FLAT BROKERJOSE MAURICIO GOMES TEIXEIRA (AGENDA 41195</v>
      </c>
      <c r="B72" s="11">
        <v>46113</v>
      </c>
      <c r="C72" s="4">
        <v>817991</v>
      </c>
      <c r="D72" s="1" t="s">
        <v>23</v>
      </c>
      <c r="E72" s="14">
        <v>-1287.1324999999999</v>
      </c>
      <c r="F72" s="2" t="s">
        <v>422</v>
      </c>
      <c r="G72" s="2">
        <v>46118</v>
      </c>
      <c r="H72" s="9">
        <v>1170</v>
      </c>
      <c r="I72" s="4"/>
      <c r="J72" s="4" t="s">
        <v>425</v>
      </c>
      <c r="K72" s="7" t="s">
        <v>1253</v>
      </c>
      <c r="L72" s="9" t="s">
        <v>23</v>
      </c>
      <c r="M72" s="9" t="s">
        <v>2</v>
      </c>
      <c r="N72" s="4" t="str">
        <f>VLOOKUP(H72,Clientes!B:D,3,)</f>
        <v>BGC LIQUIDEZ DTVM LTDA</v>
      </c>
    </row>
    <row r="73" spans="1:14" x14ac:dyDescent="0.25">
      <c r="A73" s="4" t="str">
        <f t="shared" si="2"/>
        <v>DESPESA DE REPRESENTAÇÃO - CONDOMINIO E IPTU - FLATBROKERJOSE MAURICIO GOMES TEIXEIRA (AGENDA 41195</v>
      </c>
      <c r="B73" s="11">
        <v>46113</v>
      </c>
      <c r="C73" s="4">
        <v>817991</v>
      </c>
      <c r="D73" s="1" t="s">
        <v>23</v>
      </c>
      <c r="E73" s="14">
        <v>-788</v>
      </c>
      <c r="F73" s="2" t="s">
        <v>422</v>
      </c>
      <c r="G73" s="2">
        <v>46118</v>
      </c>
      <c r="H73" s="9">
        <v>1170</v>
      </c>
      <c r="I73" s="4"/>
      <c r="J73" s="4" t="s">
        <v>429</v>
      </c>
      <c r="K73" s="7" t="s">
        <v>1253</v>
      </c>
      <c r="L73" s="9" t="s">
        <v>23</v>
      </c>
      <c r="M73" s="9" t="s">
        <v>2</v>
      </c>
      <c r="N73" s="4" t="str">
        <f>VLOOKUP(H73,Clientes!B:D,3,)</f>
        <v>BGC LIQUIDEZ DTVM LTDA</v>
      </c>
    </row>
    <row r="74" spans="1:14" x14ac:dyDescent="0.25">
      <c r="A74" s="4" t="str">
        <f t="shared" si="2"/>
        <v>DESPESA DE REPRESENTAÇÃO - ALMOÇOCONSULTORACLAUDIA TAVARES FERNANDES (175811-3688MC</v>
      </c>
      <c r="B74" s="11">
        <v>46113</v>
      </c>
      <c r="C74" s="4">
        <v>817991</v>
      </c>
      <c r="D74" s="1" t="s">
        <v>428</v>
      </c>
      <c r="E74" s="14">
        <v>-932.25</v>
      </c>
      <c r="F74" s="2" t="s">
        <v>447</v>
      </c>
      <c r="G74" s="2">
        <v>46121</v>
      </c>
      <c r="H74" s="9">
        <v>80359</v>
      </c>
      <c r="I74" s="4"/>
      <c r="J74" s="4" t="s">
        <v>447</v>
      </c>
      <c r="K74" s="7" t="s">
        <v>1097</v>
      </c>
      <c r="L74" s="9" t="s">
        <v>539</v>
      </c>
      <c r="M74" s="9" t="s">
        <v>654</v>
      </c>
      <c r="N74" s="4" t="str">
        <f>VLOOKUP(H74,Clientes!B:D,3,)</f>
        <v>VINLAND CAPITAL MANAGEMENT GESTORA DE RECURSOS LTDA</v>
      </c>
    </row>
    <row r="75" spans="1:14" x14ac:dyDescent="0.25">
      <c r="A75" s="4" t="str">
        <f t="shared" si="2"/>
        <v>DESPESA DE REPRESENTAÇÃO - JANTAR VARANDA 23/02 COM KIKO CELEGUIMBROKERJOSE ANTONIO DEZENE JUNIOR (AGENDA 41529</v>
      </c>
      <c r="B75" s="11">
        <v>46113</v>
      </c>
      <c r="C75" s="4">
        <v>817991</v>
      </c>
      <c r="D75" s="1" t="s">
        <v>428</v>
      </c>
      <c r="E75" s="14">
        <v>-4574.01</v>
      </c>
      <c r="F75" s="2" t="s">
        <v>380</v>
      </c>
      <c r="G75" s="2">
        <v>46136</v>
      </c>
      <c r="H75" s="9">
        <v>1170</v>
      </c>
      <c r="I75" s="4"/>
      <c r="J75" s="4" t="s">
        <v>1171</v>
      </c>
      <c r="K75" s="7" t="s">
        <v>1172</v>
      </c>
      <c r="L75" s="9" t="s">
        <v>428</v>
      </c>
      <c r="M75" s="9" t="s">
        <v>2</v>
      </c>
      <c r="N75" s="4" t="str">
        <f>VLOOKUP(H75,Clientes!B:D,3,)</f>
        <v>BGC LIQUIDEZ DTVM LTDA</v>
      </c>
    </row>
    <row r="76" spans="1:14" x14ac:dyDescent="0.25">
      <c r="A76" s="4" t="str">
        <f t="shared" si="2"/>
        <v>DESPESA DE REPRESENTAÇÃO - 2/2 COBERTURA FOTOGRÁFICA - KART SALESJOSE ANTONIO DEZENE JUNIOR (AGENDA 40407</v>
      </c>
      <c r="B76" s="11">
        <v>46113</v>
      </c>
      <c r="C76" s="4">
        <v>817991</v>
      </c>
      <c r="D76" s="1" t="s">
        <v>428</v>
      </c>
      <c r="E76" s="14">
        <v>-1940</v>
      </c>
      <c r="F76" s="2" t="s">
        <v>387</v>
      </c>
      <c r="G76" s="2">
        <v>46122</v>
      </c>
      <c r="H76" s="9">
        <v>1170</v>
      </c>
      <c r="I76" s="4"/>
      <c r="J76" s="4" t="s">
        <v>1244</v>
      </c>
      <c r="K76" s="7" t="s">
        <v>1241</v>
      </c>
      <c r="L76" s="9" t="s">
        <v>428</v>
      </c>
      <c r="M76" s="9" t="s">
        <v>468</v>
      </c>
      <c r="N76" s="4" t="str">
        <f>VLOOKUP(H76,Clientes!B:D,3,)</f>
        <v>BGC LIQUIDEZ DTVM LTDA</v>
      </c>
    </row>
    <row r="77" spans="1:14" x14ac:dyDescent="0.25">
      <c r="A77" s="4" t="str">
        <f t="shared" si="2"/>
        <v>DESPESA DE REPRESENTAÇÃO - 2/2 BUFFET AMP RESTAURANTE - KARTSALESJOSE ANTONIO DEZENE JUNIOR (AGENDA 40444</v>
      </c>
      <c r="B77" s="11">
        <v>46113</v>
      </c>
      <c r="C77" s="4">
        <v>817991</v>
      </c>
      <c r="D77" s="1" t="s">
        <v>428</v>
      </c>
      <c r="E77" s="14">
        <v>-11400</v>
      </c>
      <c r="F77" s="2" t="s">
        <v>387</v>
      </c>
      <c r="G77" s="2">
        <v>46118</v>
      </c>
      <c r="H77" s="9">
        <v>1170</v>
      </c>
      <c r="I77" s="4"/>
      <c r="J77" s="4" t="s">
        <v>1243</v>
      </c>
      <c r="K77" s="7" t="s">
        <v>1242</v>
      </c>
      <c r="L77" s="9" t="s">
        <v>428</v>
      </c>
      <c r="M77" s="9" t="s">
        <v>468</v>
      </c>
      <c r="N77" s="4" t="str">
        <f>VLOOKUP(H77,Clientes!B:D,3,)</f>
        <v>BGC LIQUIDEZ DTVM LTDA</v>
      </c>
    </row>
    <row r="78" spans="1:14" x14ac:dyDescent="0.25">
      <c r="A78" s="4" t="str">
        <f t="shared" si="2"/>
        <v>DESPESA DE REPRESENTAÇÃO - ALMOÇO NO ASSADOR COM ADOLFO SACHSIDA NO DIA 24/03SALESJOSE ANTONIO DEZENE JUNIOR (AGENDA 41112</v>
      </c>
      <c r="B78" s="11">
        <v>46113</v>
      </c>
      <c r="C78" s="4">
        <v>817991</v>
      </c>
      <c r="D78" s="1" t="s">
        <v>428</v>
      </c>
      <c r="E78" s="14">
        <v>-7119</v>
      </c>
      <c r="F78" s="2" t="s">
        <v>447</v>
      </c>
      <c r="G78" s="2">
        <v>46120</v>
      </c>
      <c r="H78" s="9">
        <v>1170</v>
      </c>
      <c r="I78" s="4"/>
      <c r="J78" s="4" t="s">
        <v>1247</v>
      </c>
      <c r="K78" s="7" t="s">
        <v>1248</v>
      </c>
      <c r="L78" s="9" t="s">
        <v>428</v>
      </c>
      <c r="M78" s="9" t="s">
        <v>468</v>
      </c>
      <c r="N78" s="4" t="str">
        <f>VLOOKUP(H78,Clientes!B:D,3,)</f>
        <v>BGC LIQUIDEZ DTVM LTDA</v>
      </c>
    </row>
    <row r="79" spans="1:14" x14ac:dyDescent="0.25">
      <c r="A79" s="4" t="str">
        <f t="shared" si="2"/>
        <v>DESPESA DE REPRESENTAÇÃO - CAFÉ DA TARDE COM CLIENTES NO LOUP EM 13/04SALESJOSE ANTONIO DEZENE JUNIOR (AGENDA 41400</v>
      </c>
      <c r="B79" s="11">
        <v>46113</v>
      </c>
      <c r="C79" s="4">
        <v>817991</v>
      </c>
      <c r="D79" s="1" t="s">
        <v>428</v>
      </c>
      <c r="E79" s="14">
        <v>-1130</v>
      </c>
      <c r="F79" s="2" t="s">
        <v>1259</v>
      </c>
      <c r="G79" s="2">
        <v>46125</v>
      </c>
      <c r="H79" s="9">
        <v>1170</v>
      </c>
      <c r="I79" s="4"/>
      <c r="J79" s="4" t="s">
        <v>1260</v>
      </c>
      <c r="K79" s="7" t="s">
        <v>1261</v>
      </c>
      <c r="L79" s="9" t="s">
        <v>428</v>
      </c>
      <c r="M79" s="9" t="s">
        <v>468</v>
      </c>
      <c r="N79" s="4" t="str">
        <f>VLOOKUP(H79,Clientes!B:D,3,)</f>
        <v>BGC LIQUIDEZ DTVM LTDA</v>
      </c>
    </row>
    <row r="80" spans="1:14" x14ac:dyDescent="0.25">
      <c r="A80" s="4" t="str">
        <f t="shared" si="2"/>
        <v>DESPESA DE REPRESENTAÇÃO - CAFÉ DA TARDE COM CLIENTES NO LOUP EM 13/04SALESJOSE ANTONIO DEZENE JUNIOR (AGENDA 41445</v>
      </c>
      <c r="B80" s="11">
        <v>46113</v>
      </c>
      <c r="C80" s="4">
        <v>817991</v>
      </c>
      <c r="D80" s="1" t="s">
        <v>428</v>
      </c>
      <c r="E80" s="14">
        <v>-3164</v>
      </c>
      <c r="F80" s="2" t="s">
        <v>1259</v>
      </c>
      <c r="G80" s="2">
        <v>46127</v>
      </c>
      <c r="H80" s="9">
        <v>1170</v>
      </c>
      <c r="I80" s="4"/>
      <c r="J80" s="4" t="s">
        <v>1260</v>
      </c>
      <c r="K80" s="7" t="s">
        <v>1262</v>
      </c>
      <c r="L80" s="9" t="s">
        <v>428</v>
      </c>
      <c r="M80" s="9" t="s">
        <v>468</v>
      </c>
      <c r="N80" s="4" t="str">
        <f>VLOOKUP(H80,Clientes!B:D,3,)</f>
        <v>BGC LIQUIDEZ DTVM LTDA</v>
      </c>
    </row>
    <row r="81" spans="1:14" x14ac:dyDescent="0.25">
      <c r="A81" s="4" t="str">
        <f t="shared" si="2"/>
        <v>DESPESA DE REPRESENTAÇÃO - RECEPCIONISTA - KARTSALESJOSE ANTONIO DEZENE JUNIOR (AGENDA 41459</v>
      </c>
      <c r="B81" s="11">
        <v>46113</v>
      </c>
      <c r="C81" s="4">
        <v>817991</v>
      </c>
      <c r="D81" s="1" t="s">
        <v>428</v>
      </c>
      <c r="E81" s="14">
        <v>-500</v>
      </c>
      <c r="F81" s="2" t="s">
        <v>387</v>
      </c>
      <c r="G81" s="2">
        <v>46128</v>
      </c>
      <c r="H81" s="9">
        <v>1170</v>
      </c>
      <c r="I81" s="4"/>
      <c r="J81" s="4" t="s">
        <v>1277</v>
      </c>
      <c r="K81" s="7" t="s">
        <v>1278</v>
      </c>
      <c r="L81" s="9" t="s">
        <v>428</v>
      </c>
      <c r="M81" s="9" t="s">
        <v>468</v>
      </c>
      <c r="N81" s="4" t="str">
        <f>VLOOKUP(H81,Clientes!B:D,3,)</f>
        <v>BGC LIQUIDEZ DTVM LTDA</v>
      </c>
    </row>
    <row r="82" spans="1:14" x14ac:dyDescent="0.25">
      <c r="A82" s="4" t="str">
        <f t="shared" si="2"/>
        <v>DESPESA DE REPRESENTAÇÃO - ESTACIONAMENTO JK IGUATEMITRADERFABRICIO TASCHETTO (175139-3688JD</v>
      </c>
      <c r="B82" s="11">
        <v>46113</v>
      </c>
      <c r="C82" s="4">
        <v>817991</v>
      </c>
      <c r="D82" s="1" t="s">
        <v>428</v>
      </c>
      <c r="E82" s="14">
        <v>-42</v>
      </c>
      <c r="F82" s="2" t="s">
        <v>388</v>
      </c>
      <c r="G82" s="2">
        <v>46134</v>
      </c>
      <c r="H82" s="9">
        <v>80667</v>
      </c>
      <c r="I82" s="4"/>
      <c r="J82" s="4" t="s">
        <v>1279</v>
      </c>
      <c r="K82" s="7" t="s">
        <v>1280</v>
      </c>
      <c r="L82" s="9" t="s">
        <v>260</v>
      </c>
      <c r="M82" s="9" t="s">
        <v>335</v>
      </c>
      <c r="N82" s="4" t="str">
        <f>VLOOKUP(H82,Clientes!B:D,3,)</f>
        <v>ACE CAPITAL GESTORA DE RECURSOS LTDA</v>
      </c>
    </row>
    <row r="83" spans="1:14" x14ac:dyDescent="0.25">
      <c r="A83" s="4" t="str">
        <f t="shared" si="2"/>
        <v>DESPESA DE REPRESENTAÇÃO - ESTACIONAMENTO INTERNATIONAL PLAZATRADERFERNANDO SILVEIRA (175636-3688JD</v>
      </c>
      <c r="B83" s="11">
        <v>46113</v>
      </c>
      <c r="C83" s="4">
        <v>817991</v>
      </c>
      <c r="D83" s="1" t="s">
        <v>428</v>
      </c>
      <c r="E83" s="14">
        <v>-42</v>
      </c>
      <c r="F83" s="2" t="s">
        <v>388</v>
      </c>
      <c r="G83" s="2">
        <v>46134</v>
      </c>
      <c r="H83" s="9">
        <v>16705</v>
      </c>
      <c r="I83" s="4"/>
      <c r="J83" s="4" t="s">
        <v>1281</v>
      </c>
      <c r="K83" s="7" t="s">
        <v>1282</v>
      </c>
      <c r="L83" s="9" t="s">
        <v>1283</v>
      </c>
      <c r="M83" s="9" t="s">
        <v>335</v>
      </c>
      <c r="N83" s="4" t="str">
        <f>VLOOKUP(H83,Clientes!B:D,3,)</f>
        <v>BANCO BRADESCO S/A</v>
      </c>
    </row>
    <row r="84" spans="1:14" x14ac:dyDescent="0.25">
      <c r="A84" s="4" t="str">
        <f t="shared" si="2"/>
        <v>DESPESA DE REPRESENTAÇÃO - TAXI PARA REUNIÃO COM CONSUL DE ISRAEL SOBRE A GUERRA NO IRASALESJOSE ANTONIO DEZENE JUNIOR (174143-3688JD</v>
      </c>
      <c r="B84" s="11">
        <v>46113</v>
      </c>
      <c r="C84" s="4">
        <v>817991</v>
      </c>
      <c r="D84" s="1" t="s">
        <v>428</v>
      </c>
      <c r="E84" s="14">
        <v>-55</v>
      </c>
      <c r="F84" s="2" t="s">
        <v>388</v>
      </c>
      <c r="G84" s="2">
        <v>46134</v>
      </c>
      <c r="H84" s="9">
        <v>82787</v>
      </c>
      <c r="I84" s="4"/>
      <c r="J84" s="4" t="s">
        <v>1284</v>
      </c>
      <c r="K84" s="7" t="s">
        <v>1285</v>
      </c>
      <c r="L84" s="9" t="s">
        <v>428</v>
      </c>
      <c r="M84" s="9" t="s">
        <v>468</v>
      </c>
      <c r="N84" s="4" t="str">
        <f>VLOOKUP(H84,Clientes!B:D,3,)</f>
        <v>KAPITALO INVESTIMENTOS LTDA</v>
      </c>
    </row>
    <row r="85" spans="1:14" x14ac:dyDescent="0.25">
      <c r="A85" s="4" t="str">
        <f t="shared" si="2"/>
        <v>DESPESA DE REPRESENTAÇÃO - ESTACIONAMENTO ED.COM.BARÃO DE SERRO AZUL NA AVENIDA PAULISTATRADERSIDNEY YOSHIRIHO (174834-3688JD</v>
      </c>
      <c r="B85" s="11">
        <v>46113</v>
      </c>
      <c r="C85" s="4">
        <v>817991</v>
      </c>
      <c r="D85" s="1" t="s">
        <v>428</v>
      </c>
      <c r="E85" s="14">
        <v>-57</v>
      </c>
      <c r="F85" s="2" t="s">
        <v>388</v>
      </c>
      <c r="G85" s="2">
        <v>46134</v>
      </c>
      <c r="H85" s="9">
        <v>80961</v>
      </c>
      <c r="I85" s="4"/>
      <c r="J85" s="4" t="s">
        <v>1286</v>
      </c>
      <c r="K85" s="7" t="s">
        <v>1287</v>
      </c>
      <c r="L85" s="9" t="s">
        <v>1288</v>
      </c>
      <c r="M85" s="9" t="s">
        <v>335</v>
      </c>
      <c r="N85" s="4" t="str">
        <f>VLOOKUP(H85,Clientes!B:D,3,)</f>
        <v>BANCO CITIBANK S/A</v>
      </c>
    </row>
    <row r="86" spans="1:14" x14ac:dyDescent="0.25">
      <c r="A86" s="4" t="str">
        <f t="shared" si="2"/>
        <v>DESPESA DE REPRESENTAÇÃO - ESTACIONAMENTO AEROPORTO DE CONGONHASSALESJOSE ANTONIO DEZENE JUNIOR (175359-3688JD</v>
      </c>
      <c r="B86" s="11">
        <v>46113</v>
      </c>
      <c r="C86" s="4">
        <v>817991</v>
      </c>
      <c r="D86" s="1" t="s">
        <v>428</v>
      </c>
      <c r="E86" s="14">
        <v>-112</v>
      </c>
      <c r="F86" s="2" t="s">
        <v>388</v>
      </c>
      <c r="G86" s="2">
        <v>46134</v>
      </c>
      <c r="H86" s="9">
        <v>18857</v>
      </c>
      <c r="I86" s="4"/>
      <c r="J86" s="4" t="s">
        <v>1289</v>
      </c>
      <c r="K86" s="7" t="s">
        <v>1290</v>
      </c>
      <c r="L86" s="9" t="s">
        <v>428</v>
      </c>
      <c r="M86" s="9" t="s">
        <v>468</v>
      </c>
      <c r="N86" s="4" t="str">
        <f>VLOOKUP(H86,Clientes!B:D,3,)</f>
        <v>BANCO DO BRASIL S/A</v>
      </c>
    </row>
    <row r="87" spans="1:14" x14ac:dyDescent="0.25">
      <c r="A87" s="4" t="str">
        <f t="shared" si="2"/>
        <v>DESPESA DE REPRESENTAÇÃO - ESTACIONAMENTO AEROPORTO DE CONGONHAS ( REUNIÃO FUNDAÇÃO SÃO FRANCISCO)TRADERGIOVANNA (172154-3688JD</v>
      </c>
      <c r="B87" s="11">
        <v>46113</v>
      </c>
      <c r="C87" s="4">
        <v>817991</v>
      </c>
      <c r="D87" s="1" t="s">
        <v>428</v>
      </c>
      <c r="E87" s="14">
        <v>-120</v>
      </c>
      <c r="F87" s="2" t="s">
        <v>388</v>
      </c>
      <c r="G87" s="2">
        <v>46134</v>
      </c>
      <c r="H87" s="9">
        <v>1170</v>
      </c>
      <c r="I87" s="4"/>
      <c r="J87" s="4" t="s">
        <v>1292</v>
      </c>
      <c r="K87" s="7" t="s">
        <v>1291</v>
      </c>
      <c r="L87" s="9" t="s">
        <v>1293</v>
      </c>
      <c r="M87" s="9" t="s">
        <v>335</v>
      </c>
      <c r="N87" s="4" t="str">
        <f>VLOOKUP(H87,Clientes!B:D,3,)</f>
        <v>BGC LIQUIDEZ DTVM LTDA</v>
      </c>
    </row>
    <row r="88" spans="1:14" x14ac:dyDescent="0.25">
      <c r="A88" s="4" t="str">
        <f t="shared" si="2"/>
        <v>DESPESA DE REPRESENTAÇÃO - ESTACIONAMENTO AEROPORTO DE CONGONHAS ( REUNIÃO FUNDAÇÃO SÃO FRANCISCO)SALESJOSE ANTONIO DEZENE JUNIOR (173142-3688JD</v>
      </c>
      <c r="B88" s="11">
        <v>46113</v>
      </c>
      <c r="C88" s="4">
        <v>817991</v>
      </c>
      <c r="D88" s="1" t="s">
        <v>428</v>
      </c>
      <c r="E88" s="14">
        <v>-784.29</v>
      </c>
      <c r="F88" s="2" t="s">
        <v>388</v>
      </c>
      <c r="G88" s="2">
        <v>46134</v>
      </c>
      <c r="H88" s="9">
        <v>1170</v>
      </c>
      <c r="I88" s="4"/>
      <c r="J88" s="4" t="s">
        <v>1292</v>
      </c>
      <c r="K88" s="7" t="s">
        <v>1294</v>
      </c>
      <c r="L88" s="9" t="s">
        <v>428</v>
      </c>
      <c r="M88" s="9" t="s">
        <v>468</v>
      </c>
      <c r="N88" s="4" t="str">
        <f>VLOOKUP(H88,Clientes!B:D,3,)</f>
        <v>BGC LIQUIDEZ DTVM LTDA</v>
      </c>
    </row>
    <row r="89" spans="1:14" x14ac:dyDescent="0.25">
      <c r="A89" s="4" t="str">
        <f t="shared" si="2"/>
        <v>DESPESA DE REPRESENTAÇÃO - ESTACIONAMENTO AEROPORTO DE CONGONHAS ( REUNIÃO FUNDAÇÃO SÃO FRANCISCO)TRADERBRUNO PAULO (173920-3688JD</v>
      </c>
      <c r="B89" s="11">
        <v>46113</v>
      </c>
      <c r="C89" s="4">
        <v>817991</v>
      </c>
      <c r="D89" s="1" t="s">
        <v>428</v>
      </c>
      <c r="E89" s="14">
        <v>-800.8</v>
      </c>
      <c r="F89" s="2" t="s">
        <v>447</v>
      </c>
      <c r="G89" s="2">
        <v>46134</v>
      </c>
      <c r="H89" s="9">
        <v>83061</v>
      </c>
      <c r="I89" s="4"/>
      <c r="J89" s="4" t="s">
        <v>1292</v>
      </c>
      <c r="K89" s="7" t="s">
        <v>1295</v>
      </c>
      <c r="L89" s="9" t="s">
        <v>622</v>
      </c>
      <c r="M89" s="9" t="s">
        <v>335</v>
      </c>
      <c r="N89" s="4" t="str">
        <f>VLOOKUP(H89,Clientes!B:D,3,)</f>
        <v>SCHONFELD STRATEGIC ADVISORS BRAZIL LTDA.</v>
      </c>
    </row>
    <row r="90" spans="1:14" x14ac:dyDescent="0.25">
      <c r="A90" s="4" t="str">
        <f t="shared" si="2"/>
        <v>DESPESA DE REPRESENTAÇÃO - DUAS VANS - EVENTO KARTSALESJOSE ANTONIO DEZENE JUNIOR (AGENDA 41467</v>
      </c>
      <c r="B90" s="11">
        <v>46113</v>
      </c>
      <c r="C90" s="4">
        <v>817991</v>
      </c>
      <c r="D90" s="1" t="s">
        <v>428</v>
      </c>
      <c r="E90" s="14">
        <v>-2598</v>
      </c>
      <c r="F90" s="2" t="s">
        <v>387</v>
      </c>
      <c r="G90" s="2">
        <v>46129</v>
      </c>
      <c r="H90" s="9">
        <v>1170</v>
      </c>
      <c r="I90" s="4"/>
      <c r="J90" s="4" t="s">
        <v>1318</v>
      </c>
      <c r="K90" s="7" t="s">
        <v>1319</v>
      </c>
      <c r="L90" s="9" t="s">
        <v>428</v>
      </c>
      <c r="M90" s="9" t="s">
        <v>468</v>
      </c>
      <c r="N90" s="4" t="str">
        <f>VLOOKUP(H90,Clientes!B:D,3,)</f>
        <v>BGC LIQUIDEZ DTVM LTDA</v>
      </c>
    </row>
    <row r="91" spans="1:14" x14ac:dyDescent="0.25">
      <c r="A91" s="4" t="str">
        <f t="shared" si="2"/>
        <v>DESPESA DE REPRESENTAÇÃO - UBERSALESMELISSA LEITE FIGUEIREDO ROCHA (E-MAIL 11/05/2026</v>
      </c>
      <c r="B91" s="11">
        <v>46113</v>
      </c>
      <c r="C91" s="4">
        <v>817991</v>
      </c>
      <c r="D91" s="1" t="s">
        <v>428</v>
      </c>
      <c r="E91" s="14">
        <v>-266.73</v>
      </c>
      <c r="F91" s="2" t="s">
        <v>388</v>
      </c>
      <c r="G91" s="2">
        <v>46330</v>
      </c>
      <c r="H91" s="9">
        <v>1170</v>
      </c>
      <c r="I91" s="4"/>
      <c r="J91" s="4" t="s">
        <v>659</v>
      </c>
      <c r="K91" s="7" t="s">
        <v>1332</v>
      </c>
      <c r="L91" s="9" t="s">
        <v>663</v>
      </c>
      <c r="M91" s="9" t="s">
        <v>468</v>
      </c>
      <c r="N91" s="4" t="str">
        <f>VLOOKUP(H91,Clientes!B:D,3,)</f>
        <v>BGC LIQUIDEZ DTVM LTDA</v>
      </c>
    </row>
    <row r="92" spans="1:14" x14ac:dyDescent="0.25">
      <c r="A92" s="4" t="str">
        <f t="shared" si="2"/>
        <v>DESPESA DE REPRESENTAÇÃO - PASSAGEM SÃO PAULO X LONDRESBROKERHAMILTON DEL MONACO FILHO (AGENDA 41309</v>
      </c>
      <c r="B92" s="11">
        <v>46113</v>
      </c>
      <c r="C92" s="4">
        <v>817991</v>
      </c>
      <c r="D92" s="1" t="s">
        <v>1053</v>
      </c>
      <c r="E92" s="14">
        <v>-13157.05</v>
      </c>
      <c r="F92" s="2" t="s">
        <v>388</v>
      </c>
      <c r="G92" s="2">
        <v>46127</v>
      </c>
      <c r="H92" s="9">
        <v>1170</v>
      </c>
      <c r="I92" s="4"/>
      <c r="J92" s="4" t="s">
        <v>1227</v>
      </c>
      <c r="K92" s="7" t="s">
        <v>1092</v>
      </c>
      <c r="L92" s="9" t="s">
        <v>1053</v>
      </c>
      <c r="M92" s="9" t="s">
        <v>2</v>
      </c>
      <c r="N92" s="4" t="str">
        <f>VLOOKUP(H92,Clientes!B:D,3,)</f>
        <v>BGC LIQUIDEZ DTVM LTDA</v>
      </c>
    </row>
    <row r="93" spans="1:14" x14ac:dyDescent="0.25">
      <c r="A93" s="4" t="str">
        <f t="shared" si="2"/>
        <v>DESPESA DE REPRESENTAÇÃO - PASSAGEM LONDRES X AMSTERDAMBROKERHAMILTON DEL MONACO FILHO (AGENDA 41309</v>
      </c>
      <c r="B93" s="11">
        <v>46113</v>
      </c>
      <c r="C93" s="4">
        <v>817991</v>
      </c>
      <c r="D93" s="1" t="s">
        <v>1053</v>
      </c>
      <c r="E93" s="14">
        <v>-734.01</v>
      </c>
      <c r="F93" s="2" t="s">
        <v>388</v>
      </c>
      <c r="G93" s="2">
        <v>46127</v>
      </c>
      <c r="H93" s="9">
        <v>1170</v>
      </c>
      <c r="I93" s="4"/>
      <c r="J93" s="4" t="s">
        <v>1228</v>
      </c>
      <c r="K93" s="7" t="s">
        <v>1092</v>
      </c>
      <c r="L93" s="9" t="s">
        <v>1053</v>
      </c>
      <c r="M93" s="9" t="s">
        <v>2</v>
      </c>
      <c r="N93" s="4" t="str">
        <f>VLOOKUP(H93,Clientes!B:D,3,)</f>
        <v>BGC LIQUIDEZ DTVM LTDA</v>
      </c>
    </row>
    <row r="94" spans="1:14" x14ac:dyDescent="0.25">
      <c r="A94" s="4" t="str">
        <f t="shared" si="2"/>
        <v>DESPESA DE REPRESENTAÇÃO - COMPRA DE ASSENTO VIAGEM PARA LONDRESBROKERHAMILTON DEL MONACO FILHO (AGENDA 41446</v>
      </c>
      <c r="B94" s="11">
        <v>46113</v>
      </c>
      <c r="C94" s="4">
        <v>817991</v>
      </c>
      <c r="D94" s="1" t="s">
        <v>1053</v>
      </c>
      <c r="E94" s="14">
        <v>-1421</v>
      </c>
      <c r="F94" s="2" t="s">
        <v>388</v>
      </c>
      <c r="G94" s="2">
        <v>46134</v>
      </c>
      <c r="H94" s="9">
        <v>1170</v>
      </c>
      <c r="I94" s="4"/>
      <c r="J94" s="4" t="s">
        <v>1229</v>
      </c>
      <c r="K94" s="7" t="s">
        <v>1129</v>
      </c>
      <c r="L94" s="9" t="s">
        <v>1053</v>
      </c>
      <c r="M94" s="9" t="s">
        <v>2</v>
      </c>
      <c r="N94" s="4" t="str">
        <f>VLOOKUP(H94,Clientes!B:D,3,)</f>
        <v>BGC LIQUIDEZ DTVM LTDA</v>
      </c>
    </row>
    <row r="95" spans="1:14" x14ac:dyDescent="0.25">
      <c r="A95" s="4" t="str">
        <f t="shared" si="2"/>
        <v>DESPESA DE REPRESENTAÇÃO - HOSPEDAGEM NO HOTEL SOFITEL LONDON ST JAMESBROKERHAMILTON DEL MONACO FILHO (AGENDA 41543</v>
      </c>
      <c r="B95" s="11">
        <v>46113</v>
      </c>
      <c r="C95" s="4">
        <v>817991</v>
      </c>
      <c r="D95" s="1" t="s">
        <v>1053</v>
      </c>
      <c r="E95" s="14">
        <v>-5170</v>
      </c>
      <c r="F95" s="2" t="s">
        <v>422</v>
      </c>
      <c r="G95" s="2">
        <v>46140</v>
      </c>
      <c r="H95" s="9">
        <v>1170</v>
      </c>
      <c r="I95" s="4"/>
      <c r="J95" s="4" t="s">
        <v>1230</v>
      </c>
      <c r="K95" s="7" t="s">
        <v>1183</v>
      </c>
      <c r="L95" s="9" t="s">
        <v>1053</v>
      </c>
      <c r="M95" s="9" t="s">
        <v>2</v>
      </c>
      <c r="N95" s="4" t="str">
        <f>VLOOKUP(H95,Clientes!B:D,3,)</f>
        <v>BGC LIQUIDEZ DTVM LTDA</v>
      </c>
    </row>
    <row r="96" spans="1:14" x14ac:dyDescent="0.25">
      <c r="A96" s="4" t="str">
        <f t="shared" si="2"/>
        <v>DESPESA DE REPRESENTAÇÃO - HOSPEDAGEM NO HOTEL THE ALFREDBROKERHAMILTON DEL MONACO FILHO (AGENDA 41543</v>
      </c>
      <c r="B96" s="11">
        <v>46113</v>
      </c>
      <c r="C96" s="4">
        <v>817991</v>
      </c>
      <c r="D96" s="1" t="s">
        <v>1053</v>
      </c>
      <c r="E96" s="14">
        <v>-7095</v>
      </c>
      <c r="F96" s="2" t="s">
        <v>422</v>
      </c>
      <c r="G96" s="2">
        <v>46140</v>
      </c>
      <c r="H96" s="9">
        <v>1170</v>
      </c>
      <c r="I96" s="4"/>
      <c r="J96" s="4" t="s">
        <v>1231</v>
      </c>
      <c r="K96" s="7" t="s">
        <v>1183</v>
      </c>
      <c r="L96" s="9" t="s">
        <v>1053</v>
      </c>
      <c r="M96" s="9" t="s">
        <v>2</v>
      </c>
      <c r="N96" s="4" t="str">
        <f>VLOOKUP(H96,Clientes!B:D,3,)</f>
        <v>BGC LIQUIDEZ DTVM LTDA</v>
      </c>
    </row>
    <row r="97" spans="1:14" x14ac:dyDescent="0.25">
      <c r="A97" s="4" t="str">
        <f t="shared" si="2"/>
        <v>DESPESA DE REPRESENTAÇÃO - ALMOÇOTRADERPEDRO NUNES (155140-3688EA</v>
      </c>
      <c r="B97" s="11">
        <v>46113</v>
      </c>
      <c r="C97" s="4">
        <v>817991</v>
      </c>
      <c r="D97" s="1" t="s">
        <v>615</v>
      </c>
      <c r="E97" s="14">
        <v>-1191.3966666666668</v>
      </c>
      <c r="F97" s="2" t="s">
        <v>447</v>
      </c>
      <c r="G97" s="2">
        <v>46114</v>
      </c>
      <c r="H97" s="9">
        <v>80667</v>
      </c>
      <c r="I97" s="4"/>
      <c r="J97" s="4" t="s">
        <v>447</v>
      </c>
      <c r="K97" s="7" t="s">
        <v>1477</v>
      </c>
      <c r="L97" s="9" t="s">
        <v>1067</v>
      </c>
      <c r="M97" s="9" t="s">
        <v>335</v>
      </c>
      <c r="N97" s="4" t="str">
        <f>VLOOKUP(H97,Clientes!B:D,3,)</f>
        <v>ACE CAPITAL GESTORA DE RECURSOS LTDA</v>
      </c>
    </row>
    <row r="98" spans="1:14" x14ac:dyDescent="0.25">
      <c r="A98" s="4" t="str">
        <f t="shared" ref="A98:A129" si="3">CONCATENATE($J$1,J98,$I$3,M98,$I$3,L98,$I$1,K98,$I$2)</f>
        <v>DESPESA DE REPRESENTAÇÃO - COMPRA DE 7 CAMISAS DO BRASIL PARA CLIENTESBROKERGUSTAVO D ELBOUX FERRIELLO (133624-3688RU</v>
      </c>
      <c r="B98" s="11">
        <v>46113</v>
      </c>
      <c r="C98" s="4">
        <v>817991</v>
      </c>
      <c r="D98" s="1" t="s">
        <v>615</v>
      </c>
      <c r="E98" s="14">
        <v>-3085.5</v>
      </c>
      <c r="F98" s="2" t="s">
        <v>389</v>
      </c>
      <c r="G98" s="2">
        <v>46114</v>
      </c>
      <c r="H98" s="9">
        <v>1170</v>
      </c>
      <c r="I98" s="4"/>
      <c r="J98" s="4" t="s">
        <v>1316</v>
      </c>
      <c r="K98" s="7" t="s">
        <v>1071</v>
      </c>
      <c r="L98" s="9" t="s">
        <v>615</v>
      </c>
      <c r="M98" s="9" t="s">
        <v>2</v>
      </c>
      <c r="N98" s="4" t="str">
        <f>VLOOKUP(H98,Clientes!B:D,3,)</f>
        <v>BGC LIQUIDEZ DTVM LTDA</v>
      </c>
    </row>
    <row r="99" spans="1:14" x14ac:dyDescent="0.25">
      <c r="A99" s="4" t="str">
        <f t="shared" si="3"/>
        <v>DESPESA DE REPRESENTAÇÃO - JANTAR TAG INVESTIMENTOSTRADERGUSTAVO (175741-3688GF</v>
      </c>
      <c r="B99" s="11">
        <v>46113</v>
      </c>
      <c r="C99" s="4">
        <v>817991</v>
      </c>
      <c r="D99" s="1" t="s">
        <v>615</v>
      </c>
      <c r="E99" s="14">
        <v>-955.98</v>
      </c>
      <c r="F99" s="2" t="s">
        <v>380</v>
      </c>
      <c r="G99" s="2">
        <v>46128</v>
      </c>
      <c r="H99" s="9">
        <v>1170</v>
      </c>
      <c r="I99" s="4"/>
      <c r="J99" s="4" t="s">
        <v>1114</v>
      </c>
      <c r="K99" s="7" t="s">
        <v>1115</v>
      </c>
      <c r="L99" s="9" t="s">
        <v>1116</v>
      </c>
      <c r="M99" s="9" t="s">
        <v>335</v>
      </c>
      <c r="N99" s="4" t="str">
        <f>VLOOKUP(H99,Clientes!B:D,3,)</f>
        <v>BGC LIQUIDEZ DTVM LTDA</v>
      </c>
    </row>
    <row r="100" spans="1:14" x14ac:dyDescent="0.25">
      <c r="A100" s="4" t="str">
        <f t="shared" si="3"/>
        <v>DESPESA DE REPRESENTAÇÃO - ALMOÇOTRADERGETULIO TURATTI OST (173406-3688CL</v>
      </c>
      <c r="B100" s="11">
        <v>46113</v>
      </c>
      <c r="C100" s="4">
        <v>817991</v>
      </c>
      <c r="D100" s="1" t="s">
        <v>615</v>
      </c>
      <c r="E100" s="14">
        <v>-619.33333333333337</v>
      </c>
      <c r="F100" s="2" t="s">
        <v>447</v>
      </c>
      <c r="G100" s="2">
        <v>46128</v>
      </c>
      <c r="H100" s="9">
        <v>79956</v>
      </c>
      <c r="I100" s="4"/>
      <c r="J100" s="4" t="s">
        <v>447</v>
      </c>
      <c r="K100" s="7" t="s">
        <v>1125</v>
      </c>
      <c r="L100" s="9" t="s">
        <v>1126</v>
      </c>
      <c r="M100" s="9" t="s">
        <v>335</v>
      </c>
      <c r="N100" s="4" t="str">
        <f>VLOOKUP(H100,Clientes!B:D,3,)</f>
        <v>SUL AMERICA INVESTIMENTOS GESTORA DE RECURSOS S/A</v>
      </c>
    </row>
    <row r="101" spans="1:14" x14ac:dyDescent="0.25">
      <c r="A101" s="4" t="str">
        <f t="shared" si="3"/>
        <v>DESPESA DE REPRESENTAÇÃO - ALMOÇOTRADERBRUNO SILVA CARVALHO (173733-3688GF</v>
      </c>
      <c r="B101" s="11">
        <v>46113</v>
      </c>
      <c r="C101" s="4">
        <v>817991</v>
      </c>
      <c r="D101" s="1" t="s">
        <v>615</v>
      </c>
      <c r="E101" s="14">
        <v>-1077.835</v>
      </c>
      <c r="F101" s="2" t="s">
        <v>447</v>
      </c>
      <c r="G101" s="2">
        <v>46128</v>
      </c>
      <c r="H101" s="9">
        <v>82639</v>
      </c>
      <c r="I101" s="4"/>
      <c r="J101" s="4" t="s">
        <v>447</v>
      </c>
      <c r="K101" s="7" t="s">
        <v>1131</v>
      </c>
      <c r="L101" s="9" t="s">
        <v>1082</v>
      </c>
      <c r="M101" s="9" t="s">
        <v>335</v>
      </c>
      <c r="N101" s="4" t="str">
        <f>VLOOKUP(H101,Clientes!B:D,3,)</f>
        <v>SAFRA ASSET CORRETORA DE TITULOS E VALORES MOBILIARIOS S.A.</v>
      </c>
    </row>
    <row r="102" spans="1:14" x14ac:dyDescent="0.25">
      <c r="A102" s="4" t="str">
        <f t="shared" si="3"/>
        <v>DESPESA DE REPRESENTAÇÃO - JANTARTRADERMARCELO BRAGA COVO (174850-3688GF</v>
      </c>
      <c r="B102" s="11">
        <v>46113</v>
      </c>
      <c r="C102" s="4">
        <v>817991</v>
      </c>
      <c r="D102" s="1" t="s">
        <v>615</v>
      </c>
      <c r="E102" s="14">
        <v>-2482.5</v>
      </c>
      <c r="F102" s="2" t="s">
        <v>380</v>
      </c>
      <c r="G102" s="2">
        <v>46128</v>
      </c>
      <c r="H102" s="9">
        <v>80111</v>
      </c>
      <c r="I102" s="4"/>
      <c r="J102" s="4" t="s">
        <v>380</v>
      </c>
      <c r="K102" s="7" t="s">
        <v>1132</v>
      </c>
      <c r="L102" s="9" t="s">
        <v>153</v>
      </c>
      <c r="M102" s="9" t="s">
        <v>335</v>
      </c>
      <c r="N102" s="4" t="str">
        <f>VLOOKUP(H102,Clientes!B:D,3,)</f>
        <v>IBIUNA GESTAO DE RECURSOS LTDA</v>
      </c>
    </row>
    <row r="103" spans="1:14" x14ac:dyDescent="0.25">
      <c r="A103" s="4" t="str">
        <f t="shared" si="3"/>
        <v>DESPESA DE REPRESENTAÇÃO - ALMOÇOTRADERGETULIO  (174431-3688GF</v>
      </c>
      <c r="B103" s="11">
        <v>46113</v>
      </c>
      <c r="C103" s="4">
        <v>817991</v>
      </c>
      <c r="D103" s="1" t="s">
        <v>615</v>
      </c>
      <c r="E103" s="14">
        <v>-1412.5</v>
      </c>
      <c r="F103" s="2" t="s">
        <v>447</v>
      </c>
      <c r="G103" s="2">
        <v>46142</v>
      </c>
      <c r="H103" s="9">
        <v>79258</v>
      </c>
      <c r="I103" s="4"/>
      <c r="J103" s="4" t="s">
        <v>447</v>
      </c>
      <c r="K103" s="7" t="s">
        <v>1198</v>
      </c>
      <c r="L103" s="9" t="s">
        <v>1199</v>
      </c>
      <c r="M103" s="9" t="s">
        <v>335</v>
      </c>
      <c r="N103" s="4" t="str">
        <f>VLOOKUP(H103,Clientes!B:D,3,)</f>
        <v>ITAU UNIBANCO S/A</v>
      </c>
    </row>
    <row r="104" spans="1:14" x14ac:dyDescent="0.25">
      <c r="A104" s="4" t="str">
        <f t="shared" si="3"/>
        <v>DESPESA DE REPRESENTAÇÃO - ALMOÇOTRADERRODOLFO FERRARI (172003-3688GF</v>
      </c>
      <c r="B104" s="11">
        <v>46113</v>
      </c>
      <c r="C104" s="4">
        <v>817991</v>
      </c>
      <c r="D104" s="1" t="s">
        <v>615</v>
      </c>
      <c r="E104" s="14">
        <v>-1801.22</v>
      </c>
      <c r="F104" s="2" t="s">
        <v>447</v>
      </c>
      <c r="G104" s="2">
        <v>46142</v>
      </c>
      <c r="H104" s="9">
        <v>80648</v>
      </c>
      <c r="I104" s="4"/>
      <c r="J104" s="4" t="s">
        <v>447</v>
      </c>
      <c r="K104" s="7" t="s">
        <v>1222</v>
      </c>
      <c r="L104" s="9" t="s">
        <v>1223</v>
      </c>
      <c r="M104" s="9" t="s">
        <v>335</v>
      </c>
      <c r="N104" s="4" t="str">
        <f>VLOOKUP(H104,Clientes!B:D,3,)</f>
        <v>XP GESTAO DE RECURSOS LTDA</v>
      </c>
    </row>
    <row r="105" spans="1:14" x14ac:dyDescent="0.25">
      <c r="A105" s="4" t="str">
        <f t="shared" si="3"/>
        <v>DESPESA DE REPRESENTAÇÃO - ALMOÇOTRADERMATHEUS CRUZ FERNANDES (110019-3688FC</v>
      </c>
      <c r="B105" s="11">
        <v>46113</v>
      </c>
      <c r="C105" s="4">
        <v>817991</v>
      </c>
      <c r="D105" s="1" t="s">
        <v>480</v>
      </c>
      <c r="E105" s="14">
        <v>-333.97</v>
      </c>
      <c r="F105" s="2" t="s">
        <v>447</v>
      </c>
      <c r="G105" s="2">
        <v>46128</v>
      </c>
      <c r="H105" s="9">
        <v>80041</v>
      </c>
      <c r="I105" s="4"/>
      <c r="J105" s="4" t="s">
        <v>447</v>
      </c>
      <c r="K105" s="7" t="s">
        <v>1130</v>
      </c>
      <c r="L105" s="9" t="s">
        <v>403</v>
      </c>
      <c r="M105" s="9" t="s">
        <v>335</v>
      </c>
      <c r="N105" s="4" t="str">
        <f>VLOOKUP(H105,Clientes!B:D,3,)</f>
        <v>HAITONG BANCO DE INVESTIMENTO DO BRASIL S/A</v>
      </c>
    </row>
    <row r="106" spans="1:14" x14ac:dyDescent="0.25">
      <c r="A106" s="4" t="str">
        <f t="shared" si="3"/>
        <v>DESPESA DE REPRESENTAÇÃO - HAPPY HOURTRADERFELIPE  (092129-3688AA</v>
      </c>
      <c r="B106" s="11">
        <v>46113</v>
      </c>
      <c r="C106" s="4">
        <v>817991</v>
      </c>
      <c r="D106" s="1" t="s">
        <v>480</v>
      </c>
      <c r="E106" s="14">
        <v>-662.5</v>
      </c>
      <c r="F106" s="2" t="s">
        <v>387</v>
      </c>
      <c r="G106" s="2">
        <v>46142</v>
      </c>
      <c r="H106" s="9">
        <v>83577</v>
      </c>
      <c r="I106" s="4"/>
      <c r="J106" s="4" t="s">
        <v>485</v>
      </c>
      <c r="K106" s="7" t="s">
        <v>1218</v>
      </c>
      <c r="L106" s="9" t="s">
        <v>1219</v>
      </c>
      <c r="M106" s="9" t="s">
        <v>335</v>
      </c>
      <c r="N106" s="4" t="str">
        <f>VLOOKUP(H106,Clientes!B:D,3,)</f>
        <v>BANCO MIZUHO DO BRASIL S/A</v>
      </c>
    </row>
    <row r="107" spans="1:14" x14ac:dyDescent="0.25">
      <c r="A107" s="4" t="str">
        <f t="shared" si="3"/>
        <v>DESPESA DE REPRESENTAÇÃO - ALMOÇOTRADERANDRE ALBUQUERQUE BAUM (091647-3688FB</v>
      </c>
      <c r="B107" s="11">
        <v>46113</v>
      </c>
      <c r="C107" s="4">
        <v>817991</v>
      </c>
      <c r="D107" s="1" t="s">
        <v>475</v>
      </c>
      <c r="E107" s="14">
        <v>-414.71</v>
      </c>
      <c r="F107" s="2" t="s">
        <v>447</v>
      </c>
      <c r="G107" s="2">
        <v>46128</v>
      </c>
      <c r="H107" s="9">
        <v>12413</v>
      </c>
      <c r="I107" s="4"/>
      <c r="J107" s="4" t="s">
        <v>447</v>
      </c>
      <c r="K107" s="7" t="s">
        <v>1117</v>
      </c>
      <c r="L107" s="9" t="s">
        <v>473</v>
      </c>
      <c r="M107" s="9" t="s">
        <v>335</v>
      </c>
      <c r="N107" s="4" t="str">
        <f>VLOOKUP(H107,Clientes!B:D,3,)</f>
        <v>KAPITALO INVESTIMENTOS LTDA</v>
      </c>
    </row>
    <row r="108" spans="1:14" x14ac:dyDescent="0.25">
      <c r="A108" s="4" t="str">
        <f t="shared" si="3"/>
        <v>DESPESA DE REPRESENTAÇÃO - ALMOÇOTRADERMATHEUS CRUZ FERNANDES (110019-3688FC</v>
      </c>
      <c r="B108" s="11">
        <v>46113</v>
      </c>
      <c r="C108" s="4">
        <v>817991</v>
      </c>
      <c r="D108" s="1" t="s">
        <v>475</v>
      </c>
      <c r="E108" s="14">
        <v>-333.97</v>
      </c>
      <c r="F108" s="2" t="s">
        <v>447</v>
      </c>
      <c r="G108" s="2">
        <v>46128</v>
      </c>
      <c r="H108" s="9">
        <v>80041</v>
      </c>
      <c r="I108" s="4"/>
      <c r="J108" s="4" t="s">
        <v>447</v>
      </c>
      <c r="K108" s="7" t="s">
        <v>1130</v>
      </c>
      <c r="L108" s="9" t="s">
        <v>403</v>
      </c>
      <c r="M108" s="9" t="s">
        <v>335</v>
      </c>
      <c r="N108" s="4" t="str">
        <f>VLOOKUP(H108,Clientes!B:D,3,)</f>
        <v>HAITONG BANCO DE INVESTIMENTO DO BRASIL S/A</v>
      </c>
    </row>
    <row r="109" spans="1:14" x14ac:dyDescent="0.25">
      <c r="A109" s="4" t="str">
        <f t="shared" si="3"/>
        <v>DESPESA DE REPRESENTAÇÃO - ALMOÇOTRADERROMULO MAGALHAES BRASIL (152119-3688FB</v>
      </c>
      <c r="B109" s="11">
        <v>46113</v>
      </c>
      <c r="C109" s="4">
        <v>817991</v>
      </c>
      <c r="D109" s="1" t="s">
        <v>475</v>
      </c>
      <c r="E109" s="14">
        <v>-864.45</v>
      </c>
      <c r="F109" s="2" t="s">
        <v>447</v>
      </c>
      <c r="G109" s="2">
        <v>46128</v>
      </c>
      <c r="H109" s="9">
        <v>79258</v>
      </c>
      <c r="I109" s="4"/>
      <c r="J109" s="4" t="s">
        <v>447</v>
      </c>
      <c r="K109" s="7" t="s">
        <v>1149</v>
      </c>
      <c r="L109" s="9" t="s">
        <v>517</v>
      </c>
      <c r="M109" s="9" t="s">
        <v>335</v>
      </c>
      <c r="N109" s="4" t="str">
        <f>VLOOKUP(H109,Clientes!B:D,3,)</f>
        <v>ITAU UNIBANCO S/A</v>
      </c>
    </row>
    <row r="110" spans="1:14" x14ac:dyDescent="0.25">
      <c r="A110" s="4" t="str">
        <f t="shared" si="3"/>
        <v>DESPESA DE REPRESENTAÇÃO - CITIZENM MIAM BRICKELL HOTELBROKERFELIPE MEIRELLES RACCAH (AGENDA  41258</v>
      </c>
      <c r="B110" s="11">
        <v>46113</v>
      </c>
      <c r="C110" s="4">
        <v>817991</v>
      </c>
      <c r="D110" s="1" t="s">
        <v>632</v>
      </c>
      <c r="E110" s="14">
        <v>-4796</v>
      </c>
      <c r="F110" s="2" t="s">
        <v>422</v>
      </c>
      <c r="G110" s="2">
        <v>46118</v>
      </c>
      <c r="H110" s="9">
        <v>1170</v>
      </c>
      <c r="I110" s="4"/>
      <c r="J110" s="4" t="s">
        <v>1078</v>
      </c>
      <c r="K110" s="7" t="s">
        <v>1079</v>
      </c>
      <c r="L110" s="9" t="s">
        <v>632</v>
      </c>
      <c r="M110" s="9" t="s">
        <v>2</v>
      </c>
      <c r="N110" s="4" t="str">
        <f>VLOOKUP(H110,Clientes!B:D,3,)</f>
        <v>BGC LIQUIDEZ DTVM LTDA</v>
      </c>
    </row>
    <row r="111" spans="1:14" x14ac:dyDescent="0.25">
      <c r="A111" s="4" t="str">
        <f t="shared" si="3"/>
        <v>DESPESA DE REPRESENTAÇÃO - ALMOÇOTRADERANDRE ALBUQUERQUE BAUM (091647-3688FB</v>
      </c>
      <c r="B111" s="11">
        <v>46113</v>
      </c>
      <c r="C111" s="4">
        <v>817991</v>
      </c>
      <c r="D111" s="1" t="s">
        <v>632</v>
      </c>
      <c r="E111" s="14">
        <v>-414.71</v>
      </c>
      <c r="F111" s="2" t="s">
        <v>447</v>
      </c>
      <c r="G111" s="2">
        <v>46128</v>
      </c>
      <c r="H111" s="9">
        <v>12413</v>
      </c>
      <c r="I111" s="4"/>
      <c r="J111" s="4" t="s">
        <v>447</v>
      </c>
      <c r="K111" s="7" t="s">
        <v>1117</v>
      </c>
      <c r="L111" s="9" t="s">
        <v>473</v>
      </c>
      <c r="M111" s="9" t="s">
        <v>335</v>
      </c>
      <c r="N111" s="4" t="str">
        <f>VLOOKUP(H111,Clientes!B:D,3,)</f>
        <v>KAPITALO INVESTIMENTOS LTDA</v>
      </c>
    </row>
    <row r="112" spans="1:14" x14ac:dyDescent="0.25">
      <c r="A112" s="4" t="str">
        <f t="shared" si="3"/>
        <v>DESPESA DE REPRESENTAÇÃO - ALMOÇOTRADERROGERIO MATTEDI FOLSTER (095255-3688FR</v>
      </c>
      <c r="B112" s="11">
        <v>46113</v>
      </c>
      <c r="C112" s="4">
        <v>817991</v>
      </c>
      <c r="D112" s="1" t="s">
        <v>632</v>
      </c>
      <c r="E112" s="14">
        <v>-2071.29</v>
      </c>
      <c r="F112" s="2" t="s">
        <v>447</v>
      </c>
      <c r="G112" s="2">
        <v>46134</v>
      </c>
      <c r="H112" s="9">
        <v>79258</v>
      </c>
      <c r="I112" s="4"/>
      <c r="J112" s="4" t="s">
        <v>447</v>
      </c>
      <c r="K112" s="7" t="s">
        <v>1152</v>
      </c>
      <c r="L112" s="9" t="s">
        <v>1064</v>
      </c>
      <c r="M112" s="9" t="s">
        <v>335</v>
      </c>
      <c r="N112" s="4" t="str">
        <f>VLOOKUP(H112,Clientes!B:D,3,)</f>
        <v>ITAU UNIBANCO S/A</v>
      </c>
    </row>
    <row r="113" spans="1:14" x14ac:dyDescent="0.25">
      <c r="A113" s="4" t="str">
        <f t="shared" si="3"/>
        <v>DESPESA DE REPRESENTAÇÃO - ALMOÇOTRADERRENAN REIMERMENDT  (134126-3688FR</v>
      </c>
      <c r="B113" s="11">
        <v>46113</v>
      </c>
      <c r="C113" s="4">
        <v>817991</v>
      </c>
      <c r="D113" s="1" t="s">
        <v>632</v>
      </c>
      <c r="E113" s="14">
        <v>-606.80999999999995</v>
      </c>
      <c r="F113" s="2" t="s">
        <v>447</v>
      </c>
      <c r="G113" s="2">
        <v>46142</v>
      </c>
      <c r="H113" s="9">
        <v>79258</v>
      </c>
      <c r="I113" s="4"/>
      <c r="J113" s="4" t="s">
        <v>447</v>
      </c>
      <c r="K113" s="7" t="s">
        <v>1196</v>
      </c>
      <c r="L113" s="9" t="s">
        <v>1197</v>
      </c>
      <c r="M113" s="9" t="s">
        <v>335</v>
      </c>
      <c r="N113" s="4" t="str">
        <f>VLOOKUP(H113,Clientes!B:D,3,)</f>
        <v>ITAU UNIBANCO S/A</v>
      </c>
    </row>
    <row r="114" spans="1:14" x14ac:dyDescent="0.25">
      <c r="A114" s="4" t="str">
        <f t="shared" si="3"/>
        <v>DESPESA DE REPRESENTAÇÃO - ALMOÇOTRADERLEONARDO TARALLO (174553-3688FR</v>
      </c>
      <c r="B114" s="11">
        <v>46113</v>
      </c>
      <c r="C114" s="4">
        <v>817991</v>
      </c>
      <c r="D114" s="1" t="s">
        <v>632</v>
      </c>
      <c r="E114" s="14">
        <v>-406.8</v>
      </c>
      <c r="F114" s="2" t="s">
        <v>447</v>
      </c>
      <c r="G114" s="2">
        <v>46142</v>
      </c>
      <c r="H114" s="9">
        <v>12413</v>
      </c>
      <c r="I114" s="4"/>
      <c r="J114" s="4" t="s">
        <v>447</v>
      </c>
      <c r="K114" s="7" t="s">
        <v>1220</v>
      </c>
      <c r="L114" s="9" t="s">
        <v>1221</v>
      </c>
      <c r="M114" s="9" t="s">
        <v>335</v>
      </c>
      <c r="N114" s="4" t="str">
        <f>VLOOKUP(H114,Clientes!B:D,3,)</f>
        <v>KAPITALO INVESTIMENTOS LTDA</v>
      </c>
    </row>
    <row r="115" spans="1:14" x14ac:dyDescent="0.25">
      <c r="A115" s="4" t="str">
        <f t="shared" si="3"/>
        <v>DESPESA DE REPRESENTAÇÃO - ALMOÇO FILIPE SABARÁ E DANILO CAFFAROTRADERDANILO CAFFARO (142203-3688FT</v>
      </c>
      <c r="B115" s="11">
        <v>46113</v>
      </c>
      <c r="C115" s="4">
        <v>817991</v>
      </c>
      <c r="D115" s="16" t="s">
        <v>768</v>
      </c>
      <c r="E115" s="14">
        <v>-1089.32</v>
      </c>
      <c r="F115" s="2" t="s">
        <v>447</v>
      </c>
      <c r="G115" s="2">
        <v>46114</v>
      </c>
      <c r="H115" s="9">
        <v>1170</v>
      </c>
      <c r="I115" s="4" t="s">
        <v>336</v>
      </c>
      <c r="J115" s="4" t="s">
        <v>1059</v>
      </c>
      <c r="K115" s="7" t="s">
        <v>1060</v>
      </c>
      <c r="L115" s="16" t="s">
        <v>1061</v>
      </c>
      <c r="M115" s="9" t="s">
        <v>335</v>
      </c>
      <c r="N115" s="4" t="str">
        <f>VLOOKUP(H115,Clientes!B:D,3,)</f>
        <v>BGC LIQUIDEZ DTVM LTDA</v>
      </c>
    </row>
    <row r="116" spans="1:14" x14ac:dyDescent="0.25">
      <c r="A116" s="4" t="str">
        <f t="shared" si="3"/>
        <v>DESPESA DE REPRESENTAÇÃO - CAFÉ DA MANHÃTRADERRODRIGO SANTANA FERREIRA (141120-3688FT</v>
      </c>
      <c r="B116" s="11">
        <v>46113</v>
      </c>
      <c r="C116" s="4">
        <v>817991</v>
      </c>
      <c r="D116" s="16" t="s">
        <v>768</v>
      </c>
      <c r="E116" s="14">
        <v>-2932.35</v>
      </c>
      <c r="F116" s="2" t="s">
        <v>771</v>
      </c>
      <c r="G116" s="2">
        <v>46114</v>
      </c>
      <c r="H116" s="9">
        <v>14479</v>
      </c>
      <c r="I116" s="4"/>
      <c r="J116" s="4" t="s">
        <v>771</v>
      </c>
      <c r="K116" s="7" t="s">
        <v>1062</v>
      </c>
      <c r="L116" s="9" t="s">
        <v>677</v>
      </c>
      <c r="M116" s="9" t="s">
        <v>335</v>
      </c>
      <c r="N116" s="4" t="str">
        <f>VLOOKUP(H116,Clientes!B:D,3,)</f>
        <v>BANCO SANTANDER (BRASIL) S/A</v>
      </c>
    </row>
    <row r="117" spans="1:14" x14ac:dyDescent="0.25">
      <c r="A117" s="4" t="str">
        <f t="shared" si="3"/>
        <v>DESPESA DE REPRESENTAÇÃO - CAFÉ DA MANHÃTRADERROGERIO MATTEDI FOLSTER (141813-3688FT</v>
      </c>
      <c r="B117" s="11">
        <v>46113</v>
      </c>
      <c r="C117" s="4">
        <v>817991</v>
      </c>
      <c r="D117" s="16" t="s">
        <v>768</v>
      </c>
      <c r="E117" s="14">
        <v>-187.5</v>
      </c>
      <c r="F117" s="2" t="s">
        <v>771</v>
      </c>
      <c r="G117" s="2">
        <v>46114</v>
      </c>
      <c r="H117" s="9">
        <v>80375</v>
      </c>
      <c r="I117" s="4"/>
      <c r="J117" s="4" t="s">
        <v>771</v>
      </c>
      <c r="K117" s="7" t="s">
        <v>1063</v>
      </c>
      <c r="L117" s="9" t="s">
        <v>1064</v>
      </c>
      <c r="M117" s="9" t="s">
        <v>335</v>
      </c>
      <c r="N117" s="4" t="str">
        <f>VLOOKUP(H117,Clientes!B:D,3,)</f>
        <v>ITAU UNIBANCO S/A</v>
      </c>
    </row>
    <row r="118" spans="1:14" x14ac:dyDescent="0.25">
      <c r="A118" s="4" t="str">
        <f t="shared" si="3"/>
        <v>DESPESA DE REPRESENTAÇÃO - PASSAGEM RIO DE JANEIRO X SÃO PAULOBROKERFELIPE DE SA TAVARES (AGENDA 41265</v>
      </c>
      <c r="B118" s="11">
        <v>46113</v>
      </c>
      <c r="C118" s="4">
        <v>817991</v>
      </c>
      <c r="D118" s="1" t="s">
        <v>768</v>
      </c>
      <c r="E118" s="14">
        <v>-1269.4100000000001</v>
      </c>
      <c r="F118" s="2" t="s">
        <v>388</v>
      </c>
      <c r="G118" s="2">
        <v>46122</v>
      </c>
      <c r="H118" s="9">
        <v>1170</v>
      </c>
      <c r="I118" s="4"/>
      <c r="J118" s="4" t="s">
        <v>495</v>
      </c>
      <c r="K118" s="7" t="s">
        <v>1080</v>
      </c>
      <c r="L118" s="9" t="s">
        <v>768</v>
      </c>
      <c r="M118" s="9" t="s">
        <v>2</v>
      </c>
      <c r="N118" s="4" t="str">
        <f>VLOOKUP(H118,Clientes!B:D,3,)</f>
        <v>BGC LIQUIDEZ DTVM LTDA</v>
      </c>
    </row>
    <row r="119" spans="1:14" x14ac:dyDescent="0.25">
      <c r="A119" s="4" t="str">
        <f t="shared" si="3"/>
        <v>DESPESA DE REPRESENTAÇÃO - ALMOÇOTRADERTHOMAS CITRIN (140515-3688FB</v>
      </c>
      <c r="B119" s="11">
        <v>46113</v>
      </c>
      <c r="C119" s="4">
        <v>817991</v>
      </c>
      <c r="D119" s="9" t="s">
        <v>1054</v>
      </c>
      <c r="E119" s="14">
        <v>-1767</v>
      </c>
      <c r="F119" s="2" t="s">
        <v>447</v>
      </c>
      <c r="G119" s="2">
        <v>46128</v>
      </c>
      <c r="H119" s="9">
        <v>81718</v>
      </c>
      <c r="I119" s="4"/>
      <c r="J119" s="4" t="s">
        <v>447</v>
      </c>
      <c r="K119" s="7" t="s">
        <v>1123</v>
      </c>
      <c r="L119" s="9" t="s">
        <v>1124</v>
      </c>
      <c r="M119" s="9" t="s">
        <v>335</v>
      </c>
      <c r="N119" s="4" t="str">
        <f>VLOOKUP(H119,Clientes!B:D,3,)</f>
        <v>QUANTIQUE M3 INVESTMENTS LTDA</v>
      </c>
    </row>
    <row r="120" spans="1:14" x14ac:dyDescent="0.25">
      <c r="A120" s="4" t="str">
        <f t="shared" si="3"/>
        <v>DESPESA DE REPRESENTAÇÃO - COMPRA DE 4 CAMISAS DO BRASIL PARA CLIENTESBROKERFABIO SOARES PFAENDER (133624-3688RU</v>
      </c>
      <c r="B120" s="11">
        <v>46113</v>
      </c>
      <c r="C120" s="4">
        <v>817991</v>
      </c>
      <c r="D120" s="1" t="s">
        <v>503</v>
      </c>
      <c r="E120" s="14">
        <v>-1763.14</v>
      </c>
      <c r="F120" s="2" t="s">
        <v>389</v>
      </c>
      <c r="G120" s="2">
        <v>46114</v>
      </c>
      <c r="H120" s="9">
        <v>1170</v>
      </c>
      <c r="I120" s="4"/>
      <c r="J120" s="4" t="s">
        <v>1315</v>
      </c>
      <c r="K120" s="7" t="s">
        <v>1071</v>
      </c>
      <c r="L120" s="9" t="s">
        <v>503</v>
      </c>
      <c r="M120" s="9" t="s">
        <v>2</v>
      </c>
      <c r="N120" s="4" t="str">
        <f>VLOOKUP(H120,Clientes!B:D,3,)</f>
        <v>BGC LIQUIDEZ DTVM LTDA</v>
      </c>
    </row>
    <row r="121" spans="1:14" x14ac:dyDescent="0.25">
      <c r="A121" s="4" t="str">
        <f t="shared" si="3"/>
        <v>DESPESA DE REPRESENTAÇÃO - PASSAGEM RIO DE JANEIRO X SÃO PAULOCEOERMINIO OLIVI LUCCI (AGENDA 41309</v>
      </c>
      <c r="B121" s="11">
        <v>46113</v>
      </c>
      <c r="C121" s="4">
        <v>817991</v>
      </c>
      <c r="D121" s="1" t="s">
        <v>650</v>
      </c>
      <c r="E121" s="14">
        <v>-1057.24</v>
      </c>
      <c r="F121" s="2" t="s">
        <v>388</v>
      </c>
      <c r="G121" s="2">
        <v>46127</v>
      </c>
      <c r="H121" s="9">
        <v>1170</v>
      </c>
      <c r="I121" s="4"/>
      <c r="J121" s="4" t="s">
        <v>495</v>
      </c>
      <c r="K121" s="7" t="s">
        <v>1092</v>
      </c>
      <c r="L121" s="9" t="s">
        <v>650</v>
      </c>
      <c r="M121" s="9" t="s">
        <v>490</v>
      </c>
      <c r="N121" s="4" t="str">
        <f>VLOOKUP(H121,Clientes!B:D,3,)</f>
        <v>BGC LIQUIDEZ DTVM LTDA</v>
      </c>
    </row>
    <row r="122" spans="1:14" x14ac:dyDescent="0.25">
      <c r="A122" s="4" t="str">
        <f t="shared" si="3"/>
        <v>DESPESA DE REPRESENTAÇÃO - PASSAGEM RIO DE JANEIRO X SÃO PAULOCEOERMINIO OLIVI LUCCI (AGENDA 41310</v>
      </c>
      <c r="B122" s="11">
        <v>46113</v>
      </c>
      <c r="C122" s="4">
        <v>817991</v>
      </c>
      <c r="D122" s="1" t="s">
        <v>650</v>
      </c>
      <c r="E122" s="14">
        <v>-3588.43</v>
      </c>
      <c r="F122" s="2" t="s">
        <v>388</v>
      </c>
      <c r="G122" s="2">
        <v>46127</v>
      </c>
      <c r="H122" s="9">
        <v>1170</v>
      </c>
      <c r="I122" s="4"/>
      <c r="J122" s="4" t="s">
        <v>495</v>
      </c>
      <c r="K122" s="7" t="s">
        <v>1094</v>
      </c>
      <c r="L122" s="9" t="s">
        <v>650</v>
      </c>
      <c r="M122" s="9" t="s">
        <v>490</v>
      </c>
      <c r="N122" s="4" t="str">
        <f>VLOOKUP(H122,Clientes!B:D,3,)</f>
        <v>BGC LIQUIDEZ DTVM LTDA</v>
      </c>
    </row>
    <row r="123" spans="1:14" x14ac:dyDescent="0.25">
      <c r="A123" s="4" t="str">
        <f t="shared" si="3"/>
        <v>DESPESA DE REPRESENTAÇÃO - PASSAGEM SÃO PAULO X MIAMICEOERMINIO OLIVI LUCCI (AGENDA 41643</v>
      </c>
      <c r="B123" s="11">
        <v>46113</v>
      </c>
      <c r="C123" s="4">
        <v>817991</v>
      </c>
      <c r="D123" s="1" t="s">
        <v>650</v>
      </c>
      <c r="E123" s="14">
        <v>-37425.870000000003</v>
      </c>
      <c r="F123" s="2" t="s">
        <v>388</v>
      </c>
      <c r="G123" s="2">
        <v>46142</v>
      </c>
      <c r="H123" s="9">
        <v>1170</v>
      </c>
      <c r="I123" s="4"/>
      <c r="J123" s="4" t="s">
        <v>546</v>
      </c>
      <c r="K123" s="7" t="s">
        <v>1208</v>
      </c>
      <c r="L123" s="9" t="s">
        <v>650</v>
      </c>
      <c r="M123" s="9" t="s">
        <v>490</v>
      </c>
      <c r="N123" s="4" t="str">
        <f>VLOOKUP(H123,Clientes!B:D,3,)</f>
        <v>BGC LIQUIDEZ DTVM LTDA</v>
      </c>
    </row>
    <row r="124" spans="1:14" x14ac:dyDescent="0.25">
      <c r="A124" s="4" t="str">
        <f t="shared" si="3"/>
        <v>DESPESA DE REPRESENTAÇÃO - PRESENTE DE ANIVERSARIO DA SECRETARIA ANNA TAPIASSECRETARIAANNA CAROLINA ABRUNHOSA TAPIAS (AGENDA 41176</v>
      </c>
      <c r="B124" s="11">
        <v>46113</v>
      </c>
      <c r="C124" s="4">
        <v>817991</v>
      </c>
      <c r="D124" s="1" t="s">
        <v>650</v>
      </c>
      <c r="E124" s="14">
        <v>-989.9</v>
      </c>
      <c r="F124" s="2" t="s">
        <v>389</v>
      </c>
      <c r="G124" s="2">
        <v>46114</v>
      </c>
      <c r="H124" s="9">
        <v>1170</v>
      </c>
      <c r="I124" s="4"/>
      <c r="J124" s="4" t="s">
        <v>1249</v>
      </c>
      <c r="K124" s="7" t="s">
        <v>1250</v>
      </c>
      <c r="L124" s="9" t="s">
        <v>1251</v>
      </c>
      <c r="M124" s="9" t="s">
        <v>1252</v>
      </c>
      <c r="N124" s="4" t="str">
        <f>VLOOKUP(H124,Clientes!B:D,3,)</f>
        <v>BGC LIQUIDEZ DTVM LTDA</v>
      </c>
    </row>
    <row r="125" spans="1:14" x14ac:dyDescent="0.25">
      <c r="A125" s="4" t="str">
        <f t="shared" si="3"/>
        <v>DESPESA DE REPRESENTAÇÃO - MENSALIDADE DA ASSOCIAÇÃO AO WTC BUSSINESS CLUBCEOERMINIO OLIVI LUCCI (AGENDA 41241</v>
      </c>
      <c r="B125" s="11">
        <v>46113</v>
      </c>
      <c r="C125" s="4">
        <v>817991</v>
      </c>
      <c r="D125" s="1" t="s">
        <v>650</v>
      </c>
      <c r="E125" s="14">
        <v>-2000</v>
      </c>
      <c r="F125" s="2" t="s">
        <v>389</v>
      </c>
      <c r="G125" s="2">
        <v>46132</v>
      </c>
      <c r="H125" s="9">
        <v>1170</v>
      </c>
      <c r="I125" s="4"/>
      <c r="J125" s="4" t="s">
        <v>507</v>
      </c>
      <c r="K125" s="7" t="s">
        <v>1263</v>
      </c>
      <c r="L125" s="9" t="s">
        <v>650</v>
      </c>
      <c r="M125" s="9" t="s">
        <v>490</v>
      </c>
      <c r="N125" s="4" t="str">
        <f>VLOOKUP(H125,Clientes!B:D,3,)</f>
        <v>BGC LIQUIDEZ DTVM LTDA</v>
      </c>
    </row>
    <row r="126" spans="1:14" x14ac:dyDescent="0.25">
      <c r="A126" s="4" t="str">
        <f t="shared" si="3"/>
        <v>DESPESA DE REPRESENTAÇÃO - HOSPEDAGEM NO HOTEL EM NOVA YORKCEOERMINIO OLIVI LUCCI (AGENDA 41298</v>
      </c>
      <c r="B126" s="11">
        <v>46113</v>
      </c>
      <c r="C126" s="4">
        <v>817991</v>
      </c>
      <c r="D126" s="1" t="s">
        <v>650</v>
      </c>
      <c r="E126" s="14">
        <v>-7853.99</v>
      </c>
      <c r="F126" s="2" t="s">
        <v>422</v>
      </c>
      <c r="G126" s="2">
        <v>46119</v>
      </c>
      <c r="H126" s="9">
        <v>1170</v>
      </c>
      <c r="I126" s="4"/>
      <c r="J126" s="4" t="s">
        <v>1264</v>
      </c>
      <c r="K126" s="7" t="s">
        <v>1274</v>
      </c>
      <c r="L126" s="9" t="s">
        <v>650</v>
      </c>
      <c r="M126" s="9" t="s">
        <v>490</v>
      </c>
      <c r="N126" s="4" t="str">
        <f>VLOOKUP(H126,Clientes!B:D,3,)</f>
        <v>BGC LIQUIDEZ DTVM LTDA</v>
      </c>
    </row>
    <row r="127" spans="1:14" x14ac:dyDescent="0.25">
      <c r="A127" s="4" t="str">
        <f t="shared" si="3"/>
        <v>DESPESA DE REPRESENTAÇÃO - HOSPEDAGEM NO HOTEL EM NOVA YORKCEOERMINIO OLIVI LUCCI (AGENDA 41298</v>
      </c>
      <c r="B127" s="11">
        <v>46113</v>
      </c>
      <c r="C127" s="4">
        <v>817991</v>
      </c>
      <c r="D127" s="1" t="s">
        <v>650</v>
      </c>
      <c r="E127" s="14">
        <v>-3185.14</v>
      </c>
      <c r="F127" s="2" t="s">
        <v>422</v>
      </c>
      <c r="G127" s="2">
        <v>46119</v>
      </c>
      <c r="H127" s="9">
        <v>1170</v>
      </c>
      <c r="I127" s="4"/>
      <c r="J127" s="4" t="s">
        <v>1264</v>
      </c>
      <c r="K127" s="7" t="s">
        <v>1274</v>
      </c>
      <c r="L127" s="9" t="s">
        <v>650</v>
      </c>
      <c r="M127" s="9" t="s">
        <v>490</v>
      </c>
      <c r="N127" s="4" t="str">
        <f>VLOOKUP(H127,Clientes!B:D,3,)</f>
        <v>BGC LIQUIDEZ DTVM LTDA</v>
      </c>
    </row>
    <row r="128" spans="1:14" x14ac:dyDescent="0.25">
      <c r="A128" s="4" t="str">
        <f t="shared" si="3"/>
        <v>DESPESA DE REPRESENTAÇÃO - TAXI RESIDENCIA X AEROPORTO DE GUARULHOSCEOERMINIO OLIVI LUCCI (AGENDA 41298</v>
      </c>
      <c r="B128" s="11">
        <v>46113</v>
      </c>
      <c r="C128" s="4">
        <v>817991</v>
      </c>
      <c r="D128" s="1" t="s">
        <v>650</v>
      </c>
      <c r="E128" s="14">
        <v>-350</v>
      </c>
      <c r="F128" s="2" t="s">
        <v>388</v>
      </c>
      <c r="G128" s="2">
        <v>46119</v>
      </c>
      <c r="H128" s="9">
        <v>1170</v>
      </c>
      <c r="I128" s="4"/>
      <c r="J128" s="4" t="s">
        <v>1265</v>
      </c>
      <c r="K128" s="7" t="s">
        <v>1274</v>
      </c>
      <c r="L128" s="9" t="s">
        <v>650</v>
      </c>
      <c r="M128" s="9" t="s">
        <v>490</v>
      </c>
      <c r="N128" s="4" t="str">
        <f>VLOOKUP(H128,Clientes!B:D,3,)</f>
        <v>BGC LIQUIDEZ DTVM LTDA</v>
      </c>
    </row>
    <row r="129" spans="1:14" x14ac:dyDescent="0.25">
      <c r="A129" s="4" t="str">
        <f t="shared" si="3"/>
        <v>DESPESA DE REPRESENTAÇÃO - COMPRA DE DOLAR NO AEROPORTOCEOERMINIO OLIVI LUCCI (AGENDA 41298</v>
      </c>
      <c r="B129" s="11">
        <v>46113</v>
      </c>
      <c r="C129" s="4">
        <v>817991</v>
      </c>
      <c r="D129" s="1" t="s">
        <v>650</v>
      </c>
      <c r="E129" s="14">
        <v>-1155.06</v>
      </c>
      <c r="F129" s="2" t="s">
        <v>389</v>
      </c>
      <c r="G129" s="2">
        <v>46119</v>
      </c>
      <c r="H129" s="9">
        <v>1170</v>
      </c>
      <c r="I129" s="4"/>
      <c r="J129" s="4" t="s">
        <v>1266</v>
      </c>
      <c r="K129" s="7" t="s">
        <v>1274</v>
      </c>
      <c r="L129" s="9" t="s">
        <v>650</v>
      </c>
      <c r="M129" s="9" t="s">
        <v>490</v>
      </c>
      <c r="N129" s="4" t="str">
        <f>VLOOKUP(H129,Clientes!B:D,3,)</f>
        <v>BGC LIQUIDEZ DTVM LTDA</v>
      </c>
    </row>
    <row r="130" spans="1:14" x14ac:dyDescent="0.25">
      <c r="A130" s="4" t="str">
        <f t="shared" ref="A130:A161" si="4">CONCATENATE($J$1,J130,$I$3,M130,$I$3,L130,$I$1,K130,$I$2)</f>
        <v>DESPESA DE REPRESENTAÇÃO - TAXI AEROPORTO DE GUARULHOS X BGCCEOERMINIO OLIVI LUCCI (AGENDA 41298</v>
      </c>
      <c r="B130" s="11">
        <v>46113</v>
      </c>
      <c r="C130" s="4">
        <v>817991</v>
      </c>
      <c r="D130" s="1" t="s">
        <v>650</v>
      </c>
      <c r="E130" s="14">
        <v>-350</v>
      </c>
      <c r="F130" s="2" t="s">
        <v>388</v>
      </c>
      <c r="G130" s="2">
        <v>46119</v>
      </c>
      <c r="H130" s="9">
        <v>1170</v>
      </c>
      <c r="I130" s="4"/>
      <c r="J130" s="4" t="s">
        <v>1267</v>
      </c>
      <c r="K130" s="7" t="s">
        <v>1274</v>
      </c>
      <c r="L130" s="9" t="s">
        <v>650</v>
      </c>
      <c r="M130" s="9" t="s">
        <v>490</v>
      </c>
      <c r="N130" s="4" t="str">
        <f>VLOOKUP(H130,Clientes!B:D,3,)</f>
        <v>BGC LIQUIDEZ DTVM LTDA</v>
      </c>
    </row>
    <row r="131" spans="1:14" x14ac:dyDescent="0.25">
      <c r="A131" s="4" t="str">
        <f t="shared" si="4"/>
        <v>DESPESA DE REPRESENTAÇÃO - TRANSPORTE EXECUTIVO MENSAL DE MARÇOCEOERMINIO OLIVI LUCCI (AGENDA 41298</v>
      </c>
      <c r="B131" s="11">
        <v>46113</v>
      </c>
      <c r="C131" s="4">
        <v>817991</v>
      </c>
      <c r="D131" s="1" t="s">
        <v>650</v>
      </c>
      <c r="E131" s="14">
        <v>-5100</v>
      </c>
      <c r="F131" s="2" t="s">
        <v>388</v>
      </c>
      <c r="G131" s="2">
        <v>46119</v>
      </c>
      <c r="H131" s="9">
        <v>1170</v>
      </c>
      <c r="I131" s="4"/>
      <c r="J131" s="4" t="s">
        <v>1268</v>
      </c>
      <c r="K131" s="7" t="s">
        <v>1274</v>
      </c>
      <c r="L131" s="9" t="s">
        <v>650</v>
      </c>
      <c r="M131" s="9" t="s">
        <v>490</v>
      </c>
      <c r="N131" s="4" t="str">
        <f>VLOOKUP(H131,Clientes!B:D,3,)</f>
        <v>BGC LIQUIDEZ DTVM LTDA</v>
      </c>
    </row>
    <row r="132" spans="1:14" x14ac:dyDescent="0.25">
      <c r="A132" s="4" t="str">
        <f t="shared" si="4"/>
        <v>DESPESA DE REPRESENTAÇÃO - CAFE DA MANHÃ COM MESA DE FX SPOTCEOERMINIO OLIVI LUCCI (AGENDA 41298</v>
      </c>
      <c r="B132" s="11">
        <v>46113</v>
      </c>
      <c r="C132" s="4">
        <v>817991</v>
      </c>
      <c r="D132" s="1" t="s">
        <v>650</v>
      </c>
      <c r="E132" s="14">
        <v>-251.99</v>
      </c>
      <c r="F132" s="2" t="s">
        <v>771</v>
      </c>
      <c r="G132" s="2">
        <v>46119</v>
      </c>
      <c r="H132" s="9">
        <v>1170</v>
      </c>
      <c r="I132" s="4"/>
      <c r="J132" s="4" t="s">
        <v>1269</v>
      </c>
      <c r="K132" s="7" t="s">
        <v>1274</v>
      </c>
      <c r="L132" s="9" t="s">
        <v>650</v>
      </c>
      <c r="M132" s="9" t="s">
        <v>490</v>
      </c>
      <c r="N132" s="4" t="str">
        <f>VLOOKUP(H132,Clientes!B:D,3,)</f>
        <v>BGC LIQUIDEZ DTVM LTDA</v>
      </c>
    </row>
    <row r="133" spans="1:14" x14ac:dyDescent="0.25">
      <c r="A133" s="4" t="str">
        <f t="shared" si="4"/>
        <v>DESPESA DE REPRESENTAÇÃO - ALMOÇO COM MATHEUS NASSIFCEOERMINIO OLIVI LUCCI (AGENDA 41298</v>
      </c>
      <c r="B133" s="11">
        <v>46113</v>
      </c>
      <c r="C133" s="4">
        <v>817991</v>
      </c>
      <c r="D133" s="1" t="s">
        <v>650</v>
      </c>
      <c r="E133" s="14">
        <v>-369.51</v>
      </c>
      <c r="F133" s="2" t="s">
        <v>447</v>
      </c>
      <c r="G133" s="2">
        <v>46119</v>
      </c>
      <c r="H133" s="9">
        <v>1170</v>
      </c>
      <c r="I133" s="4"/>
      <c r="J133" s="4" t="s">
        <v>1270</v>
      </c>
      <c r="K133" s="7" t="s">
        <v>1274</v>
      </c>
      <c r="L133" s="9" t="s">
        <v>650</v>
      </c>
      <c r="M133" s="9" t="s">
        <v>490</v>
      </c>
      <c r="N133" s="4" t="str">
        <f>VLOOKUP(H133,Clientes!B:D,3,)</f>
        <v>BGC LIQUIDEZ DTVM LTDA</v>
      </c>
    </row>
    <row r="134" spans="1:14" x14ac:dyDescent="0.25">
      <c r="A134" s="4" t="str">
        <f t="shared" si="4"/>
        <v>DESPESA DE REPRESENTAÇÃO - ALMOÇO COM MARCELO SANTOSCEOERMINIO OLIVI LUCCI (AGENDA 41298</v>
      </c>
      <c r="B134" s="11">
        <v>46113</v>
      </c>
      <c r="C134" s="4">
        <v>817991</v>
      </c>
      <c r="D134" s="1" t="s">
        <v>650</v>
      </c>
      <c r="E134" s="14">
        <v>-279.13</v>
      </c>
      <c r="F134" s="2" t="s">
        <v>447</v>
      </c>
      <c r="G134" s="2">
        <v>46119</v>
      </c>
      <c r="H134" s="9">
        <v>1170</v>
      </c>
      <c r="I134" s="4"/>
      <c r="J134" s="4" t="s">
        <v>1271</v>
      </c>
      <c r="K134" s="7" t="s">
        <v>1274</v>
      </c>
      <c r="L134" s="9" t="s">
        <v>650</v>
      </c>
      <c r="M134" s="9" t="s">
        <v>490</v>
      </c>
      <c r="N134" s="4" t="str">
        <f>VLOOKUP(H134,Clientes!B:D,3,)</f>
        <v>BGC LIQUIDEZ DTVM LTDA</v>
      </c>
    </row>
    <row r="135" spans="1:14" x14ac:dyDescent="0.25">
      <c r="A135" s="4" t="str">
        <f t="shared" si="4"/>
        <v>DESPESA DE REPRESENTAÇÃO - ALMOÇO COM ANDRE ACCIOLYCEOERMINIO OLIVI LUCCI (AGENDA 41298</v>
      </c>
      <c r="B135" s="11">
        <v>46113</v>
      </c>
      <c r="C135" s="4">
        <v>817991</v>
      </c>
      <c r="D135" s="1" t="s">
        <v>650</v>
      </c>
      <c r="E135" s="14">
        <v>-326.57</v>
      </c>
      <c r="F135" s="2" t="s">
        <v>447</v>
      </c>
      <c r="G135" s="2">
        <v>46119</v>
      </c>
      <c r="H135" s="9">
        <v>1170</v>
      </c>
      <c r="I135" s="4"/>
      <c r="J135" s="4" t="s">
        <v>1272</v>
      </c>
      <c r="K135" s="7" t="s">
        <v>1274</v>
      </c>
      <c r="L135" s="9" t="s">
        <v>650</v>
      </c>
      <c r="M135" s="9" t="s">
        <v>490</v>
      </c>
      <c r="N135" s="4" t="str">
        <f>VLOOKUP(H135,Clientes!B:D,3,)</f>
        <v>BGC LIQUIDEZ DTVM LTDA</v>
      </c>
    </row>
    <row r="136" spans="1:14" x14ac:dyDescent="0.25">
      <c r="A136" s="4" t="str">
        <f t="shared" si="4"/>
        <v>DESPESA DE REPRESENTAÇÃO - ALMOÇO COM ROBERT SCHARRINGACEOERMINIO OLIVI LUCCI (AGENDA 41298</v>
      </c>
      <c r="B136" s="11">
        <v>46113</v>
      </c>
      <c r="C136" s="4">
        <v>817991</v>
      </c>
      <c r="D136" s="1" t="s">
        <v>650</v>
      </c>
      <c r="E136" s="14">
        <v>-906.71</v>
      </c>
      <c r="F136" s="2" t="s">
        <v>447</v>
      </c>
      <c r="G136" s="2">
        <v>46119</v>
      </c>
      <c r="H136" s="9">
        <v>1170</v>
      </c>
      <c r="I136" s="4"/>
      <c r="J136" s="4" t="s">
        <v>1273</v>
      </c>
      <c r="K136" s="7" t="s">
        <v>1274</v>
      </c>
      <c r="L136" s="9" t="s">
        <v>650</v>
      </c>
      <c r="M136" s="9" t="s">
        <v>490</v>
      </c>
      <c r="N136" s="4" t="str">
        <f>VLOOKUP(H136,Clientes!B:D,3,)</f>
        <v>BGC LIQUIDEZ DTVM LTDA</v>
      </c>
    </row>
    <row r="137" spans="1:14" x14ac:dyDescent="0.25">
      <c r="A137" s="4" t="str">
        <f t="shared" si="4"/>
        <v>DESPESA DE REPRESENTAÇÃO - DEVOLUÇÃO CARTÃO CORPORATIVO - TAXIS FINAIS DE SEMANASCEOERMINIO OLIVI LUCCI (AGENDA 41308</v>
      </c>
      <c r="B137" s="11">
        <v>46113</v>
      </c>
      <c r="C137" s="4">
        <v>817991</v>
      </c>
      <c r="D137" s="1" t="s">
        <v>650</v>
      </c>
      <c r="E137" s="14">
        <v>1763.76</v>
      </c>
      <c r="F137" s="2" t="s">
        <v>388</v>
      </c>
      <c r="G137" s="2">
        <v>46119</v>
      </c>
      <c r="H137" s="9">
        <v>1170</v>
      </c>
      <c r="I137" s="4"/>
      <c r="J137" s="4" t="s">
        <v>1275</v>
      </c>
      <c r="K137" s="7" t="s">
        <v>1276</v>
      </c>
      <c r="L137" s="9" t="s">
        <v>650</v>
      </c>
      <c r="M137" s="9" t="s">
        <v>490</v>
      </c>
      <c r="N137" s="4" t="str">
        <f>VLOOKUP(H137,Clientes!B:D,3,)</f>
        <v>BGC LIQUIDEZ DTVM LTDA</v>
      </c>
    </row>
    <row r="138" spans="1:14" x14ac:dyDescent="0.25">
      <c r="A138" s="4" t="str">
        <f t="shared" si="4"/>
        <v>DESPESA DE REPRESENTAÇÃO - CARTÃO CORPORATIVO NACIONALCEOERMINIO OLIVI LUCCI (AGENDA 41297</v>
      </c>
      <c r="B138" s="11">
        <v>46113</v>
      </c>
      <c r="C138" s="4">
        <v>817991</v>
      </c>
      <c r="D138" s="1" t="s">
        <v>650</v>
      </c>
      <c r="E138" s="14">
        <v>-6471.9</v>
      </c>
      <c r="F138" s="2" t="s">
        <v>389</v>
      </c>
      <c r="G138" s="2">
        <v>46127</v>
      </c>
      <c r="H138" s="9">
        <v>1170</v>
      </c>
      <c r="I138" s="4"/>
      <c r="J138" s="4" t="s">
        <v>984</v>
      </c>
      <c r="K138" s="7" t="s">
        <v>1320</v>
      </c>
      <c r="L138" s="9" t="s">
        <v>650</v>
      </c>
      <c r="M138" s="9" t="s">
        <v>490</v>
      </c>
      <c r="N138" s="4" t="str">
        <f>VLOOKUP(H138,Clientes!B:D,3,)</f>
        <v>BGC LIQUIDEZ DTVM LTDA</v>
      </c>
    </row>
    <row r="139" spans="1:14" x14ac:dyDescent="0.25">
      <c r="A139" s="4" t="str">
        <f t="shared" si="4"/>
        <v>DESPESA DE REPRESENTAÇÃO - CARTÃO CORPORATIVO INTERNACIONALCEOERMINIO OLIVI LUCCI (AGENDA 41297</v>
      </c>
      <c r="B139" s="11">
        <v>46113</v>
      </c>
      <c r="C139" s="4">
        <v>817991</v>
      </c>
      <c r="D139" s="1" t="s">
        <v>650</v>
      </c>
      <c r="E139" s="14">
        <v>-17240.259999999998</v>
      </c>
      <c r="F139" s="2" t="s">
        <v>389</v>
      </c>
      <c r="G139" s="2">
        <v>46127</v>
      </c>
      <c r="H139" s="9">
        <v>1170</v>
      </c>
      <c r="I139" s="4"/>
      <c r="J139" s="4" t="s">
        <v>983</v>
      </c>
      <c r="K139" s="7" t="s">
        <v>1320</v>
      </c>
      <c r="L139" s="9" t="s">
        <v>650</v>
      </c>
      <c r="M139" s="9" t="s">
        <v>490</v>
      </c>
      <c r="N139" s="4" t="str">
        <f>VLOOKUP(H139,Clientes!B:D,3,)</f>
        <v>BGC LIQUIDEZ DTVM LTDA</v>
      </c>
    </row>
    <row r="140" spans="1:14" x14ac:dyDescent="0.25">
      <c r="A140" s="4" t="str">
        <f t="shared" si="4"/>
        <v>DESPESA DE REPRESENTAÇÃO - ALMOÇOTRADERANDRE BENDIT (170805-3688EC</v>
      </c>
      <c r="B140" s="11">
        <v>46113</v>
      </c>
      <c r="C140" s="4">
        <v>817991</v>
      </c>
      <c r="D140" s="1" t="s">
        <v>378</v>
      </c>
      <c r="E140" s="14">
        <v>-1431.2</v>
      </c>
      <c r="F140" s="2" t="s">
        <v>447</v>
      </c>
      <c r="G140" s="2">
        <v>46121</v>
      </c>
      <c r="H140" s="9">
        <v>441000</v>
      </c>
      <c r="I140" s="4"/>
      <c r="J140" s="4" t="s">
        <v>447</v>
      </c>
      <c r="K140" s="7" t="s">
        <v>1086</v>
      </c>
      <c r="L140" s="9" t="s">
        <v>162</v>
      </c>
      <c r="M140" s="9" t="s">
        <v>335</v>
      </c>
      <c r="N140" s="4" t="str">
        <f>VLOOKUP(H140,Clientes!B:D,3,)</f>
        <v>BANCO RABOBANK INTERNATIONAL BRASIL S/A</v>
      </c>
    </row>
    <row r="141" spans="1:14" x14ac:dyDescent="0.25">
      <c r="A141" s="4" t="str">
        <f t="shared" si="4"/>
        <v>DESPESA DE REPRESENTAÇÃO - ALMOÇOTRADERPEDRO NUNES (155140-3688EA</v>
      </c>
      <c r="B141" s="11">
        <v>46113</v>
      </c>
      <c r="C141" s="4">
        <v>817991</v>
      </c>
      <c r="D141" s="1" t="s">
        <v>653</v>
      </c>
      <c r="E141" s="14">
        <v>-1191.3966666666668</v>
      </c>
      <c r="F141" s="2" t="s">
        <v>447</v>
      </c>
      <c r="G141" s="2">
        <v>46114</v>
      </c>
      <c r="H141" s="9">
        <v>80667</v>
      </c>
      <c r="I141" s="4"/>
      <c r="J141" s="4" t="s">
        <v>447</v>
      </c>
      <c r="K141" s="7" t="s">
        <v>1477</v>
      </c>
      <c r="L141" s="9" t="s">
        <v>1067</v>
      </c>
      <c r="M141" s="9" t="s">
        <v>335</v>
      </c>
      <c r="N141" s="4" t="str">
        <f>VLOOKUP(H141,Clientes!B:D,3,)</f>
        <v>ACE CAPITAL GESTORA DE RECURSOS LTDA</v>
      </c>
    </row>
    <row r="142" spans="1:14" x14ac:dyDescent="0.25">
      <c r="A142" s="4" t="str">
        <f t="shared" si="4"/>
        <v>DESPESA DE REPRESENTAÇÃO - COMPRA DE 2 CAMISAS DO BRASIL PARA CLIENTESBROKEREDRAS DURAES D ANUNCIACAO (133624-3688RU</v>
      </c>
      <c r="B142" s="11">
        <v>46113</v>
      </c>
      <c r="C142" s="4">
        <v>817991</v>
      </c>
      <c r="D142" s="1" t="s">
        <v>653</v>
      </c>
      <c r="E142" s="14">
        <v>-881.57</v>
      </c>
      <c r="F142" s="2" t="s">
        <v>389</v>
      </c>
      <c r="G142" s="2">
        <v>46114</v>
      </c>
      <c r="H142" s="9">
        <v>1170</v>
      </c>
      <c r="I142" s="4"/>
      <c r="J142" s="4" t="s">
        <v>1314</v>
      </c>
      <c r="K142" s="7" t="s">
        <v>1071</v>
      </c>
      <c r="L142" s="9" t="s">
        <v>653</v>
      </c>
      <c r="M142" s="9" t="s">
        <v>2</v>
      </c>
      <c r="N142" s="4" t="str">
        <f>VLOOKUP(H142,Clientes!B:D,3,)</f>
        <v>BGC LIQUIDEZ DTVM LTDA</v>
      </c>
    </row>
    <row r="143" spans="1:14" x14ac:dyDescent="0.25">
      <c r="A143" s="4" t="str">
        <f t="shared" si="4"/>
        <v>DESPESA DE REPRESENTAÇÃO - DESPESAS VIAGEM MIAMI E NYBROKERDANIEL TEIXEIRA SIQUEIRA GONÇALVES (173313-3688DG</v>
      </c>
      <c r="B143" s="11">
        <v>46113</v>
      </c>
      <c r="C143" s="4">
        <v>817991</v>
      </c>
      <c r="D143" s="1" t="s">
        <v>516</v>
      </c>
      <c r="E143" s="14">
        <v>-42806.15</v>
      </c>
      <c r="F143" s="2" t="s">
        <v>1056</v>
      </c>
      <c r="G143" s="2">
        <v>46142</v>
      </c>
      <c r="H143" s="9">
        <v>1170</v>
      </c>
      <c r="I143" s="4"/>
      <c r="J143" s="4" t="s">
        <v>1209</v>
      </c>
      <c r="K143" s="7" t="s">
        <v>1210</v>
      </c>
      <c r="L143" s="9" t="s">
        <v>516</v>
      </c>
      <c r="M143" s="9" t="s">
        <v>2</v>
      </c>
      <c r="N143" s="4" t="str">
        <f>VLOOKUP(H143,Clientes!B:D,3,)</f>
        <v>BGC LIQUIDEZ DTVM LTDA</v>
      </c>
    </row>
    <row r="144" spans="1:14" x14ac:dyDescent="0.25">
      <c r="A144" s="4" t="str">
        <f t="shared" si="4"/>
        <v>DESPESA DE REPRESENTAÇÃO - HAPPY HOURTRADERFELIPE  (092129-3688AA</v>
      </c>
      <c r="B144" s="11">
        <v>46113</v>
      </c>
      <c r="C144" s="4">
        <v>817991</v>
      </c>
      <c r="D144" s="1" t="s">
        <v>516</v>
      </c>
      <c r="E144" s="14">
        <v>-662.5</v>
      </c>
      <c r="F144" s="2" t="s">
        <v>387</v>
      </c>
      <c r="G144" s="2">
        <v>46142</v>
      </c>
      <c r="H144" s="9">
        <v>83577</v>
      </c>
      <c r="I144" s="4"/>
      <c r="J144" s="4" t="s">
        <v>485</v>
      </c>
      <c r="K144" s="7" t="s">
        <v>1218</v>
      </c>
      <c r="L144" s="9" t="s">
        <v>1219</v>
      </c>
      <c r="M144" s="9" t="s">
        <v>335</v>
      </c>
      <c r="N144" s="4" t="str">
        <f>VLOOKUP(H144,Clientes!B:D,3,)</f>
        <v>BANCO MIZUHO DO BRASIL S/A</v>
      </c>
    </row>
    <row r="145" spans="1:14" x14ac:dyDescent="0.25">
      <c r="A145" s="4" t="str">
        <f t="shared" si="4"/>
        <v>DESPESA DE REPRESENTAÇÃO - PASSAGEM RIO DE JANEIRO X SÃO PAULOBROKERCLAUDIO DE SOUZA PACINI (AGENDA 41541</v>
      </c>
      <c r="B145" s="11">
        <v>46113</v>
      </c>
      <c r="C145" s="4">
        <v>817991</v>
      </c>
      <c r="D145" s="1" t="s">
        <v>648</v>
      </c>
      <c r="E145" s="14">
        <v>-2081.3000000000002</v>
      </c>
      <c r="F145" s="2" t="s">
        <v>388</v>
      </c>
      <c r="G145" s="2">
        <v>46140</v>
      </c>
      <c r="H145" s="9">
        <v>1170</v>
      </c>
      <c r="I145" s="4"/>
      <c r="J145" s="4" t="s">
        <v>495</v>
      </c>
      <c r="K145" s="7" t="s">
        <v>1178</v>
      </c>
      <c r="L145" s="9" t="s">
        <v>648</v>
      </c>
      <c r="M145" s="9" t="s">
        <v>2</v>
      </c>
      <c r="N145" s="4" t="str">
        <f>VLOOKUP(H145,Clientes!B:D,3,)</f>
        <v>BGC LIQUIDEZ DTVM LTDA</v>
      </c>
    </row>
    <row r="146" spans="1:14" x14ac:dyDescent="0.25">
      <c r="A146" s="4" t="str">
        <f t="shared" si="4"/>
        <v>DESPESA DE REPRESENTAÇÃO - PASSAGEM SÃO PAULO X BRASÍLIACONSULTORACLAUDIA TAVARES FERNANDES (AGENDA 41173</v>
      </c>
      <c r="B146" s="11">
        <v>46113</v>
      </c>
      <c r="C146" s="4">
        <v>817991</v>
      </c>
      <c r="D146" s="16" t="s">
        <v>539</v>
      </c>
      <c r="E146" s="14">
        <v>-1491.13</v>
      </c>
      <c r="F146" s="2" t="s">
        <v>388</v>
      </c>
      <c r="G146" s="2">
        <v>46120</v>
      </c>
      <c r="H146" s="9">
        <v>1170</v>
      </c>
      <c r="I146" s="4"/>
      <c r="J146" s="4" t="s">
        <v>1065</v>
      </c>
      <c r="K146" s="7" t="s">
        <v>1066</v>
      </c>
      <c r="L146" s="16" t="s">
        <v>539</v>
      </c>
      <c r="M146" s="9" t="s">
        <v>654</v>
      </c>
      <c r="N146" s="4" t="str">
        <f>VLOOKUP(H146,Clientes!B:D,3,)</f>
        <v>BGC LIQUIDEZ DTVM LTDA</v>
      </c>
    </row>
    <row r="147" spans="1:14" x14ac:dyDescent="0.25">
      <c r="A147" s="4" t="str">
        <f t="shared" si="4"/>
        <v>DESPESA DE REPRESENTAÇÃO - PASSAGEM BRASILIA X SÃO PAULOCONSULTORACLAUDIA TAVARES FERNANDES (AGENDA 41541</v>
      </c>
      <c r="B147" s="11">
        <v>46113</v>
      </c>
      <c r="C147" s="4">
        <v>817991</v>
      </c>
      <c r="D147" s="1" t="s">
        <v>539</v>
      </c>
      <c r="E147" s="14">
        <v>-1439.85</v>
      </c>
      <c r="F147" s="2" t="s">
        <v>388</v>
      </c>
      <c r="G147" s="2">
        <v>46140</v>
      </c>
      <c r="H147" s="9">
        <v>1170</v>
      </c>
      <c r="I147" s="4"/>
      <c r="J147" s="4" t="s">
        <v>542</v>
      </c>
      <c r="K147" s="7" t="s">
        <v>1178</v>
      </c>
      <c r="L147" s="9" t="s">
        <v>539</v>
      </c>
      <c r="M147" s="9" t="s">
        <v>654</v>
      </c>
      <c r="N147" s="4" t="str">
        <f>VLOOKUP(H147,Clientes!B:D,3,)</f>
        <v>BGC LIQUIDEZ DTVM LTDA</v>
      </c>
    </row>
    <row r="148" spans="1:14" x14ac:dyDescent="0.25">
      <c r="A148" s="4" t="str">
        <f t="shared" si="4"/>
        <v>DESPESA DE REPRESENTAÇÃO - HOSPEDAGEM RADISSON BLU SÃO PAULOCONSULTORACLAUDIA TAVARES FERNANDES (AGENDA 41542</v>
      </c>
      <c r="B148" s="11">
        <v>46113</v>
      </c>
      <c r="C148" s="4">
        <v>817991</v>
      </c>
      <c r="D148" s="1" t="s">
        <v>539</v>
      </c>
      <c r="E148" s="14">
        <v>-4057.2</v>
      </c>
      <c r="F148" s="2" t="s">
        <v>422</v>
      </c>
      <c r="G148" s="2">
        <v>46140</v>
      </c>
      <c r="H148" s="9">
        <v>1170</v>
      </c>
      <c r="I148" s="4"/>
      <c r="J148" s="4" t="s">
        <v>1179</v>
      </c>
      <c r="K148" s="7" t="s">
        <v>1180</v>
      </c>
      <c r="L148" s="9" t="s">
        <v>539</v>
      </c>
      <c r="M148" s="9" t="s">
        <v>654</v>
      </c>
      <c r="N148" s="4" t="str">
        <f>VLOOKUP(H148,Clientes!B:D,3,)</f>
        <v>BGC LIQUIDEZ DTVM LTDA</v>
      </c>
    </row>
    <row r="149" spans="1:14" x14ac:dyDescent="0.25">
      <c r="A149" s="4" t="str">
        <f t="shared" si="4"/>
        <v>DESPESA DE REPRESENTAÇÃO - ALMOÇOTRADERPEDRO NUNES (155140-3688EA</v>
      </c>
      <c r="B149" s="11">
        <v>46113</v>
      </c>
      <c r="C149" s="4">
        <v>817991</v>
      </c>
      <c r="D149" s="1" t="s">
        <v>60</v>
      </c>
      <c r="E149" s="14">
        <v>-1191.3966666666668</v>
      </c>
      <c r="F149" s="2" t="s">
        <v>447</v>
      </c>
      <c r="G149" s="2">
        <v>46114</v>
      </c>
      <c r="H149" s="9">
        <v>80667</v>
      </c>
      <c r="I149" s="4"/>
      <c r="J149" s="4" t="s">
        <v>447</v>
      </c>
      <c r="K149" s="7" t="s">
        <v>1477</v>
      </c>
      <c r="L149" s="9" t="s">
        <v>1067</v>
      </c>
      <c r="M149" s="9" t="s">
        <v>335</v>
      </c>
      <c r="N149" s="4" t="str">
        <f>VLOOKUP(H149,Clientes!B:D,3,)</f>
        <v>ACE CAPITAL GESTORA DE RECURSOS LTDA</v>
      </c>
    </row>
    <row r="150" spans="1:14" x14ac:dyDescent="0.25">
      <c r="A150" s="4" t="str">
        <f t="shared" si="4"/>
        <v>DESPESA DE REPRESENTAÇÃO - JANTARTRADERNORBERTO SUZIGAN FONSECA ALVES (172658-3688CL</v>
      </c>
      <c r="B150" s="11">
        <v>46113</v>
      </c>
      <c r="C150" s="4">
        <v>817991</v>
      </c>
      <c r="D150" s="1" t="s">
        <v>60</v>
      </c>
      <c r="E150" s="14">
        <v>-1293</v>
      </c>
      <c r="F150" s="2" t="s">
        <v>380</v>
      </c>
      <c r="G150" s="2">
        <v>46114</v>
      </c>
      <c r="H150" s="9">
        <v>81344</v>
      </c>
      <c r="I150" s="4"/>
      <c r="J150" s="4" t="s">
        <v>380</v>
      </c>
      <c r="K150" s="7" t="s">
        <v>1068</v>
      </c>
      <c r="L150" s="9" t="s">
        <v>710</v>
      </c>
      <c r="M150" s="9" t="s">
        <v>335</v>
      </c>
      <c r="N150" s="4" t="str">
        <f>VLOOKUP(H150,Clientes!B:D,3,)</f>
        <v>TENAX CAPITAL LTDA</v>
      </c>
    </row>
    <row r="151" spans="1:14" x14ac:dyDescent="0.25">
      <c r="A151" s="4" t="str">
        <f t="shared" si="4"/>
        <v>DESPESA DE REPRESENTAÇÃO - JANTARTRADERLUCAS CARRASCO (174115-3688CL</v>
      </c>
      <c r="B151" s="11">
        <v>46113</v>
      </c>
      <c r="C151" s="4">
        <v>817991</v>
      </c>
      <c r="D151" s="1" t="s">
        <v>60</v>
      </c>
      <c r="E151" s="14">
        <v>-2297</v>
      </c>
      <c r="F151" s="2" t="s">
        <v>380</v>
      </c>
      <c r="G151" s="2">
        <v>46114</v>
      </c>
      <c r="H151" s="9">
        <v>80386</v>
      </c>
      <c r="I151" s="4"/>
      <c r="J151" s="4" t="s">
        <v>380</v>
      </c>
      <c r="K151" s="7" t="s">
        <v>1069</v>
      </c>
      <c r="L151" s="9" t="s">
        <v>1070</v>
      </c>
      <c r="M151" s="9" t="s">
        <v>335</v>
      </c>
      <c r="N151" s="4" t="str">
        <f>VLOOKUP(H151,Clientes!B:D,3,)</f>
        <v>LEGACY CAPITAL GESTORA DE RECURSOS LTDA</v>
      </c>
    </row>
    <row r="152" spans="1:14" x14ac:dyDescent="0.25">
      <c r="A152" s="4" t="str">
        <f t="shared" si="4"/>
        <v>DESPESA DE REPRESENTAÇÃO - PASSAGEM RIO DE JANEIRO X SÃO PAULOBROKERCHRISTIANO MARCONDES DE BARROS LIMA (AGENDA 41221</v>
      </c>
      <c r="B152" s="11">
        <v>46113</v>
      </c>
      <c r="C152" s="4">
        <v>817991</v>
      </c>
      <c r="D152" s="1" t="s">
        <v>60</v>
      </c>
      <c r="E152" s="14">
        <v>-1368.91</v>
      </c>
      <c r="F152" s="2" t="s">
        <v>388</v>
      </c>
      <c r="G152" s="2">
        <v>46127</v>
      </c>
      <c r="H152" s="9">
        <v>1170</v>
      </c>
      <c r="I152" s="4"/>
      <c r="J152" s="4" t="s">
        <v>495</v>
      </c>
      <c r="K152" s="7" t="s">
        <v>1074</v>
      </c>
      <c r="L152" s="9" t="s">
        <v>60</v>
      </c>
      <c r="M152" s="9" t="s">
        <v>2</v>
      </c>
      <c r="N152" s="4" t="str">
        <f>VLOOKUP(H152,Clientes!B:D,3,)</f>
        <v>BGC LIQUIDEZ DTVM LTDA</v>
      </c>
    </row>
    <row r="153" spans="1:14" x14ac:dyDescent="0.25">
      <c r="A153" s="4" t="str">
        <f t="shared" si="4"/>
        <v>DESPESA DE REPRESENTAÇÃO - PASSAGEM RIO DE JANEIRO X SÃO PAULOBROKERRODRIGO ZARKO VITAL BRASIL (AGENDA 41221</v>
      </c>
      <c r="B153" s="11">
        <v>46113</v>
      </c>
      <c r="C153" s="4">
        <v>817991</v>
      </c>
      <c r="D153" s="1" t="s">
        <v>60</v>
      </c>
      <c r="E153" s="14">
        <v>-1358.22</v>
      </c>
      <c r="F153" s="2" t="s">
        <v>388</v>
      </c>
      <c r="G153" s="2">
        <v>46127</v>
      </c>
      <c r="H153" s="9">
        <v>1170</v>
      </c>
      <c r="I153" s="4"/>
      <c r="J153" s="4" t="s">
        <v>495</v>
      </c>
      <c r="K153" s="7" t="s">
        <v>1074</v>
      </c>
      <c r="L153" s="9" t="s">
        <v>672</v>
      </c>
      <c r="M153" s="9" t="s">
        <v>2</v>
      </c>
      <c r="N153" s="4" t="str">
        <f>VLOOKUP(H153,Clientes!B:D,3,)</f>
        <v>BGC LIQUIDEZ DTVM LTDA</v>
      </c>
    </row>
    <row r="154" spans="1:14" x14ac:dyDescent="0.25">
      <c r="A154" s="4" t="str">
        <f t="shared" si="4"/>
        <v>DESPESA DE REPRESENTAÇÃO - PASSAGEM RIO DE JANEIRO X SÃO PAULOBROKERCHRISTIANO MARCONDES DE BARROS LIMA (AGENDA 41221</v>
      </c>
      <c r="B154" s="11">
        <v>46113</v>
      </c>
      <c r="C154" s="4">
        <v>817991</v>
      </c>
      <c r="D154" s="1" t="s">
        <v>60</v>
      </c>
      <c r="E154" s="14">
        <v>-455.71</v>
      </c>
      <c r="F154" s="2" t="s">
        <v>388</v>
      </c>
      <c r="G154" s="2">
        <v>46127</v>
      </c>
      <c r="H154" s="9">
        <v>1170</v>
      </c>
      <c r="I154" s="4"/>
      <c r="J154" s="4" t="s">
        <v>495</v>
      </c>
      <c r="K154" s="7" t="s">
        <v>1074</v>
      </c>
      <c r="L154" s="9" t="s">
        <v>60</v>
      </c>
      <c r="M154" s="9" t="s">
        <v>2</v>
      </c>
      <c r="N154" s="4" t="str">
        <f>VLOOKUP(H154,Clientes!B:D,3,)</f>
        <v>BGC LIQUIDEZ DTVM LTDA</v>
      </c>
    </row>
    <row r="155" spans="1:14" x14ac:dyDescent="0.25">
      <c r="A155" s="4" t="str">
        <f t="shared" si="4"/>
        <v>DESPESA DE REPRESENTAÇÃO - PASSAGEM RIO DE JANEIRO X SÃO PAULOBROKERCHRISTIANO MARCONDES DE BARROS LIMA (AGENDA 41221</v>
      </c>
      <c r="B155" s="11">
        <v>46113</v>
      </c>
      <c r="C155" s="4">
        <v>817991</v>
      </c>
      <c r="D155" s="1" t="s">
        <v>60</v>
      </c>
      <c r="E155" s="14">
        <v>-385.9</v>
      </c>
      <c r="F155" s="2" t="s">
        <v>388</v>
      </c>
      <c r="G155" s="2">
        <v>46127</v>
      </c>
      <c r="H155" s="9">
        <v>1170</v>
      </c>
      <c r="I155" s="4"/>
      <c r="J155" s="4" t="s">
        <v>495</v>
      </c>
      <c r="K155" s="7" t="s">
        <v>1074</v>
      </c>
      <c r="L155" s="9" t="s">
        <v>60</v>
      </c>
      <c r="M155" s="9" t="s">
        <v>2</v>
      </c>
      <c r="N155" s="4" t="str">
        <f>VLOOKUP(H155,Clientes!B:D,3,)</f>
        <v>BGC LIQUIDEZ DTVM LTDA</v>
      </c>
    </row>
    <row r="156" spans="1:14" x14ac:dyDescent="0.25">
      <c r="A156" s="4" t="str">
        <f t="shared" si="4"/>
        <v>DESPESA DE REPRESENTAÇÃO - PASSAGEM RIO DE JANEIRO X SÃO PAULOBROKERRODRIGO ZARKO VITAL BRASIL (AGENDA 41221</v>
      </c>
      <c r="B156" s="11">
        <v>46113</v>
      </c>
      <c r="C156" s="4">
        <v>817991</v>
      </c>
      <c r="D156" s="1" t="s">
        <v>60</v>
      </c>
      <c r="E156" s="14">
        <v>-496.98</v>
      </c>
      <c r="F156" s="2" t="s">
        <v>388</v>
      </c>
      <c r="G156" s="2">
        <v>46127</v>
      </c>
      <c r="H156" s="9">
        <v>1170</v>
      </c>
      <c r="I156" s="4"/>
      <c r="J156" s="4" t="s">
        <v>495</v>
      </c>
      <c r="K156" s="7" t="s">
        <v>1074</v>
      </c>
      <c r="L156" s="9" t="s">
        <v>672</v>
      </c>
      <c r="M156" s="9" t="s">
        <v>2</v>
      </c>
      <c r="N156" s="4" t="str">
        <f>VLOOKUP(H156,Clientes!B:D,3,)</f>
        <v>BGC LIQUIDEZ DTVM LTDA</v>
      </c>
    </row>
    <row r="157" spans="1:14" x14ac:dyDescent="0.25">
      <c r="A157" s="4" t="str">
        <f t="shared" si="4"/>
        <v>DESPESA DE REPRESENTAÇÃO - ALMOÇOTRADERBRUNO SILVA CARVALHO (170438-3688CL</v>
      </c>
      <c r="B157" s="11">
        <v>46113</v>
      </c>
      <c r="C157" s="4">
        <v>817991</v>
      </c>
      <c r="D157" s="1" t="s">
        <v>60</v>
      </c>
      <c r="E157" s="14">
        <v>-1227</v>
      </c>
      <c r="F157" s="2" t="s">
        <v>447</v>
      </c>
      <c r="G157" s="2">
        <v>46121</v>
      </c>
      <c r="H157" s="9">
        <v>82639</v>
      </c>
      <c r="I157" s="4"/>
      <c r="J157" s="4" t="s">
        <v>447</v>
      </c>
      <c r="K157" s="7" t="s">
        <v>1081</v>
      </c>
      <c r="L157" s="9" t="s">
        <v>1082</v>
      </c>
      <c r="M157" s="9" t="s">
        <v>335</v>
      </c>
      <c r="N157" s="4" t="str">
        <f>VLOOKUP(H157,Clientes!B:D,3,)</f>
        <v>SAFRA ASSET CORRETORA DE TITULOS E VALORES MOBILIARIOS S.A.</v>
      </c>
    </row>
    <row r="158" spans="1:14" x14ac:dyDescent="0.25">
      <c r="A158" s="4" t="str">
        <f t="shared" si="4"/>
        <v>DESPESA DE REPRESENTAÇÃO - ALMOÇOTRADERRICARDO SANTOS DE F NOVAES (170617-3688CL</v>
      </c>
      <c r="B158" s="11">
        <v>46113</v>
      </c>
      <c r="C158" s="4">
        <v>817991</v>
      </c>
      <c r="D158" s="1" t="s">
        <v>60</v>
      </c>
      <c r="E158" s="14">
        <v>-1635</v>
      </c>
      <c r="F158" s="2" t="s">
        <v>447</v>
      </c>
      <c r="G158" s="2">
        <v>46121</v>
      </c>
      <c r="H158" s="9">
        <v>80375</v>
      </c>
      <c r="I158" s="4"/>
      <c r="J158" s="4" t="s">
        <v>447</v>
      </c>
      <c r="K158" s="7" t="s">
        <v>1095</v>
      </c>
      <c r="L158" s="9" t="s">
        <v>1096</v>
      </c>
      <c r="M158" s="9" t="s">
        <v>335</v>
      </c>
      <c r="N158" s="4" t="str">
        <f>VLOOKUP(H158,Clientes!B:D,3,)</f>
        <v>ITAU UNIBANCO S/A</v>
      </c>
    </row>
    <row r="159" spans="1:14" x14ac:dyDescent="0.25">
      <c r="A159" s="4" t="str">
        <f t="shared" si="4"/>
        <v>DESPESA DE REPRESENTAÇÃO - ALMOÇOTRADERGETULIO TURATTI OST (173406-3688CL</v>
      </c>
      <c r="B159" s="11">
        <v>46113</v>
      </c>
      <c r="C159" s="4">
        <v>817991</v>
      </c>
      <c r="D159" s="1" t="s">
        <v>60</v>
      </c>
      <c r="E159" s="14">
        <v>-619.33333333333337</v>
      </c>
      <c r="F159" s="2" t="s">
        <v>447</v>
      </c>
      <c r="G159" s="2">
        <v>46128</v>
      </c>
      <c r="H159" s="9">
        <v>79956</v>
      </c>
      <c r="I159" s="4"/>
      <c r="J159" s="4" t="s">
        <v>447</v>
      </c>
      <c r="K159" s="7" t="s">
        <v>1125</v>
      </c>
      <c r="L159" s="9" t="s">
        <v>1126</v>
      </c>
      <c r="M159" s="9" t="s">
        <v>335</v>
      </c>
      <c r="N159" s="4" t="str">
        <f>VLOOKUP(H159,Clientes!B:D,3,)</f>
        <v>SUL AMERICA INVESTIMENTOS GESTORA DE RECURSOS S/A</v>
      </c>
    </row>
    <row r="160" spans="1:14" x14ac:dyDescent="0.25">
      <c r="A160" s="4" t="str">
        <f t="shared" si="4"/>
        <v>DESPESA DE REPRESENTAÇÃO - JANTARTRADERMARCELO BRAGA COVO (145333-3688CL</v>
      </c>
      <c r="B160" s="11">
        <v>46113</v>
      </c>
      <c r="C160" s="4">
        <v>817991</v>
      </c>
      <c r="D160" s="1" t="s">
        <v>60</v>
      </c>
      <c r="E160" s="14">
        <v>-2775</v>
      </c>
      <c r="F160" s="2" t="s">
        <v>380</v>
      </c>
      <c r="G160" s="2">
        <v>46128</v>
      </c>
      <c r="H160" s="9">
        <v>80111</v>
      </c>
      <c r="I160" s="4"/>
      <c r="J160" s="4" t="s">
        <v>380</v>
      </c>
      <c r="K160" s="7" t="s">
        <v>1127</v>
      </c>
      <c r="L160" s="9" t="s">
        <v>153</v>
      </c>
      <c r="M160" s="9" t="s">
        <v>335</v>
      </c>
      <c r="N160" s="4" t="str">
        <f>VLOOKUP(H160,Clientes!B:D,3,)</f>
        <v>IBIUNA GESTAO DE RECURSOS LTDA</v>
      </c>
    </row>
    <row r="161" spans="1:14" x14ac:dyDescent="0.25">
      <c r="A161" s="4" t="str">
        <f t="shared" si="4"/>
        <v>DESPESA DE REPRESENTAÇÃO - PASSAGEM RIO DE JANEIRO X SÃO PAULOBROKERCHRISTIANO MARCONDES DE BARROS LIMA (AGENDA 41506</v>
      </c>
      <c r="B161" s="11">
        <v>46113</v>
      </c>
      <c r="C161" s="4">
        <v>817991</v>
      </c>
      <c r="D161" s="1" t="s">
        <v>60</v>
      </c>
      <c r="E161" s="14">
        <v>-630.17999999999995</v>
      </c>
      <c r="F161" s="2" t="s">
        <v>388</v>
      </c>
      <c r="G161" s="2">
        <v>46142</v>
      </c>
      <c r="H161" s="9">
        <v>1170</v>
      </c>
      <c r="I161" s="4"/>
      <c r="J161" s="4" t="s">
        <v>495</v>
      </c>
      <c r="K161" s="7" t="s">
        <v>1151</v>
      </c>
      <c r="L161" s="9" t="s">
        <v>60</v>
      </c>
      <c r="M161" s="9" t="s">
        <v>2</v>
      </c>
      <c r="N161" s="4" t="str">
        <f>VLOOKUP(H161,Clientes!B:D,3,)</f>
        <v>BGC LIQUIDEZ DTVM LTDA</v>
      </c>
    </row>
    <row r="162" spans="1:14" x14ac:dyDescent="0.25">
      <c r="A162" s="4" t="str">
        <f t="shared" ref="A162:A193" si="5">CONCATENATE($J$1,J162,$I$3,M162,$I$3,L162,$I$1,K162,$I$2)</f>
        <v>DESPESA DE REPRESENTAÇÃO - PASSAGEM RIO DE JANEIRO X SÃO PAULOBROKERMATHEUS DE MORAES NASCIMENTO  (AGENDA 41506</v>
      </c>
      <c r="B162" s="11">
        <v>46113</v>
      </c>
      <c r="C162" s="4">
        <v>817991</v>
      </c>
      <c r="D162" s="1" t="s">
        <v>60</v>
      </c>
      <c r="E162" s="14">
        <v>-596.16</v>
      </c>
      <c r="F162" s="2" t="s">
        <v>388</v>
      </c>
      <c r="G162" s="2">
        <v>46142</v>
      </c>
      <c r="H162" s="9">
        <v>1170</v>
      </c>
      <c r="I162" s="4"/>
      <c r="J162" s="4" t="s">
        <v>495</v>
      </c>
      <c r="K162" s="7" t="s">
        <v>1151</v>
      </c>
      <c r="L162" s="9" t="s">
        <v>1055</v>
      </c>
      <c r="M162" s="9" t="s">
        <v>2</v>
      </c>
      <c r="N162" s="4" t="str">
        <f>VLOOKUP(H162,Clientes!B:D,3,)</f>
        <v>BGC LIQUIDEZ DTVM LTDA</v>
      </c>
    </row>
    <row r="163" spans="1:14" x14ac:dyDescent="0.25">
      <c r="A163" s="4" t="str">
        <f t="shared" si="5"/>
        <v>DESPESA DE REPRESENTAÇÃO - PASSAGEM RIO DE JANEIRO X SÃO PAULOBROKERMATHEUS DE MORAES NASCIMENTO  (AGENDA 41506</v>
      </c>
      <c r="B163" s="11">
        <v>46113</v>
      </c>
      <c r="C163" s="4">
        <v>817991</v>
      </c>
      <c r="D163" s="1" t="s">
        <v>60</v>
      </c>
      <c r="E163" s="14">
        <v>-619.34</v>
      </c>
      <c r="F163" s="2" t="s">
        <v>388</v>
      </c>
      <c r="G163" s="2">
        <v>46142</v>
      </c>
      <c r="H163" s="9">
        <v>1170</v>
      </c>
      <c r="I163" s="4"/>
      <c r="J163" s="4" t="s">
        <v>495</v>
      </c>
      <c r="K163" s="7" t="s">
        <v>1151</v>
      </c>
      <c r="L163" s="9" t="s">
        <v>1055</v>
      </c>
      <c r="M163" s="9" t="s">
        <v>2</v>
      </c>
      <c r="N163" s="4" t="str">
        <f>VLOOKUP(H163,Clientes!B:D,3,)</f>
        <v>BGC LIQUIDEZ DTVM LTDA</v>
      </c>
    </row>
    <row r="164" spans="1:14" x14ac:dyDescent="0.25">
      <c r="A164" s="4" t="str">
        <f t="shared" si="5"/>
        <v>DESPESA DE REPRESENTAÇÃO - ALUGUEL FLAT BROKERCHRISTIANO MARCONDES DE BARROS LIMA (AGENDA 41195</v>
      </c>
      <c r="B164" s="11">
        <v>46113</v>
      </c>
      <c r="C164" s="4">
        <v>817991</v>
      </c>
      <c r="D164" s="1" t="s">
        <v>60</v>
      </c>
      <c r="E164" s="14">
        <v>-1287.1324999999999</v>
      </c>
      <c r="F164" s="2" t="s">
        <v>422</v>
      </c>
      <c r="G164" s="2">
        <v>46118</v>
      </c>
      <c r="H164" s="9">
        <v>1170</v>
      </c>
      <c r="I164" s="4"/>
      <c r="J164" s="4" t="s">
        <v>425</v>
      </c>
      <c r="K164" s="7" t="s">
        <v>1253</v>
      </c>
      <c r="L164" s="9" t="s">
        <v>60</v>
      </c>
      <c r="M164" s="9" t="s">
        <v>2</v>
      </c>
      <c r="N164" s="4" t="str">
        <f>VLOOKUP(H164,Clientes!B:D,3,)</f>
        <v>BGC LIQUIDEZ DTVM LTDA</v>
      </c>
    </row>
    <row r="165" spans="1:14" x14ac:dyDescent="0.25">
      <c r="A165" s="4" t="str">
        <f t="shared" si="5"/>
        <v>DESPESA DE REPRESENTAÇÃO - CONDOMINIO E IPTU - FLATBROKERCHRISTIANO MARCONDES DE BARROS LIMA (AGENDA 41195</v>
      </c>
      <c r="B165" s="11">
        <v>46113</v>
      </c>
      <c r="C165" s="4">
        <v>817991</v>
      </c>
      <c r="D165" s="1" t="s">
        <v>60</v>
      </c>
      <c r="E165" s="14">
        <v>-788</v>
      </c>
      <c r="F165" s="2" t="s">
        <v>422</v>
      </c>
      <c r="G165" s="2">
        <v>46118</v>
      </c>
      <c r="H165" s="9">
        <v>1170</v>
      </c>
      <c r="I165" s="4"/>
      <c r="J165" s="4" t="s">
        <v>429</v>
      </c>
      <c r="K165" s="7" t="s">
        <v>1253</v>
      </c>
      <c r="L165" s="9" t="s">
        <v>60</v>
      </c>
      <c r="M165" s="9" t="s">
        <v>2</v>
      </c>
      <c r="N165" s="4" t="str">
        <f>VLOOKUP(H165,Clientes!B:D,3,)</f>
        <v>BGC LIQUIDEZ DTVM LTDA</v>
      </c>
    </row>
    <row r="166" spans="1:14" x14ac:dyDescent="0.25">
      <c r="A166" s="4" t="str">
        <f t="shared" si="5"/>
        <v>DESPESA DE REPRESENTAÇÃO - HAPPY HOURTRADERFILIPE FERREIRA (153503-3688CB</v>
      </c>
      <c r="B166" s="11">
        <v>46113</v>
      </c>
      <c r="C166" s="4">
        <v>817991</v>
      </c>
      <c r="D166" s="1" t="s">
        <v>132</v>
      </c>
      <c r="E166" s="14">
        <v>-4090.6</v>
      </c>
      <c r="F166" s="2" t="s">
        <v>387</v>
      </c>
      <c r="G166" s="2">
        <v>46142</v>
      </c>
      <c r="H166" s="9">
        <v>79258</v>
      </c>
      <c r="I166" s="4"/>
      <c r="J166" s="4" t="s">
        <v>485</v>
      </c>
      <c r="K166" s="7" t="s">
        <v>1214</v>
      </c>
      <c r="L166" s="9" t="s">
        <v>1215</v>
      </c>
      <c r="M166" s="9" t="s">
        <v>335</v>
      </c>
      <c r="N166" s="4" t="str">
        <f>VLOOKUP(H166,Clientes!B:D,3,)</f>
        <v>ITAU UNIBANCO S/A</v>
      </c>
    </row>
    <row r="167" spans="1:14" x14ac:dyDescent="0.25">
      <c r="A167" s="4" t="str">
        <f t="shared" si="5"/>
        <v>DESPESA DE REPRESENTAÇÃO - ALMOÇOTRADERGETULIO TURATTI OST (173406-3688CL</v>
      </c>
      <c r="B167" s="11">
        <v>46113</v>
      </c>
      <c r="C167" s="4">
        <v>817991</v>
      </c>
      <c r="D167" s="1" t="s">
        <v>993</v>
      </c>
      <c r="E167" s="14">
        <v>-619.33333333333337</v>
      </c>
      <c r="F167" s="2" t="s">
        <v>447</v>
      </c>
      <c r="G167" s="2">
        <v>46128</v>
      </c>
      <c r="H167" s="9">
        <v>79956</v>
      </c>
      <c r="I167" s="4"/>
      <c r="J167" s="4" t="s">
        <v>447</v>
      </c>
      <c r="K167" s="7" t="s">
        <v>1125</v>
      </c>
      <c r="L167" s="9" t="s">
        <v>1126</v>
      </c>
      <c r="M167" s="9" t="s">
        <v>335</v>
      </c>
      <c r="N167" s="4" t="str">
        <f>VLOOKUP(H167,Clientes!B:D,3,)</f>
        <v>SUL AMERICA INVESTIMENTOS GESTORA DE RECURSOS S/A</v>
      </c>
    </row>
    <row r="168" spans="1:14" x14ac:dyDescent="0.25">
      <c r="A168" s="4" t="str">
        <f t="shared" si="5"/>
        <v>DESPESA DE REPRESENTAÇÃO - ALMOÇOTRADERBRUNO SILVA CARVALHO (173733-3688GF</v>
      </c>
      <c r="B168" s="11">
        <v>46113</v>
      </c>
      <c r="C168" s="4">
        <v>817991</v>
      </c>
      <c r="D168" s="1" t="s">
        <v>993</v>
      </c>
      <c r="E168" s="14">
        <v>-1077.835</v>
      </c>
      <c r="F168" s="2" t="s">
        <v>447</v>
      </c>
      <c r="G168" s="2">
        <v>46128</v>
      </c>
      <c r="H168" s="9">
        <v>82639</v>
      </c>
      <c r="I168" s="4"/>
      <c r="J168" s="4" t="s">
        <v>447</v>
      </c>
      <c r="K168" s="7" t="s">
        <v>1131</v>
      </c>
      <c r="L168" s="9" t="s">
        <v>1082</v>
      </c>
      <c r="M168" s="9" t="s">
        <v>335</v>
      </c>
      <c r="N168" s="4" t="str">
        <f>VLOOKUP(H168,Clientes!B:D,3,)</f>
        <v>SAFRA ASSET CORRETORA DE TITULOS E VALORES MOBILIARIOS S.A.</v>
      </c>
    </row>
    <row r="169" spans="1:14" x14ac:dyDescent="0.25">
      <c r="A169" s="4" t="str">
        <f t="shared" si="5"/>
        <v>DESPESA DE REPRESENTAÇÃO - EVENTO MIAMI COM DANIEL LEAL DO TESOURO NACIONALECONOMISTADANIEL CARDOSO LEAL (114608-3688RR</v>
      </c>
      <c r="B169" s="11">
        <v>46113</v>
      </c>
      <c r="C169" s="4">
        <v>817991</v>
      </c>
      <c r="D169" s="1" t="s">
        <v>558</v>
      </c>
      <c r="E169" s="14">
        <v>-1098.49</v>
      </c>
      <c r="F169" s="2" t="s">
        <v>766</v>
      </c>
      <c r="G169" s="2">
        <v>46134</v>
      </c>
      <c r="H169" s="9">
        <v>1170</v>
      </c>
      <c r="I169" s="4"/>
      <c r="J169" s="4" t="s">
        <v>1296</v>
      </c>
      <c r="K169" s="7" t="s">
        <v>1297</v>
      </c>
      <c r="L169" s="9" t="s">
        <v>985</v>
      </c>
      <c r="M169" s="9" t="s">
        <v>551</v>
      </c>
      <c r="N169" s="4" t="str">
        <f>VLOOKUP(H169,Clientes!B:D,3,)</f>
        <v>BGC LIQUIDEZ DTVM LTDA</v>
      </c>
    </row>
    <row r="170" spans="1:14" x14ac:dyDescent="0.25">
      <c r="A170" s="4" t="str">
        <f t="shared" si="5"/>
        <v>DESPESA DE REPRESENTAÇÃO - EVENTO MIAMI COM DANIEL LEAL DO TESOURO NACIONALECONOMISTADANIEL CARDOSO LEAL (114142-3688RR</v>
      </c>
      <c r="B170" s="11">
        <v>46113</v>
      </c>
      <c r="C170" s="4">
        <v>817991</v>
      </c>
      <c r="D170" s="1" t="s">
        <v>558</v>
      </c>
      <c r="E170" s="14">
        <v>-218.12</v>
      </c>
      <c r="F170" s="2" t="s">
        <v>766</v>
      </c>
      <c r="G170" s="2">
        <v>46134</v>
      </c>
      <c r="H170" s="9">
        <v>1170</v>
      </c>
      <c r="I170" s="4"/>
      <c r="J170" s="4" t="s">
        <v>1296</v>
      </c>
      <c r="K170" s="7" t="s">
        <v>1298</v>
      </c>
      <c r="L170" s="9" t="s">
        <v>985</v>
      </c>
      <c r="M170" s="9" t="s">
        <v>551</v>
      </c>
      <c r="N170" s="4" t="str">
        <f>VLOOKUP(H170,Clientes!B:D,3,)</f>
        <v>BGC LIQUIDEZ DTVM LTDA</v>
      </c>
    </row>
    <row r="171" spans="1:14" x14ac:dyDescent="0.25">
      <c r="A171" s="4" t="str">
        <f t="shared" si="5"/>
        <v>DESPESA DE REPRESENTAÇÃO - EVENTO MIAMI COM DANIEL LEAL DO TESOURO NACIONALECONOMISTADANIEL CARDOSO LEAL (114505-3688RR</v>
      </c>
      <c r="B171" s="11">
        <v>46113</v>
      </c>
      <c r="C171" s="4">
        <v>817991</v>
      </c>
      <c r="D171" s="1" t="s">
        <v>558</v>
      </c>
      <c r="E171" s="14">
        <v>-278.58999999999997</v>
      </c>
      <c r="F171" s="2" t="s">
        <v>766</v>
      </c>
      <c r="G171" s="2">
        <v>46134</v>
      </c>
      <c r="H171" s="9">
        <v>1170</v>
      </c>
      <c r="I171" s="4"/>
      <c r="J171" s="4" t="s">
        <v>1296</v>
      </c>
      <c r="K171" s="7" t="s">
        <v>1299</v>
      </c>
      <c r="L171" s="9" t="s">
        <v>985</v>
      </c>
      <c r="M171" s="9" t="s">
        <v>551</v>
      </c>
      <c r="N171" s="4" t="str">
        <f>VLOOKUP(H171,Clientes!B:D,3,)</f>
        <v>BGC LIQUIDEZ DTVM LTDA</v>
      </c>
    </row>
    <row r="172" spans="1:14" x14ac:dyDescent="0.25">
      <c r="A172" s="4" t="str">
        <f t="shared" si="5"/>
        <v>DESPESA DE REPRESENTAÇÃO - EVENTO MIAMI COM DANIEL LEAL DO TESOURO NACIONALECONOMISTADANIEL CARDOSO LEAL (114011-3688RR</v>
      </c>
      <c r="B172" s="11">
        <v>46113</v>
      </c>
      <c r="C172" s="4">
        <v>817991</v>
      </c>
      <c r="D172" s="1" t="s">
        <v>558</v>
      </c>
      <c r="E172" s="14">
        <v>-309</v>
      </c>
      <c r="F172" s="2" t="s">
        <v>766</v>
      </c>
      <c r="G172" s="2">
        <v>46134</v>
      </c>
      <c r="H172" s="9">
        <v>1170</v>
      </c>
      <c r="I172" s="4"/>
      <c r="J172" s="4" t="s">
        <v>1296</v>
      </c>
      <c r="K172" s="7" t="s">
        <v>1300</v>
      </c>
      <c r="L172" s="9" t="s">
        <v>985</v>
      </c>
      <c r="M172" s="9" t="s">
        <v>551</v>
      </c>
      <c r="N172" s="4" t="str">
        <f>VLOOKUP(H172,Clientes!B:D,3,)</f>
        <v>BGC LIQUIDEZ DTVM LTDA</v>
      </c>
    </row>
    <row r="173" spans="1:14" x14ac:dyDescent="0.25">
      <c r="A173" s="4" t="str">
        <f t="shared" si="5"/>
        <v>DESPESA DE REPRESENTAÇÃO - EVENTO MIAMI COM DANIEL LEAL DO TESOURO NACIONALECONOMISTADANIEL CARDOSO LEAL (113902-3688RR</v>
      </c>
      <c r="B173" s="11">
        <v>46113</v>
      </c>
      <c r="C173" s="4">
        <v>817991</v>
      </c>
      <c r="D173" s="1" t="s">
        <v>558</v>
      </c>
      <c r="E173" s="14">
        <v>-407.84</v>
      </c>
      <c r="F173" s="2" t="s">
        <v>766</v>
      </c>
      <c r="G173" s="2">
        <v>46134</v>
      </c>
      <c r="H173" s="9">
        <v>1170</v>
      </c>
      <c r="I173" s="4"/>
      <c r="J173" s="4" t="s">
        <v>1296</v>
      </c>
      <c r="K173" s="7" t="s">
        <v>1301</v>
      </c>
      <c r="L173" s="9" t="s">
        <v>985</v>
      </c>
      <c r="M173" s="9" t="s">
        <v>551</v>
      </c>
      <c r="N173" s="4" t="str">
        <f>VLOOKUP(H173,Clientes!B:D,3,)</f>
        <v>BGC LIQUIDEZ DTVM LTDA</v>
      </c>
    </row>
    <row r="174" spans="1:14" x14ac:dyDescent="0.25">
      <c r="A174" s="4" t="str">
        <f t="shared" si="5"/>
        <v>DESPESA DE REPRESENTAÇÃO - EVENTO MIAMI COM DANIEL LEAL DO TESOURO NACIONALECONOMISTADANIEL CARDOSO LEAL (114745-3688RR</v>
      </c>
      <c r="B174" s="11">
        <v>46113</v>
      </c>
      <c r="C174" s="4">
        <v>817991</v>
      </c>
      <c r="D174" s="1" t="s">
        <v>558</v>
      </c>
      <c r="E174" s="14">
        <v>-630.28</v>
      </c>
      <c r="F174" s="2" t="s">
        <v>766</v>
      </c>
      <c r="G174" s="2">
        <v>46134</v>
      </c>
      <c r="H174" s="9">
        <v>1170</v>
      </c>
      <c r="I174" s="4"/>
      <c r="J174" s="4" t="s">
        <v>1296</v>
      </c>
      <c r="K174" s="7" t="s">
        <v>1302</v>
      </c>
      <c r="L174" s="9" t="s">
        <v>985</v>
      </c>
      <c r="M174" s="9" t="s">
        <v>551</v>
      </c>
      <c r="N174" s="4" t="str">
        <f>VLOOKUP(H174,Clientes!B:D,3,)</f>
        <v>BGC LIQUIDEZ DTVM LTDA</v>
      </c>
    </row>
    <row r="175" spans="1:14" x14ac:dyDescent="0.25">
      <c r="A175" s="4" t="str">
        <f t="shared" si="5"/>
        <v>DESPESA DE REPRESENTAÇÃO - EVENTO MIAMI COM DANIEL LEAL DO TESOURO NACIONALECONOMISTADANIEL CARDOSO LEAL (115645-3688RR</v>
      </c>
      <c r="B175" s="11">
        <v>46113</v>
      </c>
      <c r="C175" s="4">
        <v>817991</v>
      </c>
      <c r="D175" s="1" t="s">
        <v>558</v>
      </c>
      <c r="E175" s="14">
        <v>-196.35</v>
      </c>
      <c r="F175" s="2" t="s">
        <v>447</v>
      </c>
      <c r="G175" s="2">
        <v>46134</v>
      </c>
      <c r="H175" s="9">
        <v>1170</v>
      </c>
      <c r="I175" s="4"/>
      <c r="J175" s="4" t="s">
        <v>1296</v>
      </c>
      <c r="K175" s="7" t="s">
        <v>1321</v>
      </c>
      <c r="L175" s="9" t="s">
        <v>985</v>
      </c>
      <c r="M175" s="9" t="s">
        <v>551</v>
      </c>
      <c r="N175" s="4" t="str">
        <f>VLOOKUP(H175,Clientes!B:D,3,)</f>
        <v>BGC LIQUIDEZ DTVM LTDA</v>
      </c>
    </row>
    <row r="176" spans="1:14" x14ac:dyDescent="0.25">
      <c r="A176" s="4" t="str">
        <f t="shared" si="5"/>
        <v>DESPESA DE REPRESENTAÇÃO - EVENTO MIAMI COM DANIEL LEAL DO TESOURO NACIONALECONOMISTADANIEL CARDOSO LEAL (115208-3688RR</v>
      </c>
      <c r="B176" s="11">
        <v>46113</v>
      </c>
      <c r="C176" s="4">
        <v>817991</v>
      </c>
      <c r="D176" s="1" t="s">
        <v>558</v>
      </c>
      <c r="E176" s="14">
        <v>-1542.75</v>
      </c>
      <c r="F176" s="2" t="s">
        <v>766</v>
      </c>
      <c r="G176" s="2">
        <v>46134</v>
      </c>
      <c r="H176" s="9">
        <v>1170</v>
      </c>
      <c r="I176" s="4"/>
      <c r="J176" s="4" t="s">
        <v>1296</v>
      </c>
      <c r="K176" s="7" t="s">
        <v>1303</v>
      </c>
      <c r="L176" s="9" t="s">
        <v>985</v>
      </c>
      <c r="M176" s="9" t="s">
        <v>551</v>
      </c>
      <c r="N176" s="4" t="str">
        <f>VLOOKUP(H176,Clientes!B:D,3,)</f>
        <v>BGC LIQUIDEZ DTVM LTDA</v>
      </c>
    </row>
    <row r="177" spans="1:14" x14ac:dyDescent="0.25">
      <c r="A177" s="4" t="str">
        <f t="shared" si="5"/>
        <v>DESPESA DE REPRESENTAÇÃO - EVENTO MIAMI COM DANIEL LEAL DO TESOURO NACIONALECONOMISTADANIEL CARDOSO LEAL (113242-3688RR</v>
      </c>
      <c r="B177" s="11">
        <v>46113</v>
      </c>
      <c r="C177" s="4">
        <v>817991</v>
      </c>
      <c r="D177" s="1" t="s">
        <v>558</v>
      </c>
      <c r="E177" s="14">
        <v>-3646.8</v>
      </c>
      <c r="F177" s="2" t="s">
        <v>766</v>
      </c>
      <c r="G177" s="2">
        <v>46134</v>
      </c>
      <c r="H177" s="9">
        <v>1170</v>
      </c>
      <c r="I177" s="4"/>
      <c r="J177" s="4" t="s">
        <v>1296</v>
      </c>
      <c r="K177" s="7" t="s">
        <v>1304</v>
      </c>
      <c r="L177" s="9" t="s">
        <v>985</v>
      </c>
      <c r="M177" s="9" t="s">
        <v>551</v>
      </c>
      <c r="N177" s="4" t="str">
        <f>VLOOKUP(H177,Clientes!B:D,3,)</f>
        <v>BGC LIQUIDEZ DTVM LTDA</v>
      </c>
    </row>
    <row r="178" spans="1:14" x14ac:dyDescent="0.25">
      <c r="A178" s="4" t="str">
        <f t="shared" si="5"/>
        <v>DESPESA DE REPRESENTAÇÃO - EVENTO MIAMI COM DANIEL LEAL DO TESOURO NACIONALECONOMISTADANIEL CARDOSO LEAL (115750-3688RR</v>
      </c>
      <c r="B178" s="11">
        <v>46113</v>
      </c>
      <c r="C178" s="4">
        <v>817991</v>
      </c>
      <c r="D178" s="1" t="s">
        <v>558</v>
      </c>
      <c r="E178" s="14">
        <v>-6934.56</v>
      </c>
      <c r="F178" s="2" t="s">
        <v>766</v>
      </c>
      <c r="G178" s="2">
        <v>46134</v>
      </c>
      <c r="H178" s="9">
        <v>1170</v>
      </c>
      <c r="I178" s="4"/>
      <c r="J178" s="4" t="s">
        <v>1296</v>
      </c>
      <c r="K178" s="7" t="s">
        <v>1305</v>
      </c>
      <c r="L178" s="9" t="s">
        <v>985</v>
      </c>
      <c r="M178" s="9" t="s">
        <v>551</v>
      </c>
      <c r="N178" s="4" t="str">
        <f>VLOOKUP(H178,Clientes!B:D,3,)</f>
        <v>BGC LIQUIDEZ DTVM LTDA</v>
      </c>
    </row>
    <row r="179" spans="1:14" x14ac:dyDescent="0.25">
      <c r="A179" s="4" t="str">
        <f t="shared" si="5"/>
        <v>DESPESA DE REPRESENTAÇÃO - EVENTO MIAMI COM DANIEL LEAL DO TESOURO NACIONALECONOMISTADANIEL CARDOSO LEAL (113743-3688RR</v>
      </c>
      <c r="B179" s="11">
        <v>46113</v>
      </c>
      <c r="C179" s="4">
        <v>817991</v>
      </c>
      <c r="D179" s="1" t="s">
        <v>558</v>
      </c>
      <c r="E179" s="14">
        <v>-110.8</v>
      </c>
      <c r="F179" s="2" t="s">
        <v>766</v>
      </c>
      <c r="G179" s="2">
        <v>46134</v>
      </c>
      <c r="H179" s="9">
        <v>1170</v>
      </c>
      <c r="I179" s="4"/>
      <c r="J179" s="4" t="s">
        <v>1296</v>
      </c>
      <c r="K179" s="7" t="s">
        <v>1306</v>
      </c>
      <c r="L179" s="9" t="s">
        <v>985</v>
      </c>
      <c r="M179" s="9" t="s">
        <v>551</v>
      </c>
      <c r="N179" s="4" t="str">
        <f>VLOOKUP(H179,Clientes!B:D,3,)</f>
        <v>BGC LIQUIDEZ DTVM LTDA</v>
      </c>
    </row>
    <row r="180" spans="1:14" x14ac:dyDescent="0.25">
      <c r="A180" s="4" t="str">
        <f t="shared" si="5"/>
        <v>DESPESA DE REPRESENTAÇÃO - EVENTO MIAMI COM DANIEL LEAL DO TESOURO NACIONALECONOMISTADANIEL CARDOSO LEAL (113528-3688RR</v>
      </c>
      <c r="B180" s="11">
        <v>46113</v>
      </c>
      <c r="C180" s="4">
        <v>817991</v>
      </c>
      <c r="D180" s="1" t="s">
        <v>558</v>
      </c>
      <c r="E180" s="14">
        <v>-134.68</v>
      </c>
      <c r="F180" s="2" t="s">
        <v>766</v>
      </c>
      <c r="G180" s="2">
        <v>46134</v>
      </c>
      <c r="H180" s="9">
        <v>1170</v>
      </c>
      <c r="I180" s="4"/>
      <c r="J180" s="4" t="s">
        <v>1296</v>
      </c>
      <c r="K180" s="7" t="s">
        <v>1307</v>
      </c>
      <c r="L180" s="9" t="s">
        <v>985</v>
      </c>
      <c r="M180" s="9" t="s">
        <v>551</v>
      </c>
      <c r="N180" s="4" t="str">
        <f>VLOOKUP(H180,Clientes!B:D,3,)</f>
        <v>BGC LIQUIDEZ DTVM LTDA</v>
      </c>
    </row>
    <row r="181" spans="1:14" x14ac:dyDescent="0.25">
      <c r="A181" s="4" t="str">
        <f t="shared" si="5"/>
        <v>DESPESA DE REPRESENTAÇÃO - EVENTO MIAMI COM DANIEL LEAL DO TESOURO NACIONALECONOMISTADANIEL CARDOSO LEAL (114302-3688RR</v>
      </c>
      <c r="B181" s="11">
        <v>46113</v>
      </c>
      <c r="C181" s="4">
        <v>817991</v>
      </c>
      <c r="D181" s="1" t="s">
        <v>558</v>
      </c>
      <c r="E181" s="14">
        <v>-161.46</v>
      </c>
      <c r="F181" s="2" t="s">
        <v>766</v>
      </c>
      <c r="G181" s="2">
        <v>46134</v>
      </c>
      <c r="H181" s="9">
        <v>1170</v>
      </c>
      <c r="I181" s="4"/>
      <c r="J181" s="4" t="s">
        <v>1296</v>
      </c>
      <c r="K181" s="7" t="s">
        <v>1308</v>
      </c>
      <c r="L181" s="9" t="s">
        <v>985</v>
      </c>
      <c r="M181" s="9" t="s">
        <v>551</v>
      </c>
      <c r="N181" s="4" t="str">
        <f>VLOOKUP(H181,Clientes!B:D,3,)</f>
        <v>BGC LIQUIDEZ DTVM LTDA</v>
      </c>
    </row>
    <row r="182" spans="1:14" x14ac:dyDescent="0.25">
      <c r="A182" s="4" t="str">
        <f t="shared" si="5"/>
        <v>DESPESA DE REPRESENTAÇÃO - EVENTO MIAMI COM DANIEL LEAL DO TESOURO NACIONALECONOMISTADANIEL CARDOSO LEAL (115512-3688RR</v>
      </c>
      <c r="B182" s="11">
        <v>46113</v>
      </c>
      <c r="C182" s="4">
        <v>817991</v>
      </c>
      <c r="D182" s="1" t="s">
        <v>558</v>
      </c>
      <c r="E182" s="14">
        <v>-196.35</v>
      </c>
      <c r="F182" s="2" t="s">
        <v>766</v>
      </c>
      <c r="G182" s="2">
        <v>46134</v>
      </c>
      <c r="H182" s="9">
        <v>1170</v>
      </c>
      <c r="I182" s="4"/>
      <c r="J182" s="4" t="s">
        <v>1296</v>
      </c>
      <c r="K182" s="7" t="s">
        <v>1309</v>
      </c>
      <c r="L182" s="9" t="s">
        <v>985</v>
      </c>
      <c r="M182" s="9" t="s">
        <v>551</v>
      </c>
      <c r="N182" s="4" t="str">
        <f>VLOOKUP(H182,Clientes!B:D,3,)</f>
        <v>BGC LIQUIDEZ DTVM LTDA</v>
      </c>
    </row>
    <row r="183" spans="1:14" x14ac:dyDescent="0.25">
      <c r="A183" s="4" t="str">
        <f t="shared" si="5"/>
        <v>DESPESA DE REPRESENTAÇÃO - COMPRA DE 6 CAMISAS DO BRASIL PARA CLIENTESBROKERANTÔNIO MARTINS NETO (133624-3688RU</v>
      </c>
      <c r="B183" s="11">
        <v>46113</v>
      </c>
      <c r="C183" s="4">
        <v>817991</v>
      </c>
      <c r="D183" s="1" t="s">
        <v>626</v>
      </c>
      <c r="E183" s="14">
        <v>-2644.71</v>
      </c>
      <c r="F183" s="2" t="s">
        <v>389</v>
      </c>
      <c r="G183" s="2">
        <v>46114</v>
      </c>
      <c r="H183" s="9">
        <v>1170</v>
      </c>
      <c r="I183" s="4"/>
      <c r="J183" s="4" t="s">
        <v>1317</v>
      </c>
      <c r="K183" s="7" t="s">
        <v>1071</v>
      </c>
      <c r="L183" s="9" t="s">
        <v>626</v>
      </c>
      <c r="M183" s="9" t="s">
        <v>2</v>
      </c>
      <c r="N183" s="4" t="str">
        <f>VLOOKUP(H183,Clientes!B:D,3,)</f>
        <v>BGC LIQUIDEZ DTVM LTDA</v>
      </c>
    </row>
    <row r="184" spans="1:14" x14ac:dyDescent="0.25">
      <c r="A184" s="4" t="str">
        <f t="shared" si="5"/>
        <v>DESPESA DE REPRESENTAÇÃO - ALMOÇOTRADERNORBERTO SUZIGAN FONSECA ALVES (154108-3688RU</v>
      </c>
      <c r="B184" s="11">
        <v>46113</v>
      </c>
      <c r="C184" s="4">
        <v>817991</v>
      </c>
      <c r="D184" s="1" t="s">
        <v>626</v>
      </c>
      <c r="E184" s="14">
        <v>-1324.925</v>
      </c>
      <c r="F184" s="2" t="s">
        <v>447</v>
      </c>
      <c r="G184" s="2">
        <v>46114</v>
      </c>
      <c r="H184" s="9">
        <v>80392</v>
      </c>
      <c r="I184" s="4"/>
      <c r="J184" s="4" t="s">
        <v>447</v>
      </c>
      <c r="K184" s="7" t="s">
        <v>1077</v>
      </c>
      <c r="L184" s="9" t="s">
        <v>710</v>
      </c>
      <c r="M184" s="9" t="s">
        <v>335</v>
      </c>
      <c r="N184" s="4" t="str">
        <f>VLOOKUP(H184,Clientes!B:D,3,)</f>
        <v>KAPITALO INVESTIMENTOS LTDA</v>
      </c>
    </row>
    <row r="185" spans="1:14" x14ac:dyDescent="0.25">
      <c r="A185" s="4" t="str">
        <f t="shared" si="5"/>
        <v>DESPESA DE REPRESENTAÇÃO - ALMOÇOTRADERLUCAS FATORI (100429-3688AM</v>
      </c>
      <c r="B185" s="11">
        <v>46113</v>
      </c>
      <c r="C185" s="4">
        <v>817991</v>
      </c>
      <c r="D185" s="1" t="s">
        <v>626</v>
      </c>
      <c r="E185" s="14">
        <v>-1527.76</v>
      </c>
      <c r="F185" s="2" t="s">
        <v>447</v>
      </c>
      <c r="G185" s="2">
        <v>46142</v>
      </c>
      <c r="H185" s="9">
        <v>82467</v>
      </c>
      <c r="I185" s="4"/>
      <c r="J185" s="4" t="s">
        <v>447</v>
      </c>
      <c r="K185" s="7" t="s">
        <v>1185</v>
      </c>
      <c r="L185" s="9" t="s">
        <v>1186</v>
      </c>
      <c r="M185" s="9" t="s">
        <v>335</v>
      </c>
      <c r="N185" s="4" t="str">
        <f>VLOOKUP(H185,Clientes!B:D,3,)</f>
        <v>BRAM - BRADESCO ASSET MANAGEMENT S/A DTVM</v>
      </c>
    </row>
    <row r="186" spans="1:14" x14ac:dyDescent="0.25">
      <c r="A186" s="4" t="str">
        <f t="shared" si="5"/>
        <v>DESPESA DE REPRESENTAÇÃO - ALMOÇOTRADERLUCAS  (100940-3688AM</v>
      </c>
      <c r="B186" s="11">
        <v>46113</v>
      </c>
      <c r="C186" s="4">
        <v>817991</v>
      </c>
      <c r="D186" s="1" t="s">
        <v>626</v>
      </c>
      <c r="E186" s="14">
        <v>-392</v>
      </c>
      <c r="F186" s="2" t="s">
        <v>447</v>
      </c>
      <c r="G186" s="2">
        <v>46142</v>
      </c>
      <c r="H186" s="9">
        <v>82467</v>
      </c>
      <c r="I186" s="4"/>
      <c r="J186" s="4" t="s">
        <v>447</v>
      </c>
      <c r="K186" s="7" t="s">
        <v>1187</v>
      </c>
      <c r="L186" s="9" t="s">
        <v>1188</v>
      </c>
      <c r="M186" s="9" t="s">
        <v>335</v>
      </c>
      <c r="N186" s="4" t="str">
        <f>VLOOKUP(H186,Clientes!B:D,3,)</f>
        <v>BRAM - BRADESCO ASSET MANAGEMENT S/A DTVM</v>
      </c>
    </row>
    <row r="187" spans="1:14" x14ac:dyDescent="0.25">
      <c r="A187" s="4" t="str">
        <f t="shared" si="5"/>
        <v>DESPESA DE REPRESENTAÇÃO - ALMOÇOTRADERROBERTO ELAYUI (101046-3688AM</v>
      </c>
      <c r="B187" s="11">
        <v>46113</v>
      </c>
      <c r="C187" s="4">
        <v>817991</v>
      </c>
      <c r="D187" s="1" t="s">
        <v>626</v>
      </c>
      <c r="E187" s="14">
        <v>-472.90499999999997</v>
      </c>
      <c r="F187" s="2" t="s">
        <v>447</v>
      </c>
      <c r="G187" s="2">
        <v>46142</v>
      </c>
      <c r="H187" s="9">
        <v>80240</v>
      </c>
      <c r="I187" s="4"/>
      <c r="J187" s="4" t="s">
        <v>447</v>
      </c>
      <c r="K187" s="7" t="s">
        <v>1189</v>
      </c>
      <c r="L187" s="9" t="s">
        <v>1190</v>
      </c>
      <c r="M187" s="9" t="s">
        <v>335</v>
      </c>
      <c r="N187" s="4" t="str">
        <f>VLOOKUP(H187,Clientes!B:D,3,)</f>
        <v>KINEA INVESTIMENTOS LTDA</v>
      </c>
    </row>
    <row r="188" spans="1:14" x14ac:dyDescent="0.25">
      <c r="A188" s="4" t="str">
        <f t="shared" si="5"/>
        <v>DESPESA DE REPRESENTAÇÃO - ALMOÇO COM CLIENTE VIVESTTRADERFABIO GOMES (101959-3688AM</v>
      </c>
      <c r="B188" s="11">
        <v>46113</v>
      </c>
      <c r="C188" s="4">
        <v>817991</v>
      </c>
      <c r="D188" s="1" t="s">
        <v>626</v>
      </c>
      <c r="E188" s="14">
        <v>-1116.44</v>
      </c>
      <c r="F188" s="2" t="s">
        <v>447</v>
      </c>
      <c r="G188" s="2">
        <v>46142</v>
      </c>
      <c r="H188" s="9">
        <v>80107</v>
      </c>
      <c r="I188" s="4"/>
      <c r="J188" s="4" t="s">
        <v>1224</v>
      </c>
      <c r="K188" s="7" t="s">
        <v>1193</v>
      </c>
      <c r="L188" s="9" t="s">
        <v>586</v>
      </c>
      <c r="M188" s="9" t="s">
        <v>335</v>
      </c>
      <c r="N188" s="4" t="str">
        <f>VLOOKUP(H188,Clientes!B:D,3,)</f>
        <v>FUNDACAO CESP</v>
      </c>
    </row>
    <row r="189" spans="1:14" x14ac:dyDescent="0.25">
      <c r="A189" s="4" t="str">
        <f t="shared" si="5"/>
        <v>DESPESA DE REPRESENTAÇÃO - ALMOÇOTRADERHENRIQUE PEINADO  (101847-3688AM</v>
      </c>
      <c r="B189" s="11">
        <v>46113</v>
      </c>
      <c r="C189" s="4">
        <v>817991</v>
      </c>
      <c r="D189" s="1" t="s">
        <v>626</v>
      </c>
      <c r="E189" s="14">
        <v>-476.86</v>
      </c>
      <c r="F189" s="2" t="s">
        <v>447</v>
      </c>
      <c r="G189" s="2">
        <v>46142</v>
      </c>
      <c r="H189" s="9">
        <v>79258</v>
      </c>
      <c r="I189" s="4"/>
      <c r="J189" s="4" t="s">
        <v>447</v>
      </c>
      <c r="K189" s="7" t="s">
        <v>1194</v>
      </c>
      <c r="L189" s="9" t="s">
        <v>1195</v>
      </c>
      <c r="M189" s="9" t="s">
        <v>335</v>
      </c>
      <c r="N189" s="4" t="str">
        <f>VLOOKUP(H189,Clientes!B:D,3,)</f>
        <v>ITAU UNIBANCO S/A</v>
      </c>
    </row>
    <row r="190" spans="1:14" x14ac:dyDescent="0.25">
      <c r="A190" s="4" t="str">
        <f t="shared" si="5"/>
        <v>DESPESA DE REPRESENTAÇÃO - ALMOÇOTRADERRODRIGO VILELA (110233-3688AC</v>
      </c>
      <c r="B190" s="11">
        <v>46113</v>
      </c>
      <c r="C190" s="4">
        <v>817991</v>
      </c>
      <c r="D190" s="1" t="s">
        <v>331</v>
      </c>
      <c r="E190" s="14">
        <v>-1020.39</v>
      </c>
      <c r="F190" s="2" t="s">
        <v>447</v>
      </c>
      <c r="G190" s="2">
        <v>46128</v>
      </c>
      <c r="H190" s="9">
        <v>18857</v>
      </c>
      <c r="I190" s="4"/>
      <c r="J190" s="4" t="s">
        <v>447</v>
      </c>
      <c r="K190" s="7" t="s">
        <v>1118</v>
      </c>
      <c r="L190" s="9" t="s">
        <v>1119</v>
      </c>
      <c r="M190" s="9" t="s">
        <v>335</v>
      </c>
      <c r="N190" s="4" t="str">
        <f>VLOOKUP(H190,Clientes!B:D,3,)</f>
        <v>BANCO DO BRASIL S/A</v>
      </c>
    </row>
    <row r="191" spans="1:14" x14ac:dyDescent="0.25">
      <c r="A191" s="4" t="str">
        <f t="shared" si="5"/>
        <v>DESPESA DE REPRESENTAÇÃO - JANTARTRADERANTONIO LELLIS (105305-3688AA</v>
      </c>
      <c r="B191" s="11">
        <v>46113</v>
      </c>
      <c r="C191" s="4">
        <v>817991</v>
      </c>
      <c r="D191" s="1" t="s">
        <v>379</v>
      </c>
      <c r="E191" s="14">
        <v>-2364</v>
      </c>
      <c r="F191" s="2" t="s">
        <v>380</v>
      </c>
      <c r="G191" s="2">
        <v>46121</v>
      </c>
      <c r="H191" s="9">
        <v>79791</v>
      </c>
      <c r="I191" s="4"/>
      <c r="J191" s="4" t="s">
        <v>380</v>
      </c>
      <c r="K191" s="7" t="s">
        <v>1085</v>
      </c>
      <c r="L191" s="9" t="s">
        <v>339</v>
      </c>
      <c r="M191" s="9" t="s">
        <v>335</v>
      </c>
      <c r="N191" s="4" t="str">
        <f>VLOOKUP(H191,Clientes!B:D,3,)</f>
        <v>GOLDMAN SACHS DO BRASIL BANCO MULTIPLO S/A</v>
      </c>
    </row>
    <row r="192" spans="1:14" x14ac:dyDescent="0.25">
      <c r="A192" s="4" t="str">
        <f t="shared" si="5"/>
        <v>DESPESA DE REPRESENTAÇÃO - HAPPY HOURTRADERFELIPE  (092129-3688AA</v>
      </c>
      <c r="B192" s="11">
        <v>46113</v>
      </c>
      <c r="C192" s="4">
        <v>817991</v>
      </c>
      <c r="D192" s="1" t="s">
        <v>379</v>
      </c>
      <c r="E192" s="14">
        <v>-662.5</v>
      </c>
      <c r="F192" s="2" t="s">
        <v>387</v>
      </c>
      <c r="G192" s="2">
        <v>46142</v>
      </c>
      <c r="H192" s="9">
        <v>83577</v>
      </c>
      <c r="I192" s="4"/>
      <c r="J192" s="4" t="s">
        <v>485</v>
      </c>
      <c r="K192" s="7" t="s">
        <v>1218</v>
      </c>
      <c r="L192" s="9" t="s">
        <v>1219</v>
      </c>
      <c r="M192" s="9" t="s">
        <v>335</v>
      </c>
      <c r="N192" s="4" t="str">
        <f>VLOOKUP(H192,Clientes!B:D,3,)</f>
        <v>BANCO MIZUHO DO BRASIL S/A</v>
      </c>
    </row>
    <row r="193" spans="1:14" x14ac:dyDescent="0.25">
      <c r="A193" s="4" t="str">
        <f t="shared" si="5"/>
        <v>DESPESA DE REPRESENTAÇÃO - UBERSECRETARIAANNA CAROLINA ABRUNHOSA TAPIAS (E-MAIL 11/05/2026</v>
      </c>
      <c r="B193" s="11">
        <v>46113</v>
      </c>
      <c r="C193" s="4">
        <v>817991</v>
      </c>
      <c r="D193" s="1" t="s">
        <v>1251</v>
      </c>
      <c r="E193" s="14">
        <v>-160.91999999999999</v>
      </c>
      <c r="F193" s="2" t="s">
        <v>388</v>
      </c>
      <c r="G193" s="2">
        <v>46330</v>
      </c>
      <c r="H193" s="9">
        <v>1170</v>
      </c>
      <c r="I193" s="4"/>
      <c r="J193" s="4" t="s">
        <v>659</v>
      </c>
      <c r="K193" s="7" t="s">
        <v>1332</v>
      </c>
      <c r="L193" s="9" t="s">
        <v>1251</v>
      </c>
      <c r="M193" s="9" t="s">
        <v>1252</v>
      </c>
      <c r="N193" s="4" t="str">
        <f>VLOOKUP(H193,Clientes!B:D,3,)</f>
        <v>BGC LIQUIDEZ DTVM LTDA</v>
      </c>
    </row>
    <row r="194" spans="1:14" x14ac:dyDescent="0.25">
      <c r="A194" s="4" t="str">
        <f t="shared" ref="A194:A199" si="6">CONCATENATE($J$1,J194,$I$3,M194,$I$3,L194,$I$1,K194,$I$2)</f>
        <v>DESPESA DE REPRESENTAÇÃO - ALMOÇOTRADERREGINA CIQUEIRA (133111-3688AL</v>
      </c>
      <c r="B194" s="11">
        <v>46113</v>
      </c>
      <c r="C194" s="4">
        <v>817991</v>
      </c>
      <c r="D194" s="1" t="s">
        <v>39</v>
      </c>
      <c r="E194" s="14">
        <v>-876.76</v>
      </c>
      <c r="F194" s="2" t="s">
        <v>447</v>
      </c>
      <c r="G194" s="2">
        <v>46134</v>
      </c>
      <c r="H194" s="9">
        <v>54684</v>
      </c>
      <c r="I194" s="4"/>
      <c r="J194" s="4" t="s">
        <v>447</v>
      </c>
      <c r="K194" s="7" t="s">
        <v>1155</v>
      </c>
      <c r="L194" s="9" t="s">
        <v>1156</v>
      </c>
      <c r="M194" s="9" t="s">
        <v>335</v>
      </c>
      <c r="N194" s="4" t="str">
        <f>VLOOKUP(H194,Clientes!B:D,3,)</f>
        <v>BANCO RENDIMENTO S/A</v>
      </c>
    </row>
    <row r="195" spans="1:14" x14ac:dyDescent="0.25">
      <c r="A195" s="4" t="str">
        <f t="shared" si="6"/>
        <v>DESPESA DE REPRESENTAÇÃO - JANTARTRADERMARCELO BRAGA COVO (174850-3688GF</v>
      </c>
      <c r="B195" s="11">
        <v>46113</v>
      </c>
      <c r="C195" s="4">
        <v>817991</v>
      </c>
      <c r="D195" s="1" t="s">
        <v>770</v>
      </c>
      <c r="E195" s="14">
        <v>-2482.5</v>
      </c>
      <c r="F195" s="2" t="s">
        <v>380</v>
      </c>
      <c r="G195" s="2">
        <v>46128</v>
      </c>
      <c r="H195" s="9">
        <v>80111</v>
      </c>
      <c r="I195" s="4"/>
      <c r="J195" s="4" t="s">
        <v>380</v>
      </c>
      <c r="K195" s="7" t="s">
        <v>1132</v>
      </c>
      <c r="L195" s="9" t="s">
        <v>153</v>
      </c>
      <c r="M195" s="9" t="s">
        <v>335</v>
      </c>
      <c r="N195" s="4" t="str">
        <f>VLOOKUP(H195,Clientes!B:D,3,)</f>
        <v>IBIUNA GESTAO DE RECURSOS LTDA</v>
      </c>
    </row>
    <row r="196" spans="1:14" x14ac:dyDescent="0.25">
      <c r="A196" s="4" t="str">
        <f t="shared" si="6"/>
        <v>DESPESA DE REPRESENTAÇÃO - HOSPEDAGEM RADISSON BLU SÃO PAULOBROKER ALINE FAUSTINI (AGENDA 41542</v>
      </c>
      <c r="B196" s="11">
        <v>46113</v>
      </c>
      <c r="C196" s="4">
        <v>817991</v>
      </c>
      <c r="D196" s="1" t="s">
        <v>393</v>
      </c>
      <c r="E196" s="14">
        <v>-8085</v>
      </c>
      <c r="F196" s="2" t="s">
        <v>422</v>
      </c>
      <c r="G196" s="2">
        <v>46140</v>
      </c>
      <c r="H196" s="9">
        <v>1170</v>
      </c>
      <c r="I196" s="4"/>
      <c r="J196" s="4" t="s">
        <v>1179</v>
      </c>
      <c r="K196" s="7" t="s">
        <v>1180</v>
      </c>
      <c r="L196" s="9" t="s">
        <v>393</v>
      </c>
      <c r="M196" s="9" t="s">
        <v>1181</v>
      </c>
      <c r="N196" s="4" t="str">
        <f>VLOOKUP(H196,Clientes!B:D,3,)</f>
        <v>BGC LIQUIDEZ DTVM LTDA</v>
      </c>
    </row>
    <row r="197" spans="1:14" x14ac:dyDescent="0.25">
      <c r="A197" s="4" t="str">
        <f t="shared" si="6"/>
        <v>DESPESA DE REPRESENTAÇÃO - FRETE DOCUMENTAÇÃOBROKERALEXANDRE DA COSTA SOARES (E-MAIL 22/05/2026</v>
      </c>
      <c r="B197" s="11">
        <v>46113</v>
      </c>
      <c r="C197" s="4">
        <v>817991</v>
      </c>
      <c r="D197" s="1" t="s">
        <v>624</v>
      </c>
      <c r="E197" s="14">
        <v>-27.555</v>
      </c>
      <c r="F197" s="2" t="s">
        <v>389</v>
      </c>
      <c r="G197" s="2">
        <v>46113</v>
      </c>
      <c r="H197" s="9">
        <v>1170</v>
      </c>
      <c r="I197" s="4"/>
      <c r="J197" s="4" t="s">
        <v>660</v>
      </c>
      <c r="K197" s="7" t="s">
        <v>1476</v>
      </c>
      <c r="L197" s="9" t="s">
        <v>624</v>
      </c>
      <c r="M197" s="9" t="s">
        <v>2</v>
      </c>
      <c r="N197" s="4" t="str">
        <f>VLOOKUP(H197,Clientes!B:D,3,)</f>
        <v>BGC LIQUIDEZ DTVM LTDA</v>
      </c>
    </row>
    <row r="198" spans="1:14" x14ac:dyDescent="0.25">
      <c r="A198" s="4" t="str">
        <f t="shared" si="6"/>
        <v>DESPESA DE REPRESENTAÇÃO - ALMOÇOTRADERANDRE PIMENTEL (160109-3688AS</v>
      </c>
      <c r="B198" s="11">
        <v>46113</v>
      </c>
      <c r="C198" s="4">
        <v>817991</v>
      </c>
      <c r="D198" s="1" t="s">
        <v>449</v>
      </c>
      <c r="E198" s="14">
        <v>-488</v>
      </c>
      <c r="F198" s="2" t="s">
        <v>447</v>
      </c>
      <c r="G198" s="2">
        <v>46134</v>
      </c>
      <c r="H198" s="9">
        <v>80691</v>
      </c>
      <c r="I198" s="4"/>
      <c r="J198" s="4" t="s">
        <v>447</v>
      </c>
      <c r="K198" s="7" t="s">
        <v>1153</v>
      </c>
      <c r="L198" s="9" t="s">
        <v>925</v>
      </c>
      <c r="M198" s="9" t="s">
        <v>335</v>
      </c>
      <c r="N198" s="4" t="str">
        <f>VLOOKUP(H198,Clientes!B:D,3,)</f>
        <v>UJAY CAPITAL INVESTIMENTOS LTDA</v>
      </c>
    </row>
    <row r="199" spans="1:14" x14ac:dyDescent="0.25">
      <c r="A199" s="4" t="str">
        <f t="shared" si="6"/>
        <v>DESPESA DE REPRESENTAÇÃO - ALMOÇOTRADERANTONIO JOAQUIM DE M ANDRADE (145217-3688AS</v>
      </c>
      <c r="B199" s="11">
        <v>46113</v>
      </c>
      <c r="C199" s="4">
        <v>817991</v>
      </c>
      <c r="D199" s="1" t="s">
        <v>449</v>
      </c>
      <c r="E199" s="14">
        <v>-531</v>
      </c>
      <c r="F199" s="2" t="s">
        <v>447</v>
      </c>
      <c r="G199" s="2">
        <v>46134</v>
      </c>
      <c r="H199" s="9">
        <v>15501</v>
      </c>
      <c r="I199" s="4"/>
      <c r="J199" s="4" t="s">
        <v>447</v>
      </c>
      <c r="K199" s="7" t="s">
        <v>1154</v>
      </c>
      <c r="L199" s="9" t="s">
        <v>867</v>
      </c>
      <c r="M199" s="9" t="s">
        <v>335</v>
      </c>
      <c r="N199" s="4" t="str">
        <f>VLOOKUP(H199,Clientes!B:D,3,)</f>
        <v>BANCO BTG PACTUAL S/A</v>
      </c>
    </row>
  </sheetData>
  <autoFilter ref="A1:P199" xr:uid="{722680DA-B733-4F54-850B-B1907ECFC40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2028-2875-4EEA-8408-7ECAF5249A35}">
  <sheetPr codeName="Sheet2" filterMode="1"/>
  <dimension ref="A1:N240"/>
  <sheetViews>
    <sheetView showGridLines="0" workbookViewId="0">
      <selection activeCell="D146" sqref="D146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hidden="1" x14ac:dyDescent="0.25">
      <c r="A2" s="4" t="str">
        <f>CONCATENATE($J$1,J2,$I$3,M2,$I$3,L2,$I$1,K2,$I$2)</f>
        <v>DESPESA DE REPRESENTAÇÃO - THE UNION HOTEL BRASILIA -BROKER-JUAREZ JOAQUIM DE LACERDA (AGENDA 41649)</v>
      </c>
      <c r="B2" s="11">
        <v>46143</v>
      </c>
      <c r="C2" s="4">
        <v>817991</v>
      </c>
      <c r="D2" s="16" t="s">
        <v>614</v>
      </c>
      <c r="E2" s="14">
        <v>-826.03</v>
      </c>
      <c r="F2" s="2" t="s">
        <v>667</v>
      </c>
      <c r="G2" s="2">
        <v>46146</v>
      </c>
      <c r="H2" s="9">
        <v>1170</v>
      </c>
      <c r="I2" s="4" t="s">
        <v>333</v>
      </c>
      <c r="J2" s="4" t="s">
        <v>1333</v>
      </c>
      <c r="K2" s="7" t="s">
        <v>1334</v>
      </c>
      <c r="L2" s="16" t="s">
        <v>614</v>
      </c>
      <c r="M2" s="9" t="s">
        <v>2</v>
      </c>
      <c r="N2" s="4" t="str">
        <f>VLOOKUP(H2,Clientes!B:D,3,)</f>
        <v>BGC LIQUIDEZ DTVM LTDA</v>
      </c>
    </row>
    <row r="3" spans="1:14" hidden="1" x14ac:dyDescent="0.25">
      <c r="A3" s="4" t="str">
        <f t="shared" ref="A3:A66" si="0">CONCATENATE($J$1,J3,$I$3,M3,$I$3,L3,$I$1,K3,$I$2)</f>
        <v>DESPESA DE REPRESENTAÇÃO - HAPPY HOUR -TRADER-LEONARDO MASSAHIKO NAKAJIMA (132145-3688RM)</v>
      </c>
      <c r="B3" s="11">
        <v>46143</v>
      </c>
      <c r="C3" s="4">
        <v>817991</v>
      </c>
      <c r="D3" s="16" t="s">
        <v>666</v>
      </c>
      <c r="E3" s="14">
        <v>-2915.39</v>
      </c>
      <c r="F3" s="2" t="s">
        <v>387</v>
      </c>
      <c r="G3" s="2">
        <v>46146</v>
      </c>
      <c r="H3" s="9">
        <v>81501</v>
      </c>
      <c r="I3" s="4" t="s">
        <v>336</v>
      </c>
      <c r="J3" s="4" t="s">
        <v>1335</v>
      </c>
      <c r="K3" s="7" t="s">
        <v>1213</v>
      </c>
      <c r="L3" s="16" t="s">
        <v>553</v>
      </c>
      <c r="M3" s="9" t="s">
        <v>335</v>
      </c>
      <c r="N3" s="4" t="str">
        <f>VLOOKUP(H3,Clientes!B:D,3,)</f>
        <v>PORTO SEGURO INVESTIMENTOS LTDA</v>
      </c>
    </row>
    <row r="4" spans="1:14" hidden="1" x14ac:dyDescent="0.25">
      <c r="A4" s="4" t="str">
        <f t="shared" si="0"/>
        <v>DESPESA DE REPRESENTAÇÃO - ALMOÇO-TRADER-FREDERIC CAMPOS BROWN (141012-3688AC)</v>
      </c>
      <c r="B4" s="11">
        <v>46143</v>
      </c>
      <c r="C4" s="4">
        <v>817991</v>
      </c>
      <c r="D4" s="16" t="s">
        <v>624</v>
      </c>
      <c r="E4" s="14">
        <v>-619</v>
      </c>
      <c r="F4" s="2" t="s">
        <v>447</v>
      </c>
      <c r="G4" s="2">
        <v>46149</v>
      </c>
      <c r="H4" s="9">
        <v>79258</v>
      </c>
      <c r="I4" s="4"/>
      <c r="J4" s="4" t="s">
        <v>447</v>
      </c>
      <c r="K4" s="7" t="s">
        <v>1336</v>
      </c>
      <c r="L4" s="9" t="s">
        <v>1337</v>
      </c>
      <c r="M4" s="9" t="s">
        <v>335</v>
      </c>
      <c r="N4" s="4" t="str">
        <f>VLOOKUP(H4,Clientes!B:D,3,)</f>
        <v>ITAU UNIBANCO S/A</v>
      </c>
    </row>
    <row r="5" spans="1:14" hidden="1" x14ac:dyDescent="0.25">
      <c r="A5" s="4" t="str">
        <f t="shared" si="0"/>
        <v>DESPESA DE REPRESENTAÇÃO - ALMOÇO-TRADER-RAFAEL ASSED  (153602-3688BG)</v>
      </c>
      <c r="B5" s="11">
        <v>46143</v>
      </c>
      <c r="C5" s="4">
        <v>817991</v>
      </c>
      <c r="D5" s="16" t="s">
        <v>23</v>
      </c>
      <c r="E5" s="14">
        <v>-408</v>
      </c>
      <c r="F5" s="2" t="s">
        <v>447</v>
      </c>
      <c r="G5" s="2">
        <v>46149</v>
      </c>
      <c r="H5" s="9">
        <v>80218</v>
      </c>
      <c r="I5" s="4"/>
      <c r="J5" s="2" t="s">
        <v>447</v>
      </c>
      <c r="K5" s="7" t="s">
        <v>1338</v>
      </c>
      <c r="L5" s="9" t="s">
        <v>1339</v>
      </c>
      <c r="M5" s="9" t="s">
        <v>335</v>
      </c>
      <c r="N5" s="4" t="str">
        <f>VLOOKUP(H5,Clientes!B:D,3,)</f>
        <v>OPPORTUNITY GESTAO DE INVESTIMENTOS E RECURSOS LTDA</v>
      </c>
    </row>
    <row r="6" spans="1:14" hidden="1" x14ac:dyDescent="0.25">
      <c r="A6" s="4" t="str">
        <f t="shared" si="0"/>
        <v>DESPESA DE REPRESENTAÇÃO - JANTAR-TRADER-GUILHERME ALVES DE PAULA (093425-3688BG)</v>
      </c>
      <c r="B6" s="11">
        <v>46143</v>
      </c>
      <c r="C6" s="4">
        <v>817991</v>
      </c>
      <c r="D6" s="16" t="s">
        <v>23</v>
      </c>
      <c r="E6" s="14">
        <v>-828</v>
      </c>
      <c r="F6" s="2" t="s">
        <v>380</v>
      </c>
      <c r="G6" s="2">
        <v>46149</v>
      </c>
      <c r="H6" s="9">
        <v>81199</v>
      </c>
      <c r="I6" s="4"/>
      <c r="J6" s="4" t="s">
        <v>380</v>
      </c>
      <c r="K6" s="7" t="s">
        <v>1340</v>
      </c>
      <c r="L6" s="16" t="s">
        <v>390</v>
      </c>
      <c r="M6" s="9" t="s">
        <v>335</v>
      </c>
      <c r="N6" s="4" t="str">
        <f>VLOOKUP(H6,Clientes!B:D,3,)</f>
        <v>BANCO ORIGINAL S/A</v>
      </c>
    </row>
    <row r="7" spans="1:14" hidden="1" x14ac:dyDescent="0.25">
      <c r="A7" s="4" t="str">
        <f t="shared" si="0"/>
        <v>DESPESA DE REPRESENTAÇÃO - ALMOÇO -TRADER-SERGIO GUIMARAES (132152-3688RU)</v>
      </c>
      <c r="B7" s="11">
        <v>46143</v>
      </c>
      <c r="C7" s="4">
        <v>817991</v>
      </c>
      <c r="D7" s="1" t="s">
        <v>652</v>
      </c>
      <c r="E7" s="14">
        <v>-1187.06</v>
      </c>
      <c r="F7" s="2" t="s">
        <v>447</v>
      </c>
      <c r="G7" s="2">
        <v>46149</v>
      </c>
      <c r="H7" s="9">
        <v>79793</v>
      </c>
      <c r="I7" s="4"/>
      <c r="J7" s="2" t="s">
        <v>673</v>
      </c>
      <c r="K7" s="7" t="s">
        <v>1358</v>
      </c>
      <c r="L7" s="9" t="s">
        <v>1359</v>
      </c>
      <c r="M7" s="9" t="s">
        <v>335</v>
      </c>
      <c r="N7" s="4" t="str">
        <f>VLOOKUP(H7,Clientes!B:D,3,)</f>
        <v>EMERALD GESTAO DE INVESTIMENTOS SOCIEDADE UNIPESSOAL LTDA</v>
      </c>
    </row>
    <row r="8" spans="1:14" hidden="1" x14ac:dyDescent="0.25">
      <c r="A8" s="4" t="str">
        <f t="shared" si="0"/>
        <v>DESPESA DE REPRESENTAÇÃO - ALMOÇO  ANDBANK -TRADER-EWERTON (132330-3688RU)</v>
      </c>
      <c r="B8" s="11">
        <v>46143</v>
      </c>
      <c r="C8" s="4">
        <v>817991</v>
      </c>
      <c r="D8" s="1" t="s">
        <v>652</v>
      </c>
      <c r="E8" s="14">
        <v>-1422.33</v>
      </c>
      <c r="F8" s="2" t="s">
        <v>447</v>
      </c>
      <c r="G8" s="2">
        <v>46149</v>
      </c>
      <c r="H8" s="9">
        <v>1170</v>
      </c>
      <c r="I8" s="4"/>
      <c r="J8" s="2" t="s">
        <v>1361</v>
      </c>
      <c r="K8" s="7" t="s">
        <v>1360</v>
      </c>
      <c r="L8" s="9" t="s">
        <v>1362</v>
      </c>
      <c r="M8" s="9" t="s">
        <v>335</v>
      </c>
      <c r="N8" s="4" t="str">
        <f>VLOOKUP(H8,Clientes!B:D,3,)</f>
        <v>BGC LIQUIDEZ DTVM LTDA</v>
      </c>
    </row>
    <row r="9" spans="1:14" hidden="1" x14ac:dyDescent="0.25">
      <c r="A9" s="4" t="str">
        <f t="shared" si="0"/>
        <v>DESPESA DE REPRESENTAÇÃO - ALMOÇO COM O TESOURO NACIONAL-ECONOMISTA-DANIEL CARDOSO LEAL (083828-3688RR)</v>
      </c>
      <c r="B9" s="11">
        <v>46143</v>
      </c>
      <c r="C9" s="4">
        <v>817991</v>
      </c>
      <c r="D9" s="1" t="s">
        <v>558</v>
      </c>
      <c r="E9" s="14">
        <v>-1569.49</v>
      </c>
      <c r="F9" s="2" t="s">
        <v>447</v>
      </c>
      <c r="G9" s="2">
        <v>46149</v>
      </c>
      <c r="H9" s="9">
        <v>1170</v>
      </c>
      <c r="I9" s="4"/>
      <c r="J9" s="4" t="s">
        <v>1341</v>
      </c>
      <c r="K9" s="7" t="s">
        <v>1342</v>
      </c>
      <c r="L9" s="9" t="s">
        <v>985</v>
      </c>
      <c r="M9" s="9" t="s">
        <v>551</v>
      </c>
      <c r="N9" s="4" t="str">
        <f>VLOOKUP(H9,Clientes!B:D,3,)</f>
        <v>BGC LIQUIDEZ DTVM LTDA</v>
      </c>
    </row>
    <row r="10" spans="1:14" hidden="1" x14ac:dyDescent="0.25">
      <c r="A10" s="4" t="str">
        <f t="shared" si="0"/>
        <v>DESPESA DE REPRESENTAÇÃO - ALMOÇO-TRADER-BRUNO PEROTTONI (172703-3688JV)</v>
      </c>
      <c r="B10" s="11">
        <v>46143</v>
      </c>
      <c r="C10" s="4">
        <v>817991</v>
      </c>
      <c r="D10" s="1" t="s">
        <v>459</v>
      </c>
      <c r="E10" s="14">
        <v>-1483.72</v>
      </c>
      <c r="F10" s="2" t="s">
        <v>447</v>
      </c>
      <c r="G10" s="2">
        <v>46149</v>
      </c>
      <c r="H10" s="9">
        <v>80753</v>
      </c>
      <c r="I10" s="4"/>
      <c r="J10" s="4" t="s">
        <v>447</v>
      </c>
      <c r="K10" s="7" t="s">
        <v>1343</v>
      </c>
      <c r="L10" s="9" t="s">
        <v>1344</v>
      </c>
      <c r="M10" s="9" t="s">
        <v>335</v>
      </c>
      <c r="N10" s="4" t="str">
        <f>VLOOKUP(H10,Clientes!B:D,3,)</f>
        <v>BANCO MORGAN STANLEY S/A</v>
      </c>
    </row>
    <row r="11" spans="1:14" hidden="1" x14ac:dyDescent="0.25">
      <c r="A11" s="4" t="str">
        <f t="shared" si="0"/>
        <v>DESPESA DE REPRESENTAÇÃO - ALMOÇO-TRADER-PEDRO NUNES (155351-3688GF)</v>
      </c>
      <c r="B11" s="11">
        <v>46143</v>
      </c>
      <c r="C11" s="4">
        <v>817991</v>
      </c>
      <c r="D11" s="1" t="s">
        <v>615</v>
      </c>
      <c r="E11" s="14">
        <v>-1037</v>
      </c>
      <c r="F11" s="2" t="s">
        <v>447</v>
      </c>
      <c r="G11" s="2">
        <v>46149</v>
      </c>
      <c r="H11" s="9">
        <v>80667</v>
      </c>
      <c r="I11" s="4"/>
      <c r="J11" s="2" t="s">
        <v>447</v>
      </c>
      <c r="K11" s="7" t="s">
        <v>1345</v>
      </c>
      <c r="L11" s="9" t="s">
        <v>1067</v>
      </c>
      <c r="M11" s="9" t="s">
        <v>335</v>
      </c>
      <c r="N11" s="4" t="str">
        <f>VLOOKUP(H11,Clientes!B:D,3,)</f>
        <v>ACE CAPITAL GESTORA DE RECURSOS LTDA</v>
      </c>
    </row>
    <row r="12" spans="1:14" hidden="1" x14ac:dyDescent="0.25">
      <c r="A12" s="4" t="str">
        <f t="shared" si="0"/>
        <v>DESPESA DE REPRESENTAÇÃO - TAXI CENTRO APÓS ALMOÇO COM FUNDAÇÃO TELOS E IDA A HH IPANEMA-BROKER-JUAREZ JOAQUIM DE LACERDA (174618-3688JL)</v>
      </c>
      <c r="B12" s="11">
        <v>46143</v>
      </c>
      <c r="C12" s="4">
        <v>817991</v>
      </c>
      <c r="D12" s="16" t="s">
        <v>614</v>
      </c>
      <c r="E12" s="14">
        <v>-60</v>
      </c>
      <c r="F12" s="2" t="s">
        <v>388</v>
      </c>
      <c r="G12" s="2">
        <v>46149</v>
      </c>
      <c r="H12" s="9">
        <v>1170</v>
      </c>
      <c r="I12" s="4"/>
      <c r="J12" s="4" t="s">
        <v>1346</v>
      </c>
      <c r="K12" s="7" t="s">
        <v>1347</v>
      </c>
      <c r="L12" s="9" t="s">
        <v>614</v>
      </c>
      <c r="M12" s="9" t="s">
        <v>2</v>
      </c>
      <c r="N12" s="4" t="str">
        <f>VLOOKUP(H12,Clientes!B:D,3,)</f>
        <v>BGC LIQUIDEZ DTVM LTDA</v>
      </c>
    </row>
    <row r="13" spans="1:14" hidden="1" x14ac:dyDescent="0.25">
      <c r="A13" s="4" t="str">
        <f t="shared" si="0"/>
        <v>DESPESA DE REPRESENTAÇÃO - TAXI CENTRO X GALEÃO AEROPORTO EM VISITAS A FUNDOS DE PENSÃO RJ-BROKER-JUAREZ JOAQUIM DE LACERDA (171431-3688JL)</v>
      </c>
      <c r="B13" s="11">
        <v>46143</v>
      </c>
      <c r="C13" s="4">
        <v>817991</v>
      </c>
      <c r="D13" s="16" t="s">
        <v>614</v>
      </c>
      <c r="E13" s="14">
        <v>-80</v>
      </c>
      <c r="F13" s="2" t="s">
        <v>388</v>
      </c>
      <c r="G13" s="2">
        <v>46149</v>
      </c>
      <c r="H13" s="9">
        <v>1170</v>
      </c>
      <c r="I13" s="4"/>
      <c r="J13" s="4" t="s">
        <v>1348</v>
      </c>
      <c r="K13" s="7" t="s">
        <v>1349</v>
      </c>
      <c r="L13" s="9" t="s">
        <v>614</v>
      </c>
      <c r="M13" s="9" t="s">
        <v>2</v>
      </c>
      <c r="N13" s="4" t="str">
        <f>VLOOKUP(H13,Clientes!B:D,3,)</f>
        <v>BGC LIQUIDEZ DTVM LTDA</v>
      </c>
    </row>
    <row r="14" spans="1:14" hidden="1" x14ac:dyDescent="0.25">
      <c r="A14" s="4" t="str">
        <f t="shared" si="0"/>
        <v>DESPESA DE REPRESENTAÇÃO - TAXI VISITAS A FUNDO DE PENSÃO RJ -BROKER-JUAREZ JOAQUIM DE LACERDA (155829-3688JL)</v>
      </c>
      <c r="B14" s="11">
        <v>46143</v>
      </c>
      <c r="C14" s="4">
        <v>817991</v>
      </c>
      <c r="D14" s="16" t="s">
        <v>614</v>
      </c>
      <c r="E14" s="14">
        <v>-90</v>
      </c>
      <c r="F14" s="2" t="s">
        <v>388</v>
      </c>
      <c r="G14" s="2">
        <v>46149</v>
      </c>
      <c r="H14" s="9">
        <v>1170</v>
      </c>
      <c r="I14" s="4"/>
      <c r="J14" s="4" t="s">
        <v>1350</v>
      </c>
      <c r="K14" s="7" t="s">
        <v>1351</v>
      </c>
      <c r="L14" s="9" t="s">
        <v>614</v>
      </c>
      <c r="M14" s="9" t="s">
        <v>2</v>
      </c>
      <c r="N14" s="4" t="str">
        <f>VLOOKUP(H14,Clientes!B:D,3,)</f>
        <v>BGC LIQUIDEZ DTVM LTDA</v>
      </c>
    </row>
    <row r="15" spans="1:14" hidden="1" x14ac:dyDescent="0.25">
      <c r="A15" s="4" t="str">
        <f t="shared" si="0"/>
        <v>DESPESA DE REPRESENTAÇÃO - ESTACIONAMENTO EM VISITA A FUNDOS DE PENSÃO RJ -BROKER-JUAREZ JOAQUIM DE LACERDA (153035-3688JL)</v>
      </c>
      <c r="B15" s="11">
        <v>46143</v>
      </c>
      <c r="C15" s="4">
        <v>817991</v>
      </c>
      <c r="D15" s="16" t="s">
        <v>614</v>
      </c>
      <c r="E15" s="14">
        <v>-157</v>
      </c>
      <c r="F15" s="2" t="s">
        <v>388</v>
      </c>
      <c r="G15" s="2">
        <v>46149</v>
      </c>
      <c r="H15" s="9">
        <v>1170</v>
      </c>
      <c r="I15" s="4"/>
      <c r="J15" s="4" t="s">
        <v>1352</v>
      </c>
      <c r="K15" s="7" t="s">
        <v>1353</v>
      </c>
      <c r="L15" s="9" t="s">
        <v>614</v>
      </c>
      <c r="M15" s="9" t="s">
        <v>2</v>
      </c>
      <c r="N15" s="4" t="str">
        <f>VLOOKUP(H15,Clientes!B:D,3,)</f>
        <v>BGC LIQUIDEZ DTVM LTDA</v>
      </c>
    </row>
    <row r="16" spans="1:14" hidden="1" x14ac:dyDescent="0.25">
      <c r="A16" s="4" t="str">
        <f t="shared" si="0"/>
        <v>DESPESA DE REPRESENTAÇÃO - HAPPY HOUR COM FUNDAÇÃO REAL GRANDEZA-GERENTE DE INVESTIMENTOS-LEANDRO ANDREOLI (173750-3688JL)</v>
      </c>
      <c r="B16" s="11">
        <v>46143</v>
      </c>
      <c r="C16" s="4">
        <v>817991</v>
      </c>
      <c r="D16" s="16" t="s">
        <v>614</v>
      </c>
      <c r="E16" s="14">
        <v>-653</v>
      </c>
      <c r="F16" s="2" t="s">
        <v>387</v>
      </c>
      <c r="G16" s="2">
        <v>46149</v>
      </c>
      <c r="H16" s="9">
        <v>1170</v>
      </c>
      <c r="I16" s="4"/>
      <c r="J16" s="4" t="s">
        <v>1354</v>
      </c>
      <c r="K16" s="7" t="s">
        <v>1355</v>
      </c>
      <c r="L16" s="9" t="s">
        <v>1356</v>
      </c>
      <c r="M16" s="9" t="s">
        <v>1357</v>
      </c>
      <c r="N16" s="4" t="str">
        <f>VLOOKUP(H16,Clientes!B:D,3,)</f>
        <v>BGC LIQUIDEZ DTVM LTDA</v>
      </c>
    </row>
    <row r="17" spans="1:14" hidden="1" x14ac:dyDescent="0.25">
      <c r="A17" s="4" t="str">
        <f t="shared" si="0"/>
        <v>DESPESA DE REPRESENTAÇÃO - UBER EVENTO EM AMSTERDAN - FOW EUROPE 2026-TRADER-JOP VAN BAARSEN (094109-3688HM)</v>
      </c>
      <c r="B17" s="11">
        <v>46143</v>
      </c>
      <c r="C17" s="4">
        <v>817991</v>
      </c>
      <c r="D17" s="1" t="s">
        <v>1053</v>
      </c>
      <c r="E17" s="14">
        <v>-78</v>
      </c>
      <c r="F17" s="2" t="s">
        <v>387</v>
      </c>
      <c r="G17" s="2">
        <v>46149</v>
      </c>
      <c r="H17" s="9">
        <v>80708</v>
      </c>
      <c r="I17" s="4"/>
      <c r="J17" s="4" t="s">
        <v>1635</v>
      </c>
      <c r="K17" s="7" t="s">
        <v>1363</v>
      </c>
      <c r="L17" s="9" t="s">
        <v>1634</v>
      </c>
      <c r="M17" s="9" t="s">
        <v>335</v>
      </c>
      <c r="N17" s="4" t="str">
        <f>VLOOKUP(H17,Clientes!B:D,3,)</f>
        <v>OPTIVER V.O.F.</v>
      </c>
    </row>
    <row r="18" spans="1:14" hidden="1" x14ac:dyDescent="0.25">
      <c r="A18" s="4" t="str">
        <f t="shared" si="0"/>
        <v>DESPESA DE REPRESENTAÇÃO - UBER EVENTO EM AMSTERDAN - FOW EUROPE 2026-TRADER-JOP VAN BAARSEN (094520-3688HM)</v>
      </c>
      <c r="B18" s="11">
        <v>46143</v>
      </c>
      <c r="C18" s="4">
        <v>817991</v>
      </c>
      <c r="D18" s="1" t="s">
        <v>1053</v>
      </c>
      <c r="E18" s="14">
        <v>-78</v>
      </c>
      <c r="F18" s="2" t="s">
        <v>387</v>
      </c>
      <c r="G18" s="2">
        <v>46149</v>
      </c>
      <c r="H18" s="9">
        <v>80708</v>
      </c>
      <c r="I18" s="4"/>
      <c r="J18" s="4" t="s">
        <v>1635</v>
      </c>
      <c r="K18" s="7" t="s">
        <v>1364</v>
      </c>
      <c r="L18" s="9" t="s">
        <v>1634</v>
      </c>
      <c r="M18" s="9" t="s">
        <v>335</v>
      </c>
      <c r="N18" s="4" t="str">
        <f>VLOOKUP(H18,Clientes!B:D,3,)</f>
        <v>OPTIVER V.O.F.</v>
      </c>
    </row>
    <row r="19" spans="1:14" hidden="1" x14ac:dyDescent="0.25">
      <c r="A19" s="4" t="str">
        <f t="shared" si="0"/>
        <v>DESPESA DE REPRESENTAÇÃO - UBER EVENTO EM AMSTERDAN - FOW EUROPE 2026-TRADER-JOP VAN BAARSEN (093842-3688HM)</v>
      </c>
      <c r="B19" s="11">
        <v>46143</v>
      </c>
      <c r="C19" s="4">
        <v>817991</v>
      </c>
      <c r="D19" s="1" t="s">
        <v>1053</v>
      </c>
      <c r="E19" s="14">
        <v>-116</v>
      </c>
      <c r="F19" s="2" t="s">
        <v>387</v>
      </c>
      <c r="G19" s="2">
        <v>46149</v>
      </c>
      <c r="H19" s="9">
        <v>80708</v>
      </c>
      <c r="I19" s="4"/>
      <c r="J19" s="4" t="s">
        <v>1635</v>
      </c>
      <c r="K19" s="7" t="s">
        <v>1365</v>
      </c>
      <c r="L19" s="9" t="s">
        <v>1634</v>
      </c>
      <c r="M19" s="9" t="s">
        <v>335</v>
      </c>
      <c r="N19" s="4" t="str">
        <f>VLOOKUP(H19,Clientes!B:D,3,)</f>
        <v>OPTIVER V.O.F.</v>
      </c>
    </row>
    <row r="20" spans="1:14" hidden="1" x14ac:dyDescent="0.25">
      <c r="A20" s="4" t="str">
        <f t="shared" si="0"/>
        <v>DESPESA DE REPRESENTAÇÃO - UBER EVENTO EM AMSTERDAN - FOW EUROPE 2026-TRADER-JOP VAN BAARSEN (093711-3688HM)</v>
      </c>
      <c r="B20" s="11">
        <v>46143</v>
      </c>
      <c r="C20" s="4">
        <v>817991</v>
      </c>
      <c r="D20" s="1" t="s">
        <v>1053</v>
      </c>
      <c r="E20" s="14">
        <v>-185</v>
      </c>
      <c r="F20" s="2" t="s">
        <v>387</v>
      </c>
      <c r="G20" s="2">
        <v>46149</v>
      </c>
      <c r="H20" s="9">
        <v>80708</v>
      </c>
      <c r="I20" s="4"/>
      <c r="J20" s="4" t="s">
        <v>1635</v>
      </c>
      <c r="K20" s="7" t="s">
        <v>1366</v>
      </c>
      <c r="L20" s="9" t="s">
        <v>1634</v>
      </c>
      <c r="M20" s="9" t="s">
        <v>335</v>
      </c>
      <c r="N20" s="4" t="str">
        <f>VLOOKUP(H20,Clientes!B:D,3,)</f>
        <v>OPTIVER V.O.F.</v>
      </c>
    </row>
    <row r="21" spans="1:14" hidden="1" x14ac:dyDescent="0.25">
      <c r="A21" s="4" t="str">
        <f t="shared" si="0"/>
        <v>DESPESA DE REPRESENTAÇÃO - CAFÉ DA MANHÃ-TRADER-ANDRE MENDES DE ANDRADE (094452-3688RP)</v>
      </c>
      <c r="B21" s="11">
        <v>46143</v>
      </c>
      <c r="C21" s="4">
        <v>817991</v>
      </c>
      <c r="D21" s="16" t="s">
        <v>482</v>
      </c>
      <c r="E21" s="14">
        <v>-255</v>
      </c>
      <c r="F21" s="2" t="s">
        <v>771</v>
      </c>
      <c r="G21" s="2">
        <v>46149</v>
      </c>
      <c r="H21" s="9">
        <v>79407</v>
      </c>
      <c r="I21" s="4"/>
      <c r="J21" s="2" t="s">
        <v>771</v>
      </c>
      <c r="K21" s="7" t="s">
        <v>1367</v>
      </c>
      <c r="L21" s="9" t="s">
        <v>178</v>
      </c>
      <c r="M21" s="9" t="s">
        <v>335</v>
      </c>
      <c r="N21" s="4" t="str">
        <f>VLOOKUP(H21,Clientes!B:D,3,)</f>
        <v>BANCO MORGAN STANLEY S/A</v>
      </c>
    </row>
    <row r="22" spans="1:14" hidden="1" x14ac:dyDescent="0.25">
      <c r="A22" s="4" t="str">
        <f t="shared" si="0"/>
        <v>DESPESA DE REPRESENTAÇÃO - PASSAGEM SÃO PAULO X AMSTERDAM-CEO-ERMINIO OLIVI LUCCI (AGENDA 41721)</v>
      </c>
      <c r="B22" s="11">
        <v>46143</v>
      </c>
      <c r="C22" s="4">
        <v>817991</v>
      </c>
      <c r="D22" s="1" t="s">
        <v>650</v>
      </c>
      <c r="E22" s="14">
        <v>-31612.68</v>
      </c>
      <c r="F22" s="2" t="s">
        <v>388</v>
      </c>
      <c r="G22" s="2">
        <v>46149</v>
      </c>
      <c r="H22" s="9">
        <v>1170</v>
      </c>
      <c r="I22" s="4"/>
      <c r="J22" s="4" t="s">
        <v>1368</v>
      </c>
      <c r="K22" s="7" t="s">
        <v>1369</v>
      </c>
      <c r="L22" s="9" t="s">
        <v>650</v>
      </c>
      <c r="M22" s="9" t="s">
        <v>490</v>
      </c>
      <c r="N22" s="4" t="str">
        <f>VLOOKUP(H22,Clientes!B:D,3,)</f>
        <v>BGC LIQUIDEZ DTVM LTDA</v>
      </c>
    </row>
    <row r="23" spans="1:14" hidden="1" x14ac:dyDescent="0.25">
      <c r="A23" s="4" t="str">
        <f t="shared" si="0"/>
        <v>DESPESA DE REPRESENTAÇÃO - UBER E ALMOÇO EVENTO EM AMSTERDAM - FOW EUROPE 2026-TRADER-JOP VAN BAARSEN  (181857-3688FB)</v>
      </c>
      <c r="B23" s="11">
        <v>46143</v>
      </c>
      <c r="C23" s="4">
        <v>817991</v>
      </c>
      <c r="D23" s="16" t="s">
        <v>423</v>
      </c>
      <c r="E23" s="14">
        <v>-1429.49</v>
      </c>
      <c r="F23" s="2" t="s">
        <v>387</v>
      </c>
      <c r="G23" s="2">
        <v>46149</v>
      </c>
      <c r="H23" s="9">
        <v>80708</v>
      </c>
      <c r="I23" s="4"/>
      <c r="J23" s="4" t="s">
        <v>1636</v>
      </c>
      <c r="K23" s="7" t="s">
        <v>1370</v>
      </c>
      <c r="L23" s="9" t="s">
        <v>1371</v>
      </c>
      <c r="M23" s="9" t="s">
        <v>335</v>
      </c>
      <c r="N23" s="4" t="str">
        <f>VLOOKUP(H23,Clientes!B:D,3,)</f>
        <v>OPTIVER V.O.F.</v>
      </c>
    </row>
    <row r="24" spans="1:14" hidden="1" x14ac:dyDescent="0.25">
      <c r="A24" s="4" t="str">
        <f t="shared" si="0"/>
        <v>DESPESA DE REPRESENTAÇÃO - ALMOÇO-TRADER-RODRIGO JOLIG (140326-3688BG)</v>
      </c>
      <c r="B24" s="11">
        <v>46143</v>
      </c>
      <c r="C24" s="4">
        <v>817991</v>
      </c>
      <c r="D24" s="16" t="s">
        <v>23</v>
      </c>
      <c r="E24" s="14">
        <v>-574</v>
      </c>
      <c r="F24" s="2" t="s">
        <v>447</v>
      </c>
      <c r="G24" s="2">
        <v>46149</v>
      </c>
      <c r="H24" s="9">
        <v>80359</v>
      </c>
      <c r="I24" s="4"/>
      <c r="J24" s="4" t="s">
        <v>447</v>
      </c>
      <c r="K24" s="7" t="s">
        <v>1372</v>
      </c>
      <c r="L24" s="9" t="s">
        <v>855</v>
      </c>
      <c r="M24" s="9" t="s">
        <v>335</v>
      </c>
      <c r="N24" s="4" t="str">
        <f>VLOOKUP(H24,Clientes!B:D,3,)</f>
        <v>VINLAND CAPITAL MANAGEMENT GESTORA DE RECURSOS LTDA</v>
      </c>
    </row>
    <row r="25" spans="1:14" hidden="1" x14ac:dyDescent="0.25">
      <c r="A25" s="4" t="str">
        <f t="shared" si="0"/>
        <v>DESPESA DE REPRESENTAÇÃO - HAPPY HOUR-TRADER-MARCELO SCHOLZ ISSA (124135-3688AA)</v>
      </c>
      <c r="B25" s="11">
        <v>46143</v>
      </c>
      <c r="C25" s="4">
        <v>817991</v>
      </c>
      <c r="D25" s="1" t="s">
        <v>379</v>
      </c>
      <c r="E25" s="14">
        <v>-1558</v>
      </c>
      <c r="F25" s="2" t="s">
        <v>387</v>
      </c>
      <c r="G25" s="2">
        <v>46149</v>
      </c>
      <c r="H25" s="9">
        <v>81259</v>
      </c>
      <c r="I25" s="4"/>
      <c r="J25" s="4" t="s">
        <v>485</v>
      </c>
      <c r="K25" s="7" t="s">
        <v>1373</v>
      </c>
      <c r="L25" s="9" t="s">
        <v>681</v>
      </c>
      <c r="M25" s="9" t="s">
        <v>335</v>
      </c>
      <c r="N25" s="4" t="str">
        <f>VLOOKUP(H25,Clientes!B:D,3,)</f>
        <v>GOLDMAN SACHS DO BRASIL BANCO MULTIPLO S/A</v>
      </c>
    </row>
    <row r="26" spans="1:14" hidden="1" x14ac:dyDescent="0.25">
      <c r="A26" s="4" t="str">
        <f t="shared" si="0"/>
        <v>DESPESA DE REPRESENTAÇÃO - ALMOÇO-TRADER-ANDRE FADUL (173302-3688CL)</v>
      </c>
      <c r="B26" s="11">
        <v>46143</v>
      </c>
      <c r="C26" s="4">
        <v>817991</v>
      </c>
      <c r="D26" s="1" t="s">
        <v>60</v>
      </c>
      <c r="E26" s="14">
        <v>-655</v>
      </c>
      <c r="F26" s="5" t="s">
        <v>447</v>
      </c>
      <c r="G26" s="2">
        <v>46149</v>
      </c>
      <c r="H26" s="9">
        <v>82639</v>
      </c>
      <c r="I26" s="4"/>
      <c r="J26" s="4" t="s">
        <v>447</v>
      </c>
      <c r="K26" s="7" t="s">
        <v>1374</v>
      </c>
      <c r="L26" s="1" t="s">
        <v>1375</v>
      </c>
      <c r="M26" s="9" t="s">
        <v>335</v>
      </c>
      <c r="N26" s="4" t="str">
        <f>VLOOKUP(H26,Clientes!B:D,3,)</f>
        <v>SAFRA ASSET CORRETORA DE TITULOS E VALORES MOBILIARIOS S.A.</v>
      </c>
    </row>
    <row r="27" spans="1:14" hidden="1" x14ac:dyDescent="0.25">
      <c r="A27" s="4" t="str">
        <f t="shared" si="0"/>
        <v>DESPESA DE REPRESENTAÇÃO - ALMOÇO-TRADER-DANIEL SASSOON (163107-3688CB)</v>
      </c>
      <c r="B27" s="11">
        <v>46143</v>
      </c>
      <c r="C27" s="4">
        <v>817991</v>
      </c>
      <c r="D27" s="1" t="s">
        <v>132</v>
      </c>
      <c r="E27" s="14">
        <v>-1389.9</v>
      </c>
      <c r="F27" s="5" t="s">
        <v>447</v>
      </c>
      <c r="G27" s="2">
        <v>46149</v>
      </c>
      <c r="H27" s="9">
        <v>79258</v>
      </c>
      <c r="I27" s="4"/>
      <c r="J27" s="4" t="s">
        <v>447</v>
      </c>
      <c r="K27" s="7" t="s">
        <v>1376</v>
      </c>
      <c r="L27" s="1" t="s">
        <v>1377</v>
      </c>
      <c r="M27" s="9" t="s">
        <v>335</v>
      </c>
      <c r="N27" s="4" t="str">
        <f>VLOOKUP(H27,Clientes!B:D,3,)</f>
        <v>ITAU UNIBANCO S/A</v>
      </c>
    </row>
    <row r="28" spans="1:14" hidden="1" x14ac:dyDescent="0.25">
      <c r="A28" s="4" t="str">
        <f t="shared" si="0"/>
        <v>DESPESA DE REPRESENTAÇÃO - ALMOÇO FUNDAÇÃO TELOS-DIRETOR DE INVESTIMENTOS-ANTONIO MIRAGAYA  (150824-3688JL)</v>
      </c>
      <c r="B28" s="11">
        <v>46143</v>
      </c>
      <c r="C28" s="4">
        <v>817991</v>
      </c>
      <c r="D28" s="16" t="s">
        <v>614</v>
      </c>
      <c r="E28" s="14">
        <v>-472.52</v>
      </c>
      <c r="F28" s="5" t="s">
        <v>447</v>
      </c>
      <c r="G28" s="2">
        <v>46149</v>
      </c>
      <c r="H28" s="9">
        <v>1170</v>
      </c>
      <c r="I28" s="4"/>
      <c r="J28" s="4" t="s">
        <v>1378</v>
      </c>
      <c r="K28" s="7" t="s">
        <v>1379</v>
      </c>
      <c r="L28" s="1" t="s">
        <v>1380</v>
      </c>
      <c r="M28" s="9" t="s">
        <v>1381</v>
      </c>
      <c r="N28" s="4" t="str">
        <f>VLOOKUP(H28,Clientes!B:D,3,)</f>
        <v>BGC LIQUIDEZ DTVM LTDA</v>
      </c>
    </row>
    <row r="29" spans="1:14" hidden="1" x14ac:dyDescent="0.25">
      <c r="A29" s="4" t="str">
        <f t="shared" si="0"/>
        <v>DESPESA DE REPRESENTAÇÃO - ALMOÇO -TRADER-LUCIANO JIMENEZ (104920-3688JV)</v>
      </c>
      <c r="B29" s="11">
        <v>46143</v>
      </c>
      <c r="C29" s="4">
        <v>817991</v>
      </c>
      <c r="D29" s="1" t="s">
        <v>459</v>
      </c>
      <c r="E29" s="14">
        <v>-2012.53</v>
      </c>
      <c r="F29" s="5" t="s">
        <v>447</v>
      </c>
      <c r="G29" s="2">
        <v>46149</v>
      </c>
      <c r="H29" s="9">
        <v>79157</v>
      </c>
      <c r="I29" s="4"/>
      <c r="J29" s="4" t="s">
        <v>673</v>
      </c>
      <c r="K29" s="7" t="s">
        <v>1382</v>
      </c>
      <c r="L29" s="1" t="s">
        <v>348</v>
      </c>
      <c r="M29" s="9" t="s">
        <v>335</v>
      </c>
      <c r="N29" s="4" t="str">
        <f>VLOOKUP(H29,Clientes!B:D,3,)</f>
        <v>BANCO SOCIETE GENERALE BRASIL S/A</v>
      </c>
    </row>
    <row r="30" spans="1:14" hidden="1" x14ac:dyDescent="0.25">
      <c r="A30" s="4" t="str">
        <f t="shared" si="0"/>
        <v>DESPESA DE REPRESENTAÇÃO - UBER EVENTO EM AMSTERDAN - FOW EUROPE 2026-TRADER-JOP VAN BAARSEN (093415-3688HM)</v>
      </c>
      <c r="B30" s="11">
        <v>46143</v>
      </c>
      <c r="C30" s="4">
        <v>817991</v>
      </c>
      <c r="D30" s="1" t="s">
        <v>1053</v>
      </c>
      <c r="E30" s="14">
        <v>-133</v>
      </c>
      <c r="F30" s="5" t="s">
        <v>387</v>
      </c>
      <c r="G30" s="2">
        <v>46149</v>
      </c>
      <c r="H30" s="9">
        <v>80708</v>
      </c>
      <c r="I30" s="4"/>
      <c r="J30" s="4" t="s">
        <v>1635</v>
      </c>
      <c r="K30" s="7" t="s">
        <v>1383</v>
      </c>
      <c r="L30" s="9" t="s">
        <v>1634</v>
      </c>
      <c r="M30" s="9" t="s">
        <v>335</v>
      </c>
      <c r="N30" s="4" t="str">
        <f>VLOOKUP(H30,Clientes!B:D,3,)</f>
        <v>OPTIVER V.O.F.</v>
      </c>
    </row>
    <row r="31" spans="1:14" hidden="1" x14ac:dyDescent="0.25">
      <c r="A31" s="4" t="str">
        <f t="shared" si="0"/>
        <v>DESPESA DE REPRESENTAÇÃO - UBER EVENTO EM AMSTERDAN - FOW EUROPE 2026-TRADER-JOP VAN BAARSEN (092733-3688HM)</v>
      </c>
      <c r="B31" s="11">
        <v>46143</v>
      </c>
      <c r="C31" s="4">
        <v>817991</v>
      </c>
      <c r="D31" s="1" t="s">
        <v>1053</v>
      </c>
      <c r="E31" s="14">
        <v>-192</v>
      </c>
      <c r="F31" s="5" t="s">
        <v>387</v>
      </c>
      <c r="G31" s="2">
        <v>46149</v>
      </c>
      <c r="H31" s="9">
        <v>80708</v>
      </c>
      <c r="I31" s="4"/>
      <c r="J31" s="4" t="s">
        <v>1635</v>
      </c>
      <c r="K31" s="7" t="s">
        <v>1384</v>
      </c>
      <c r="L31" s="9" t="s">
        <v>1634</v>
      </c>
      <c r="M31" s="9" t="s">
        <v>335</v>
      </c>
      <c r="N31" s="4" t="str">
        <f>VLOOKUP(H31,Clientes!B:D,3,)</f>
        <v>OPTIVER V.O.F.</v>
      </c>
    </row>
    <row r="32" spans="1:14" hidden="1" x14ac:dyDescent="0.25">
      <c r="A32" s="4" t="str">
        <f t="shared" si="0"/>
        <v>DESPESA DE REPRESENTAÇÃO - ALMOÇO-TRADER-LEONARDO BREDER (151841-3688RZ)</v>
      </c>
      <c r="B32" s="11">
        <v>46143</v>
      </c>
      <c r="C32" s="4">
        <v>817991</v>
      </c>
      <c r="D32" s="1" t="s">
        <v>60</v>
      </c>
      <c r="E32" s="14">
        <v>-1352</v>
      </c>
      <c r="F32" s="5" t="s">
        <v>447</v>
      </c>
      <c r="G32" s="2">
        <v>46149</v>
      </c>
      <c r="H32" s="9">
        <v>144548</v>
      </c>
      <c r="I32" s="4"/>
      <c r="J32" s="4" t="s">
        <v>447</v>
      </c>
      <c r="K32" s="7" t="s">
        <v>1385</v>
      </c>
      <c r="L32" s="1" t="s">
        <v>1169</v>
      </c>
      <c r="M32" s="9" t="s">
        <v>335</v>
      </c>
      <c r="N32" s="4" t="str">
        <f>VLOOKUP(H32,Clientes!B:D,3,)</f>
        <v>ABSOLUTE GESTAO DE INVESTIMENTOS LTDA</v>
      </c>
    </row>
    <row r="33" spans="1:14" hidden="1" x14ac:dyDescent="0.25">
      <c r="A33" s="4" t="str">
        <f t="shared" si="0"/>
        <v>DESPESA DE REPRESENTAÇÃO - ALMOÇO-TRADER-DANILO MACARI (142309-3688DG)</v>
      </c>
      <c r="B33" s="11">
        <v>46143</v>
      </c>
      <c r="C33" s="4">
        <v>817991</v>
      </c>
      <c r="D33" s="1" t="s">
        <v>516</v>
      </c>
      <c r="E33" s="14">
        <v>-1236.22</v>
      </c>
      <c r="F33" s="5" t="s">
        <v>447</v>
      </c>
      <c r="G33" s="2">
        <v>46149</v>
      </c>
      <c r="H33" s="9">
        <v>14416</v>
      </c>
      <c r="I33" s="4"/>
      <c r="J33" s="4" t="s">
        <v>447</v>
      </c>
      <c r="K33" s="7" t="s">
        <v>1386</v>
      </c>
      <c r="L33" s="1" t="s">
        <v>1032</v>
      </c>
      <c r="M33" s="9" t="s">
        <v>335</v>
      </c>
      <c r="N33" s="4" t="str">
        <f>VLOOKUP(H33,Clientes!B:D,3,)</f>
        <v>BANCO JP MORGAN S/A</v>
      </c>
    </row>
    <row r="34" spans="1:14" hidden="1" x14ac:dyDescent="0.25">
      <c r="A34" s="4" t="str">
        <f t="shared" si="0"/>
        <v>DESPESA DE REPRESENTAÇÃO - ALMOÇO-TRADER-EDUARDO SUN RIBEIRO (152446-3688FB)</v>
      </c>
      <c r="B34" s="11">
        <v>46143</v>
      </c>
      <c r="C34" s="4">
        <v>817991</v>
      </c>
      <c r="D34" s="1" t="s">
        <v>477</v>
      </c>
      <c r="E34" s="14">
        <v>-506.81</v>
      </c>
      <c r="F34" s="5" t="s">
        <v>447</v>
      </c>
      <c r="G34" s="2">
        <v>46149</v>
      </c>
      <c r="H34" s="9">
        <v>81595</v>
      </c>
      <c r="I34" s="4"/>
      <c r="J34" s="4" t="s">
        <v>447</v>
      </c>
      <c r="K34" s="7" t="s">
        <v>1387</v>
      </c>
      <c r="L34" s="1" t="s">
        <v>1388</v>
      </c>
      <c r="M34" s="9" t="s">
        <v>335</v>
      </c>
      <c r="N34" s="4" t="str">
        <f>VLOOKUP(H34,Clientes!B:D,3,)</f>
        <v>NEO GESTÃO DE RECURSOS LTDA</v>
      </c>
    </row>
    <row r="35" spans="1:14" hidden="1" x14ac:dyDescent="0.25">
      <c r="A35" s="4" t="str">
        <f t="shared" si="0"/>
        <v>DESPESA DE REPRESENTAÇÃO - UBER EVENTO EM AMSTERDAN - FOW EUROPE 2026-TRADER-JOP VAN BAARSEN (093537-3688HM)</v>
      </c>
      <c r="B35" s="11">
        <v>46143</v>
      </c>
      <c r="C35" s="4">
        <v>817991</v>
      </c>
      <c r="D35" s="1" t="s">
        <v>1053</v>
      </c>
      <c r="E35" s="14">
        <v>-220</v>
      </c>
      <c r="F35" s="5" t="s">
        <v>387</v>
      </c>
      <c r="G35" s="2">
        <v>46149</v>
      </c>
      <c r="H35" s="9">
        <v>80708</v>
      </c>
      <c r="I35" s="4"/>
      <c r="J35" s="4" t="s">
        <v>1635</v>
      </c>
      <c r="K35" s="7" t="s">
        <v>1389</v>
      </c>
      <c r="L35" s="9" t="s">
        <v>1634</v>
      </c>
      <c r="M35" s="9" t="s">
        <v>335</v>
      </c>
      <c r="N35" s="4" t="str">
        <f>VLOOKUP(H35,Clientes!B:D,3,)</f>
        <v>OPTIVER V.O.F.</v>
      </c>
    </row>
    <row r="36" spans="1:14" hidden="1" x14ac:dyDescent="0.25">
      <c r="A36" s="4" t="str">
        <f t="shared" si="0"/>
        <v>DESPESA DE REPRESENTAÇÃO - ALMOÇO-TRADER-FERNANDO SANTIAGO (123600-3688AM)</v>
      </c>
      <c r="B36" s="11">
        <v>46143</v>
      </c>
      <c r="C36" s="4">
        <v>817991</v>
      </c>
      <c r="D36" s="1" t="s">
        <v>626</v>
      </c>
      <c r="E36" s="14">
        <v>-689.3</v>
      </c>
      <c r="F36" s="5" t="s">
        <v>447</v>
      </c>
      <c r="G36" s="2">
        <v>46156</v>
      </c>
      <c r="H36" s="9">
        <v>14416</v>
      </c>
      <c r="I36" s="4"/>
      <c r="J36" s="5" t="s">
        <v>447</v>
      </c>
      <c r="K36" s="7" t="s">
        <v>1390</v>
      </c>
      <c r="L36" s="1" t="s">
        <v>1392</v>
      </c>
      <c r="M36" s="9" t="s">
        <v>335</v>
      </c>
      <c r="N36" s="4" t="str">
        <f>VLOOKUP(H36,Clientes!B:D,3,)</f>
        <v>BANCO JP MORGAN S/A</v>
      </c>
    </row>
    <row r="37" spans="1:14" hidden="1" x14ac:dyDescent="0.25">
      <c r="A37" s="4" t="str">
        <f t="shared" si="0"/>
        <v>DESPESA DE REPRESENTAÇÃO - ALMOÇO-TRADER-HENRIQUE PEINARDO (124752-3688AM)</v>
      </c>
      <c r="B37" s="11">
        <v>46143</v>
      </c>
      <c r="C37" s="4">
        <v>817991</v>
      </c>
      <c r="D37" s="1" t="s">
        <v>626</v>
      </c>
      <c r="E37" s="14">
        <v>-803.85</v>
      </c>
      <c r="F37" s="5" t="s">
        <v>447</v>
      </c>
      <c r="G37" s="2">
        <v>46156</v>
      </c>
      <c r="H37" s="9">
        <v>79258</v>
      </c>
      <c r="I37" s="4"/>
      <c r="J37" s="5" t="s">
        <v>447</v>
      </c>
      <c r="K37" s="7" t="s">
        <v>1391</v>
      </c>
      <c r="L37" s="1" t="s">
        <v>1393</v>
      </c>
      <c r="M37" s="9" t="s">
        <v>335</v>
      </c>
      <c r="N37" s="4" t="str">
        <f>VLOOKUP(H37,Clientes!B:D,3,)</f>
        <v>ITAU UNIBANCO S/A</v>
      </c>
    </row>
    <row r="38" spans="1:14" hidden="1" x14ac:dyDescent="0.25">
      <c r="A38" s="4" t="str">
        <f t="shared" si="0"/>
        <v>DESPESA DE REPRESENTAÇÃO - ALMOÇO-TRADER-LEONARDO RODRIGUEZ QUINTEIRO (172348-3688FC)</v>
      </c>
      <c r="B38" s="11">
        <v>46143</v>
      </c>
      <c r="C38" s="4">
        <v>817991</v>
      </c>
      <c r="D38" s="1" t="s">
        <v>480</v>
      </c>
      <c r="E38" s="14">
        <v>-1282.55</v>
      </c>
      <c r="F38" s="5" t="s">
        <v>447</v>
      </c>
      <c r="G38" s="2">
        <v>46156</v>
      </c>
      <c r="H38" s="9">
        <v>79584</v>
      </c>
      <c r="I38" s="4"/>
      <c r="J38" s="5" t="s">
        <v>447</v>
      </c>
      <c r="K38" s="7" t="s">
        <v>1394</v>
      </c>
      <c r="L38" s="1" t="s">
        <v>350</v>
      </c>
      <c r="M38" s="9" t="s">
        <v>335</v>
      </c>
      <c r="N38" s="4" t="str">
        <f>VLOOKUP(H38,Clientes!B:D,3,)</f>
        <v>RAIZEN ENERGIA S.A.</v>
      </c>
    </row>
    <row r="39" spans="1:14" hidden="1" x14ac:dyDescent="0.25">
      <c r="A39" s="4" t="str">
        <f t="shared" si="0"/>
        <v>DESPESA DE REPRESENTAÇÃO - HAPPY HOUR -TRADER-GABRIELA FEUER (122310-3688CN)</v>
      </c>
      <c r="B39" s="11">
        <v>46143</v>
      </c>
      <c r="C39" s="4">
        <v>817991</v>
      </c>
      <c r="D39" s="1" t="s">
        <v>452</v>
      </c>
      <c r="E39" s="14">
        <v>-4639</v>
      </c>
      <c r="F39" s="5" t="s">
        <v>387</v>
      </c>
      <c r="G39" s="2">
        <v>46156</v>
      </c>
      <c r="H39" s="9">
        <v>80961</v>
      </c>
      <c r="I39" s="4"/>
      <c r="J39" s="4" t="s">
        <v>1335</v>
      </c>
      <c r="K39" s="7" t="s">
        <v>1395</v>
      </c>
      <c r="L39" s="1" t="s">
        <v>1396</v>
      </c>
      <c r="M39" s="9" t="s">
        <v>335</v>
      </c>
      <c r="N39" s="4" t="str">
        <f>VLOOKUP(H39,Clientes!B:D,3,)</f>
        <v>BANCO CITIBANK S/A</v>
      </c>
    </row>
    <row r="40" spans="1:14" hidden="1" x14ac:dyDescent="0.25">
      <c r="A40" s="4" t="str">
        <f t="shared" si="0"/>
        <v>DESPESA DE REPRESENTAÇÃO - JANTAR-TRADER-ANDERSON SILVA SOUZA (100645-3688CC)</v>
      </c>
      <c r="B40" s="11">
        <v>46143</v>
      </c>
      <c r="C40" s="4">
        <v>817991</v>
      </c>
      <c r="D40" s="1" t="s">
        <v>1397</v>
      </c>
      <c r="E40" s="14">
        <v>-3126.71</v>
      </c>
      <c r="F40" s="5" t="s">
        <v>380</v>
      </c>
      <c r="G40" s="2">
        <v>46156</v>
      </c>
      <c r="H40" s="9">
        <v>14479</v>
      </c>
      <c r="I40" s="4"/>
      <c r="J40" s="4" t="s">
        <v>380</v>
      </c>
      <c r="K40" s="7" t="s">
        <v>1398</v>
      </c>
      <c r="L40" s="1" t="s">
        <v>358</v>
      </c>
      <c r="M40" s="9" t="s">
        <v>335</v>
      </c>
      <c r="N40" s="4" t="str">
        <f>VLOOKUP(H40,Clientes!B:D,3,)</f>
        <v>BANCO SANTANDER (BRASIL) S/A</v>
      </c>
    </row>
    <row r="41" spans="1:14" hidden="1" x14ac:dyDescent="0.25">
      <c r="A41" s="4" t="str">
        <f t="shared" si="0"/>
        <v>DESPESA DE REPRESENTAÇÃO - ALMOÇO-TRADER-JOAO SHARP (094613-3688HM)</v>
      </c>
      <c r="B41" s="11">
        <v>46143</v>
      </c>
      <c r="C41" s="4">
        <v>817991</v>
      </c>
      <c r="D41" s="1" t="s">
        <v>1053</v>
      </c>
      <c r="E41" s="14">
        <v>-2680</v>
      </c>
      <c r="F41" s="5" t="s">
        <v>447</v>
      </c>
      <c r="G41" s="2">
        <v>46156</v>
      </c>
      <c r="H41" s="9">
        <v>12339</v>
      </c>
      <c r="I41" s="4"/>
      <c r="J41" s="5" t="s">
        <v>447</v>
      </c>
      <c r="K41" s="7" t="s">
        <v>1399</v>
      </c>
      <c r="L41" s="1" t="s">
        <v>1400</v>
      </c>
      <c r="M41" s="9" t="s">
        <v>335</v>
      </c>
      <c r="N41" s="4" t="str">
        <f>VLOOKUP(H41,Clientes!B:D,3,)</f>
        <v>RPS CAPITAL ADMINISTRADORA DE RECURSOS LTDA</v>
      </c>
    </row>
    <row r="42" spans="1:14" hidden="1" x14ac:dyDescent="0.25">
      <c r="A42" s="4" t="str">
        <f t="shared" si="0"/>
        <v>DESPESA DE REPRESENTAÇÃO - ALMOÇO-TRADER-ALESSANDRO EZEQUIEL JUNIOR (140141-3688RR)</v>
      </c>
      <c r="B42" s="11">
        <v>46143</v>
      </c>
      <c r="C42" s="4">
        <v>817991</v>
      </c>
      <c r="D42" s="1" t="s">
        <v>604</v>
      </c>
      <c r="E42" s="14">
        <v>-1289.33</v>
      </c>
      <c r="F42" s="5" t="s">
        <v>447</v>
      </c>
      <c r="G42" s="2">
        <v>46156</v>
      </c>
      <c r="H42" s="9">
        <v>14479</v>
      </c>
      <c r="I42" s="4"/>
      <c r="J42" s="5" t="s">
        <v>447</v>
      </c>
      <c r="K42" s="7" t="s">
        <v>1401</v>
      </c>
      <c r="L42" s="1" t="s">
        <v>160</v>
      </c>
      <c r="M42" s="9" t="s">
        <v>335</v>
      </c>
      <c r="N42" s="4" t="str">
        <f>VLOOKUP(H42,Clientes!B:D,3,)</f>
        <v>BANCO SANTANDER (BRASIL) S/A</v>
      </c>
    </row>
    <row r="43" spans="1:14" hidden="1" x14ac:dyDescent="0.25">
      <c r="A43" s="4" t="str">
        <f t="shared" si="0"/>
        <v>DESPESA DE REPRESENTAÇÃO - ALMOÇO-TRADER-KESLEY LEANDRO SILVA (151817-3688RZ)</v>
      </c>
      <c r="B43" s="11">
        <v>46143</v>
      </c>
      <c r="C43" s="4">
        <v>817991</v>
      </c>
      <c r="D43" s="1" t="s">
        <v>60</v>
      </c>
      <c r="E43" s="14">
        <v>-1449</v>
      </c>
      <c r="F43" s="5" t="s">
        <v>447</v>
      </c>
      <c r="G43" s="2">
        <v>46156</v>
      </c>
      <c r="H43" s="9">
        <v>79258</v>
      </c>
      <c r="I43" s="4"/>
      <c r="J43" s="5" t="s">
        <v>447</v>
      </c>
      <c r="K43" s="7" t="s">
        <v>1402</v>
      </c>
      <c r="L43" s="1" t="s">
        <v>579</v>
      </c>
      <c r="M43" s="9" t="s">
        <v>335</v>
      </c>
      <c r="N43" s="4" t="str">
        <f>VLOOKUP(H43,Clientes!B:D,3,)</f>
        <v>ITAU UNIBANCO S/A</v>
      </c>
    </row>
    <row r="44" spans="1:14" hidden="1" x14ac:dyDescent="0.25">
      <c r="A44" s="4" t="str">
        <f t="shared" si="0"/>
        <v>DESPESA DE REPRESENTAÇÃO - ALMOÇO-TRADER-RICARDO SANTOS DE F NOVAES (140639-3688RZ)</v>
      </c>
      <c r="B44" s="11">
        <v>46143</v>
      </c>
      <c r="C44" s="4">
        <v>817991</v>
      </c>
      <c r="D44" s="1" t="s">
        <v>60</v>
      </c>
      <c r="E44" s="14">
        <v>-996</v>
      </c>
      <c r="F44" s="5" t="s">
        <v>447</v>
      </c>
      <c r="G44" s="2">
        <v>46156</v>
      </c>
      <c r="H44" s="9">
        <v>79258</v>
      </c>
      <c r="I44" s="4"/>
      <c r="J44" s="5" t="s">
        <v>447</v>
      </c>
      <c r="K44" s="7" t="s">
        <v>1403</v>
      </c>
      <c r="L44" s="1" t="s">
        <v>1096</v>
      </c>
      <c r="M44" s="9" t="s">
        <v>335</v>
      </c>
      <c r="N44" s="4" t="str">
        <f>VLOOKUP(H44,Clientes!B:D,3,)</f>
        <v>ITAU UNIBANCO S/A</v>
      </c>
    </row>
    <row r="45" spans="1:14" hidden="1" x14ac:dyDescent="0.25">
      <c r="A45" s="4" t="str">
        <f t="shared" si="0"/>
        <v>DESPESA DE REPRESENTAÇÃO - ALMOÇO-TRADER-CARLOS R DE MENEZES JUNIOR (093646-3688RR)</v>
      </c>
      <c r="B45" s="11">
        <v>46143</v>
      </c>
      <c r="C45" s="4">
        <v>817991</v>
      </c>
      <c r="D45" s="1" t="s">
        <v>604</v>
      </c>
      <c r="E45" s="14">
        <v>-446.8</v>
      </c>
      <c r="F45" s="5" t="s">
        <v>447</v>
      </c>
      <c r="G45" s="2">
        <v>46156</v>
      </c>
      <c r="H45" s="9">
        <v>79258</v>
      </c>
      <c r="I45" s="4"/>
      <c r="J45" s="5" t="s">
        <v>447</v>
      </c>
      <c r="K45" s="7" t="s">
        <v>1404</v>
      </c>
      <c r="L45" s="1" t="s">
        <v>362</v>
      </c>
      <c r="M45" s="9" t="s">
        <v>335</v>
      </c>
      <c r="N45" s="4" t="str">
        <f>VLOOKUP(H45,Clientes!B:D,3,)</f>
        <v>ITAU UNIBANCO S/A</v>
      </c>
    </row>
    <row r="46" spans="1:14" hidden="1" x14ac:dyDescent="0.25">
      <c r="A46" s="4" t="str">
        <f t="shared" si="0"/>
        <v>DESPESA DE REPRESENTAÇÃO - PASSAGEM SÃO PAULO X BRASÍLIA -BROKER-RICARDO ANDRE VASCONCELOS RAMOS (AGENDA 41985)</v>
      </c>
      <c r="B46" s="11">
        <v>46143</v>
      </c>
      <c r="C46" s="4">
        <v>817991</v>
      </c>
      <c r="D46" s="1" t="s">
        <v>558</v>
      </c>
      <c r="E46" s="14">
        <v>-4232.8599999999997</v>
      </c>
      <c r="F46" s="5" t="s">
        <v>388</v>
      </c>
      <c r="G46" s="2">
        <v>46156</v>
      </c>
      <c r="H46" s="9">
        <v>1170</v>
      </c>
      <c r="I46" s="4"/>
      <c r="J46" s="4" t="s">
        <v>812</v>
      </c>
      <c r="K46" s="7" t="s">
        <v>1405</v>
      </c>
      <c r="L46" s="1" t="s">
        <v>604</v>
      </c>
      <c r="M46" s="9" t="s">
        <v>2</v>
      </c>
      <c r="N46" s="4" t="str">
        <f>VLOOKUP(H46,Clientes!B:D,3,)</f>
        <v>BGC LIQUIDEZ DTVM LTDA</v>
      </c>
    </row>
    <row r="47" spans="1:14" hidden="1" x14ac:dyDescent="0.25">
      <c r="A47" s="4" t="str">
        <f t="shared" si="0"/>
        <v>DESPESA DE REPRESENTAÇÃO - PASSAGEM SÃO PAULO X BRASÍLIA -ECONOMISTA-FELIPE DE SA TAVARES (AGENDA 41985)</v>
      </c>
      <c r="B47" s="11">
        <v>46143</v>
      </c>
      <c r="C47" s="4">
        <v>817991</v>
      </c>
      <c r="D47" s="1" t="s">
        <v>558</v>
      </c>
      <c r="E47" s="14">
        <v>-2891.63</v>
      </c>
      <c r="F47" s="5" t="s">
        <v>388</v>
      </c>
      <c r="G47" s="2">
        <v>46156</v>
      </c>
      <c r="H47" s="9">
        <v>1170</v>
      </c>
      <c r="I47" s="4"/>
      <c r="J47" s="4" t="s">
        <v>812</v>
      </c>
      <c r="K47" s="7" t="s">
        <v>1405</v>
      </c>
      <c r="L47" s="16" t="s">
        <v>768</v>
      </c>
      <c r="M47" s="9" t="s">
        <v>551</v>
      </c>
      <c r="N47" s="4" t="str">
        <f>VLOOKUP(H47,Clientes!B:D,3,)</f>
        <v>BGC LIQUIDEZ DTVM LTDA</v>
      </c>
    </row>
    <row r="48" spans="1:14" hidden="1" x14ac:dyDescent="0.25">
      <c r="A48" s="4" t="str">
        <f t="shared" si="0"/>
        <v>DESPESA DE REPRESENTAÇÃO - PASSAGEM SÃO PAULO X BRASÍLIA -ECONOMISTA-FELIPE DE SA TAVARES (AGENDA 41985)</v>
      </c>
      <c r="B48" s="11">
        <v>46143</v>
      </c>
      <c r="C48" s="4">
        <v>817991</v>
      </c>
      <c r="D48" s="16" t="s">
        <v>768</v>
      </c>
      <c r="E48" s="14">
        <v>-1483.54</v>
      </c>
      <c r="F48" s="5" t="s">
        <v>388</v>
      </c>
      <c r="G48" s="2">
        <v>46156</v>
      </c>
      <c r="H48" s="9">
        <v>1170</v>
      </c>
      <c r="I48" s="4"/>
      <c r="J48" s="4" t="s">
        <v>812</v>
      </c>
      <c r="K48" s="7" t="s">
        <v>1405</v>
      </c>
      <c r="L48" s="16" t="s">
        <v>768</v>
      </c>
      <c r="M48" s="9" t="s">
        <v>551</v>
      </c>
      <c r="N48" s="4" t="str">
        <f>VLOOKUP(H48,Clientes!B:D,3,)</f>
        <v>BGC LIQUIDEZ DTVM LTDA</v>
      </c>
    </row>
    <row r="49" spans="1:14" hidden="1" x14ac:dyDescent="0.25">
      <c r="A49" s="4" t="str">
        <f t="shared" si="0"/>
        <v>DESPESA DE REPRESENTAÇÃO - ALMOÇO-TRADER-FERNANDO OZAKI (135554-3688AS)</v>
      </c>
      <c r="B49" s="11">
        <v>46143</v>
      </c>
      <c r="C49" s="4">
        <v>817991</v>
      </c>
      <c r="D49" s="1" t="s">
        <v>449</v>
      </c>
      <c r="E49" s="14">
        <v>-707</v>
      </c>
      <c r="F49" s="5" t="s">
        <v>447</v>
      </c>
      <c r="G49" s="2">
        <v>46156</v>
      </c>
      <c r="H49" s="9">
        <v>79241</v>
      </c>
      <c r="I49" s="4"/>
      <c r="J49" s="5" t="s">
        <v>447</v>
      </c>
      <c r="K49" s="7" t="s">
        <v>1406</v>
      </c>
      <c r="L49" s="1" t="s">
        <v>1407</v>
      </c>
      <c r="M49" s="9" t="s">
        <v>335</v>
      </c>
      <c r="N49" s="4" t="str">
        <f>VLOOKUP(H49,Clientes!B:D,3,)</f>
        <v>BANK OF AMERICA MERRILL LYNCH BANCO MULTIPLO S/A</v>
      </c>
    </row>
    <row r="50" spans="1:14" hidden="1" x14ac:dyDescent="0.25">
      <c r="A50" s="4" t="str">
        <f t="shared" si="0"/>
        <v>DESPESA DE REPRESENTAÇÃO - ALMOÇO E TAXI-TRADER-PAULO CETIN (121642-3688EC)</v>
      </c>
      <c r="B50" s="11">
        <v>46143</v>
      </c>
      <c r="C50" s="4">
        <v>817991</v>
      </c>
      <c r="D50" s="1" t="s">
        <v>378</v>
      </c>
      <c r="E50" s="14">
        <v>-1867.52</v>
      </c>
      <c r="F50" s="5" t="s">
        <v>447</v>
      </c>
      <c r="G50" s="2">
        <v>46156</v>
      </c>
      <c r="H50" s="9">
        <v>95007</v>
      </c>
      <c r="I50" s="4"/>
      <c r="J50" s="4" t="s">
        <v>1408</v>
      </c>
      <c r="K50" s="7" t="s">
        <v>1409</v>
      </c>
      <c r="L50" s="1" t="s">
        <v>1410</v>
      </c>
      <c r="M50" s="9" t="s">
        <v>335</v>
      </c>
      <c r="N50" s="4" t="str">
        <f>VLOOKUP(H50,Clientes!B:D,3,)</f>
        <v>BANCO BNP PARIBAS BRASIL S/A</v>
      </c>
    </row>
    <row r="51" spans="1:14" hidden="1" x14ac:dyDescent="0.25">
      <c r="A51" s="4" t="str">
        <f t="shared" si="0"/>
        <v>DESPESA DE REPRESENTAÇÃO - ALMOÇO-TRADER-JOAO MARCELO F LOPES (095419-3688CB)</v>
      </c>
      <c r="B51" s="11">
        <v>46143</v>
      </c>
      <c r="C51" s="4">
        <v>817991</v>
      </c>
      <c r="D51" s="1" t="s">
        <v>574</v>
      </c>
      <c r="E51" s="14">
        <v>-1740.2</v>
      </c>
      <c r="F51" s="5" t="s">
        <v>447</v>
      </c>
      <c r="G51" s="2">
        <v>46156</v>
      </c>
      <c r="H51" s="9">
        <v>79455</v>
      </c>
      <c r="I51" s="4"/>
      <c r="J51" s="4" t="s">
        <v>447</v>
      </c>
      <c r="K51" s="7" t="s">
        <v>1412</v>
      </c>
      <c r="L51" s="1" t="s">
        <v>1411</v>
      </c>
      <c r="M51" s="9" t="s">
        <v>335</v>
      </c>
      <c r="N51" s="4" t="str">
        <f>VLOOKUP(H51,Clientes!B:D,3,)</f>
        <v>ITAU UNIBANCO S/A</v>
      </c>
    </row>
    <row r="52" spans="1:14" hidden="1" x14ac:dyDescent="0.25">
      <c r="A52" s="4" t="str">
        <f t="shared" si="0"/>
        <v>DESPESA DE REPRESENTAÇÃO - ALMOÇO-TRADER-RAFAEL BONNAS  (152022-3688BG)</v>
      </c>
      <c r="B52" s="11">
        <v>46143</v>
      </c>
      <c r="C52" s="4">
        <v>817991</v>
      </c>
      <c r="D52" s="16" t="s">
        <v>23</v>
      </c>
      <c r="E52" s="14">
        <v>-1067</v>
      </c>
      <c r="F52" s="5" t="s">
        <v>447</v>
      </c>
      <c r="G52" s="2">
        <v>46156</v>
      </c>
      <c r="H52" s="9">
        <v>80386</v>
      </c>
      <c r="I52" s="4"/>
      <c r="J52" s="4" t="s">
        <v>447</v>
      </c>
      <c r="K52" s="7" t="s">
        <v>1413</v>
      </c>
      <c r="L52" s="1" t="s">
        <v>1415</v>
      </c>
      <c r="M52" s="9" t="s">
        <v>335</v>
      </c>
      <c r="N52" s="4" t="str">
        <f>VLOOKUP(H52,Clientes!B:D,3,)</f>
        <v>LEGACY CAPITAL GESTORA DE RECURSOS LTDA</v>
      </c>
    </row>
    <row r="53" spans="1:14" hidden="1" x14ac:dyDescent="0.25">
      <c r="A53" s="4" t="str">
        <f t="shared" si="0"/>
        <v>DESPESA DE REPRESENTAÇÃO - JANTAR-TRADER-ADRIANO SCARSO MENEGHINI (092636-3688BG)</v>
      </c>
      <c r="B53" s="11">
        <v>46143</v>
      </c>
      <c r="C53" s="4">
        <v>817991</v>
      </c>
      <c r="D53" s="16" t="s">
        <v>23</v>
      </c>
      <c r="E53" s="14">
        <v>-1247</v>
      </c>
      <c r="F53" s="5" t="s">
        <v>380</v>
      </c>
      <c r="G53" s="2">
        <v>46156</v>
      </c>
      <c r="H53" s="9">
        <v>79258</v>
      </c>
      <c r="I53" s="4"/>
      <c r="J53" s="4" t="s">
        <v>380</v>
      </c>
      <c r="K53" s="7" t="s">
        <v>1414</v>
      </c>
      <c r="L53" s="1" t="s">
        <v>147</v>
      </c>
      <c r="M53" s="9" t="s">
        <v>335</v>
      </c>
      <c r="N53" s="4" t="str">
        <f>VLOOKUP(H53,Clientes!B:D,3,)</f>
        <v>ITAU UNIBANCO S/A</v>
      </c>
    </row>
    <row r="54" spans="1:14" hidden="1" x14ac:dyDescent="0.25">
      <c r="A54" s="4" t="str">
        <f t="shared" si="0"/>
        <v>DESPESA DE REPRESENTAÇÃO - JANTAR-TRADER-FERNANDO CAMILLO  (142126-3688RU)</v>
      </c>
      <c r="B54" s="11">
        <v>46143</v>
      </c>
      <c r="C54" s="4">
        <v>817991</v>
      </c>
      <c r="D54" s="1" t="s">
        <v>652</v>
      </c>
      <c r="E54" s="14">
        <v>-1520.98</v>
      </c>
      <c r="F54" s="5" t="s">
        <v>380</v>
      </c>
      <c r="G54" s="2">
        <v>46156</v>
      </c>
      <c r="H54" s="9">
        <v>81501</v>
      </c>
      <c r="I54" s="4"/>
      <c r="J54" s="4" t="s">
        <v>380</v>
      </c>
      <c r="K54" s="7" t="s">
        <v>1416</v>
      </c>
      <c r="L54" s="1" t="s">
        <v>1418</v>
      </c>
      <c r="M54" s="9" t="s">
        <v>335</v>
      </c>
      <c r="N54" s="4" t="str">
        <f>VLOOKUP(H54,Clientes!B:D,3,)</f>
        <v>PORTO SEGURO INVESTIMENTOS LTDA</v>
      </c>
    </row>
    <row r="55" spans="1:14" hidden="1" x14ac:dyDescent="0.25">
      <c r="A55" s="4" t="str">
        <f t="shared" si="0"/>
        <v>DESPESA DE REPRESENTAÇÃO - ALMOÇO-TRADER-LEONARDO MASSAHIKO NAKAJIMA (141946-3688RU)</v>
      </c>
      <c r="B55" s="11">
        <v>46143</v>
      </c>
      <c r="C55" s="4">
        <v>817991</v>
      </c>
      <c r="D55" s="1" t="s">
        <v>652</v>
      </c>
      <c r="E55" s="14">
        <v>-668.96</v>
      </c>
      <c r="F55" s="5" t="s">
        <v>447</v>
      </c>
      <c r="G55" s="2">
        <v>46156</v>
      </c>
      <c r="H55" s="9">
        <v>81501</v>
      </c>
      <c r="I55" s="4"/>
      <c r="J55" s="5" t="s">
        <v>447</v>
      </c>
      <c r="K55" s="7" t="s">
        <v>1417</v>
      </c>
      <c r="L55" s="1" t="s">
        <v>553</v>
      </c>
      <c r="M55" s="9" t="s">
        <v>335</v>
      </c>
      <c r="N55" s="4" t="str">
        <f>VLOOKUP(H55,Clientes!B:D,3,)</f>
        <v>PORTO SEGURO INVESTIMENTOS LTDA</v>
      </c>
    </row>
    <row r="56" spans="1:14" hidden="1" x14ac:dyDescent="0.25">
      <c r="A56" s="4" t="str">
        <f t="shared" si="0"/>
        <v>DESPESA DE REPRESENTAÇÃO - HAPPY HOUR-TRADER-MARCELO SCHOLZ ISSA (122141-3688AA)</v>
      </c>
      <c r="B56" s="11">
        <v>46143</v>
      </c>
      <c r="C56" s="4">
        <v>817991</v>
      </c>
      <c r="D56" s="1" t="s">
        <v>379</v>
      </c>
      <c r="E56" s="14">
        <v>-990</v>
      </c>
      <c r="F56" s="5" t="s">
        <v>387</v>
      </c>
      <c r="G56" s="2">
        <v>46156</v>
      </c>
      <c r="H56" s="9">
        <v>81259</v>
      </c>
      <c r="I56" s="4"/>
      <c r="J56" s="4" t="s">
        <v>485</v>
      </c>
      <c r="K56" s="7" t="s">
        <v>1419</v>
      </c>
      <c r="L56" s="1" t="s">
        <v>681</v>
      </c>
      <c r="M56" s="9" t="s">
        <v>335</v>
      </c>
      <c r="N56" s="4" t="str">
        <f>VLOOKUP(H56,Clientes!B:D,3,)</f>
        <v>GOLDMAN SACHS DO BRASIL BANCO MULTIPLO S/A</v>
      </c>
    </row>
    <row r="57" spans="1:14" hidden="1" x14ac:dyDescent="0.25">
      <c r="A57" s="4" t="str">
        <f t="shared" si="0"/>
        <v>DESPESA DE REPRESENTAÇÃO - JANTAR COM CEO TERRA -CEO-ERMINIO OLIVI LUCCI (AGENDA 41994)</v>
      </c>
      <c r="B57" s="11">
        <v>46143</v>
      </c>
      <c r="C57" s="4">
        <v>817991</v>
      </c>
      <c r="D57" s="1" t="s">
        <v>650</v>
      </c>
      <c r="E57" s="14">
        <v>-796.76</v>
      </c>
      <c r="F57" s="5" t="s">
        <v>380</v>
      </c>
      <c r="G57" s="2">
        <v>46156</v>
      </c>
      <c r="H57" s="9">
        <v>1170</v>
      </c>
      <c r="I57" s="4"/>
      <c r="J57" s="4" t="s">
        <v>1421</v>
      </c>
      <c r="K57" s="7" t="s">
        <v>1420</v>
      </c>
      <c r="L57" s="1" t="s">
        <v>650</v>
      </c>
      <c r="M57" s="9" t="s">
        <v>490</v>
      </c>
      <c r="N57" s="4" t="str">
        <f>VLOOKUP(H57,Clientes!B:D,3,)</f>
        <v>BGC LIQUIDEZ DTVM LTDA</v>
      </c>
    </row>
    <row r="58" spans="1:14" hidden="1" x14ac:dyDescent="0.25">
      <c r="A58" s="4" t="str">
        <f t="shared" si="0"/>
        <v>DESPESA DE REPRESENTAÇÃO - TAXIS RESIDÊNCIA X BGC-CEO-ERMINIO OLIVI LUCCI (AGENDA 41994)</v>
      </c>
      <c r="B58" s="11">
        <v>46143</v>
      </c>
      <c r="C58" s="4">
        <v>817991</v>
      </c>
      <c r="D58" s="1" t="s">
        <v>650</v>
      </c>
      <c r="E58" s="14">
        <v>-4080</v>
      </c>
      <c r="F58" s="5" t="s">
        <v>388</v>
      </c>
      <c r="G58" s="2">
        <v>46156</v>
      </c>
      <c r="H58" s="9">
        <v>1170</v>
      </c>
      <c r="I58" s="4"/>
      <c r="J58" s="4" t="s">
        <v>1422</v>
      </c>
      <c r="K58" s="7" t="s">
        <v>1420</v>
      </c>
      <c r="L58" s="1" t="s">
        <v>650</v>
      </c>
      <c r="M58" s="9" t="s">
        <v>490</v>
      </c>
      <c r="N58" s="4" t="str">
        <f>VLOOKUP(H58,Clientes!B:D,3,)</f>
        <v>BGC LIQUIDEZ DTVM LTDA</v>
      </c>
    </row>
    <row r="59" spans="1:14" hidden="1" x14ac:dyDescent="0.25">
      <c r="A59" s="4" t="str">
        <f t="shared" si="0"/>
        <v>DESPESA DE REPRESENTAÇÃO - SNACKS BGCL-CEO-ERMINIO OLIVI LUCCI (AGENDA 41994)</v>
      </c>
      <c r="B59" s="11">
        <v>46143</v>
      </c>
      <c r="C59" s="4">
        <v>817991</v>
      </c>
      <c r="D59" s="1" t="s">
        <v>650</v>
      </c>
      <c r="E59" s="14">
        <v>-520</v>
      </c>
      <c r="F59" s="5" t="s">
        <v>1056</v>
      </c>
      <c r="G59" s="2">
        <v>46156</v>
      </c>
      <c r="H59" s="9">
        <v>1170</v>
      </c>
      <c r="I59" s="4"/>
      <c r="J59" s="4" t="s">
        <v>1423</v>
      </c>
      <c r="K59" s="7" t="s">
        <v>1420</v>
      </c>
      <c r="L59" s="1" t="s">
        <v>650</v>
      </c>
      <c r="M59" s="9" t="s">
        <v>490</v>
      </c>
      <c r="N59" s="4" t="str">
        <f>VLOOKUP(H59,Clientes!B:D,3,)</f>
        <v>BGC LIQUIDEZ DTVM LTDA</v>
      </c>
    </row>
    <row r="60" spans="1:14" hidden="1" x14ac:dyDescent="0.25">
      <c r="A60" s="4" t="str">
        <f t="shared" si="0"/>
        <v>DESPESA DE REPRESENTAÇÃO - ALMOÇO COM FELIPE GESTORA LATUS-CEO-ERMINIO OLIVI LUCCI (AGENDA 41994)</v>
      </c>
      <c r="B60" s="11">
        <v>46143</v>
      </c>
      <c r="C60" s="4">
        <v>817991</v>
      </c>
      <c r="D60" s="1" t="s">
        <v>650</v>
      </c>
      <c r="E60" s="14">
        <v>-227.13</v>
      </c>
      <c r="F60" s="5" t="s">
        <v>447</v>
      </c>
      <c r="G60" s="2">
        <v>46156</v>
      </c>
      <c r="H60" s="9">
        <v>1170</v>
      </c>
      <c r="I60" s="4"/>
      <c r="J60" s="4" t="s">
        <v>1424</v>
      </c>
      <c r="K60" s="7" t="s">
        <v>1420</v>
      </c>
      <c r="L60" s="1" t="s">
        <v>650</v>
      </c>
      <c r="M60" s="9" t="s">
        <v>490</v>
      </c>
      <c r="N60" s="4" t="str">
        <f>VLOOKUP(H60,Clientes!B:D,3,)</f>
        <v>BGC LIQUIDEZ DTVM LTDA</v>
      </c>
    </row>
    <row r="61" spans="1:14" hidden="1" x14ac:dyDescent="0.25">
      <c r="A61" s="4" t="str">
        <f t="shared" si="0"/>
        <v>DESPESA DE REPRESENTAÇÃO - ALMOÇO-GESTOR-ANDRE HALL ACCIOLY (AGENDA 41994)</v>
      </c>
      <c r="B61" s="11">
        <v>46143</v>
      </c>
      <c r="C61" s="4">
        <v>817991</v>
      </c>
      <c r="D61" s="1" t="s">
        <v>650</v>
      </c>
      <c r="E61" s="14">
        <v>-326.57</v>
      </c>
      <c r="F61" s="5" t="s">
        <v>447</v>
      </c>
      <c r="G61" s="2">
        <v>46156</v>
      </c>
      <c r="H61" s="9">
        <v>1170</v>
      </c>
      <c r="I61" s="4"/>
      <c r="J61" s="4" t="s">
        <v>447</v>
      </c>
      <c r="K61" s="7" t="s">
        <v>1420</v>
      </c>
      <c r="L61" s="1" t="s">
        <v>742</v>
      </c>
      <c r="M61" s="9" t="s">
        <v>598</v>
      </c>
      <c r="N61" s="4" t="str">
        <f>VLOOKUP(H61,Clientes!B:D,3,)</f>
        <v>BGC LIQUIDEZ DTVM LTDA</v>
      </c>
    </row>
    <row r="62" spans="1:14" hidden="1" x14ac:dyDescent="0.25">
      <c r="A62" s="4" t="str">
        <f t="shared" si="0"/>
        <v>DESPESA DE REPRESENTAÇÃO - ALMOÇO-SALES-ROBERT HENDRIK SCHARRINGA (AGENDA 41994)</v>
      </c>
      <c r="B62" s="11">
        <v>46143</v>
      </c>
      <c r="C62" s="4">
        <v>817991</v>
      </c>
      <c r="D62" s="1" t="s">
        <v>650</v>
      </c>
      <c r="E62" s="14">
        <v>-906.71</v>
      </c>
      <c r="F62" s="5" t="s">
        <v>447</v>
      </c>
      <c r="G62" s="2">
        <v>46156</v>
      </c>
      <c r="H62" s="9">
        <v>1170</v>
      </c>
      <c r="I62" s="4"/>
      <c r="J62" s="4" t="s">
        <v>447</v>
      </c>
      <c r="K62" s="7" t="s">
        <v>1420</v>
      </c>
      <c r="L62" s="1" t="s">
        <v>769</v>
      </c>
      <c r="M62" s="9" t="s">
        <v>468</v>
      </c>
      <c r="N62" s="4" t="str">
        <f>VLOOKUP(H62,Clientes!B:D,3,)</f>
        <v>BGC LIQUIDEZ DTVM LTDA</v>
      </c>
    </row>
    <row r="63" spans="1:14" hidden="1" x14ac:dyDescent="0.25">
      <c r="A63" s="4" t="str">
        <f t="shared" si="0"/>
        <v>DESPESA DE REPRESENTAÇÃO - ALMOÇO-TRADER-BRUNO SILVA CARVALHO (124051-3688GF)</v>
      </c>
      <c r="B63" s="11">
        <v>46143</v>
      </c>
      <c r="C63" s="4">
        <v>817991</v>
      </c>
      <c r="D63" s="1" t="s">
        <v>615</v>
      </c>
      <c r="E63" s="14">
        <v>-1872.41</v>
      </c>
      <c r="F63" s="5" t="s">
        <v>447</v>
      </c>
      <c r="G63" s="2">
        <v>46156</v>
      </c>
      <c r="H63" s="9">
        <v>82639</v>
      </c>
      <c r="I63" s="4"/>
      <c r="J63" s="5" t="s">
        <v>447</v>
      </c>
      <c r="K63" s="7" t="s">
        <v>1425</v>
      </c>
      <c r="L63" s="1" t="s">
        <v>1082</v>
      </c>
      <c r="M63" s="9" t="s">
        <v>335</v>
      </c>
      <c r="N63" s="4" t="str">
        <f>VLOOKUP(H63,Clientes!B:D,3,)</f>
        <v>SAFRA ASSET CORRETORA DE TITULOS E VALORES MOBILIARIOS S.A.</v>
      </c>
    </row>
    <row r="64" spans="1:14" hidden="1" x14ac:dyDescent="0.25">
      <c r="A64" s="4" t="str">
        <f t="shared" si="0"/>
        <v>DESPESA DE REPRESENTAÇÃO - ALMOÇO-TRADER-GETULIO TURATTI OST (124348-3688GF)</v>
      </c>
      <c r="B64" s="11">
        <v>46143</v>
      </c>
      <c r="C64" s="4">
        <v>817991</v>
      </c>
      <c r="D64" s="1" t="s">
        <v>615</v>
      </c>
      <c r="E64" s="14">
        <v>-497.2</v>
      </c>
      <c r="F64" s="5" t="s">
        <v>447</v>
      </c>
      <c r="G64" s="2">
        <v>46156</v>
      </c>
      <c r="H64" s="9">
        <v>79956</v>
      </c>
      <c r="I64" s="4"/>
      <c r="J64" s="5" t="s">
        <v>447</v>
      </c>
      <c r="K64" s="7" t="s">
        <v>1426</v>
      </c>
      <c r="L64" s="1" t="s">
        <v>1126</v>
      </c>
      <c r="M64" s="9" t="s">
        <v>335</v>
      </c>
      <c r="N64" s="4" t="str">
        <f>VLOOKUP(H64,Clientes!B:D,3,)</f>
        <v>SUL AMERICA INVESTIMENTOS GESTORA DE RECURSOS S/A</v>
      </c>
    </row>
    <row r="65" spans="1:14" hidden="1" x14ac:dyDescent="0.25">
      <c r="A65" s="4" t="str">
        <f t="shared" si="0"/>
        <v>DESPESA DE REPRESENTAÇÃO - ALMOÇO-TRADER-LEONARDO PEIXOTO MACEDO (101524-3688AM)</v>
      </c>
      <c r="B65" s="11">
        <v>46143</v>
      </c>
      <c r="C65" s="4">
        <v>817991</v>
      </c>
      <c r="D65" s="1" t="s">
        <v>626</v>
      </c>
      <c r="E65" s="14">
        <v>-3735.78</v>
      </c>
      <c r="F65" s="5" t="s">
        <v>447</v>
      </c>
      <c r="G65" s="2">
        <v>46156</v>
      </c>
      <c r="H65" s="9">
        <v>80883</v>
      </c>
      <c r="I65" s="4"/>
      <c r="J65" s="5" t="s">
        <v>447</v>
      </c>
      <c r="K65" s="7" t="s">
        <v>1427</v>
      </c>
      <c r="L65" s="1" t="s">
        <v>1428</v>
      </c>
      <c r="M65" s="9" t="s">
        <v>335</v>
      </c>
      <c r="N65" s="4" t="str">
        <f>VLOOKUP(H65,Clientes!B:D,3,)</f>
        <v>GENOA CAPITAL GESTORA DE RECURSOS LTDA</v>
      </c>
    </row>
    <row r="66" spans="1:14" hidden="1" x14ac:dyDescent="0.25">
      <c r="A66" s="4" t="str">
        <f t="shared" si="0"/>
        <v>DESPESA DE REPRESENTAÇÃO - ALMOÇO-TRADER-FELIPE NOVAIS GARCIA (153303-3688AS)</v>
      </c>
      <c r="B66" s="11">
        <v>46143</v>
      </c>
      <c r="C66" s="4">
        <v>817991</v>
      </c>
      <c r="D66" s="1" t="s">
        <v>449</v>
      </c>
      <c r="E66" s="14">
        <v>-1106</v>
      </c>
      <c r="F66" s="5" t="s">
        <v>447</v>
      </c>
      <c r="G66" s="2">
        <v>46156</v>
      </c>
      <c r="H66" s="9">
        <v>80573</v>
      </c>
      <c r="I66" s="4"/>
      <c r="J66" s="5" t="s">
        <v>447</v>
      </c>
      <c r="K66" s="7" t="s">
        <v>1429</v>
      </c>
      <c r="L66" s="1" t="s">
        <v>611</v>
      </c>
      <c r="M66" s="9" t="s">
        <v>335</v>
      </c>
      <c r="N66" s="4" t="str">
        <f>VLOOKUP(H66,Clientes!B:D,3,)</f>
        <v>BANCO C6 S/A</v>
      </c>
    </row>
    <row r="67" spans="1:14" hidden="1" x14ac:dyDescent="0.25">
      <c r="A67" s="4" t="str">
        <f t="shared" ref="A67:A130" si="1">CONCATENATE($J$1,J67,$I$3,M67,$I$3,L67,$I$1,K67,$I$2)</f>
        <v>DESPESA DE REPRESENTAÇÃO - ALMOÇO-TRADER-ANTONIO JOAQUIM DE M ANDRADE (145021-3688AS)</v>
      </c>
      <c r="B67" s="11">
        <v>46143</v>
      </c>
      <c r="C67" s="4">
        <v>817991</v>
      </c>
      <c r="D67" s="1" t="s">
        <v>449</v>
      </c>
      <c r="E67" s="14">
        <v>-241</v>
      </c>
      <c r="F67" s="5" t="s">
        <v>447</v>
      </c>
      <c r="G67" s="2">
        <v>46156</v>
      </c>
      <c r="H67" s="9">
        <v>15501</v>
      </c>
      <c r="I67" s="4"/>
      <c r="J67" s="5" t="s">
        <v>447</v>
      </c>
      <c r="K67" s="7" t="s">
        <v>1430</v>
      </c>
      <c r="L67" s="1" t="s">
        <v>867</v>
      </c>
      <c r="M67" s="9" t="s">
        <v>335</v>
      </c>
      <c r="N67" s="4" t="str">
        <f>VLOOKUP(H67,Clientes!B:D,3,)</f>
        <v>BANCO BTG PACTUAL S/A</v>
      </c>
    </row>
    <row r="68" spans="1:14" hidden="1" x14ac:dyDescent="0.25">
      <c r="A68" s="4" t="str">
        <f t="shared" si="1"/>
        <v>DESPESA DE REPRESENTAÇÃO - ALMOÇO-TRADER-GUSTAVO VIEIRA (161415-3688JT)</v>
      </c>
      <c r="B68" s="11">
        <v>46143</v>
      </c>
      <c r="C68" s="4">
        <v>817991</v>
      </c>
      <c r="D68" s="1" t="s">
        <v>23</v>
      </c>
      <c r="E68" s="14">
        <v>-651</v>
      </c>
      <c r="F68" s="5" t="s">
        <v>447</v>
      </c>
      <c r="G68" s="2">
        <v>46156</v>
      </c>
      <c r="H68" s="9">
        <v>80132</v>
      </c>
      <c r="I68" s="4"/>
      <c r="J68" s="5" t="s">
        <v>447</v>
      </c>
      <c r="K68" s="7" t="s">
        <v>1431</v>
      </c>
      <c r="L68" s="1" t="s">
        <v>1432</v>
      </c>
      <c r="M68" s="9" t="s">
        <v>335</v>
      </c>
      <c r="N68" s="4" t="str">
        <f>VLOOKUP(H68,Clientes!B:D,3,)</f>
        <v>GLOBO COMUNICACAO E PARTICIPACOES S.A</v>
      </c>
    </row>
    <row r="69" spans="1:14" hidden="1" x14ac:dyDescent="0.25">
      <c r="A69" s="4" t="str">
        <f t="shared" si="1"/>
        <v>DESPESA DE REPRESENTAÇÃO - ALMOÇO COM NOMAD GLOBAL -TRADER-MURILO GOMES (145843-3688JL)</v>
      </c>
      <c r="B69" s="11">
        <v>46143</v>
      </c>
      <c r="C69" s="4">
        <v>817991</v>
      </c>
      <c r="D69" s="1" t="s">
        <v>614</v>
      </c>
      <c r="E69" s="14">
        <v>-1858.41</v>
      </c>
      <c r="F69" s="5" t="s">
        <v>447</v>
      </c>
      <c r="G69" s="2">
        <v>46156</v>
      </c>
      <c r="H69" s="9">
        <v>1170</v>
      </c>
      <c r="I69" s="4"/>
      <c r="J69" s="4" t="s">
        <v>1433</v>
      </c>
      <c r="K69" s="7" t="s">
        <v>1434</v>
      </c>
      <c r="L69" s="1" t="s">
        <v>1435</v>
      </c>
      <c r="M69" s="9" t="s">
        <v>335</v>
      </c>
      <c r="N69" s="4" t="str">
        <f>VLOOKUP(H69,Clientes!B:D,3,)</f>
        <v>BGC LIQUIDEZ DTVM LTDA</v>
      </c>
    </row>
    <row r="70" spans="1:14" hidden="1" x14ac:dyDescent="0.25">
      <c r="A70" s="4" t="str">
        <f t="shared" si="1"/>
        <v>DESPESA DE REPRESENTAÇÃO - CARTÃO CORPORATIVO NACIONAL-CEO-ERMINIO OLIVI LUCCI (AGENDA 41949)</v>
      </c>
      <c r="B70" s="11">
        <v>46143</v>
      </c>
      <c r="C70" s="4">
        <v>817991</v>
      </c>
      <c r="D70" s="1" t="s">
        <v>650</v>
      </c>
      <c r="E70" s="14">
        <v>-37621</v>
      </c>
      <c r="F70" s="5" t="s">
        <v>389</v>
      </c>
      <c r="G70" s="2">
        <v>46157</v>
      </c>
      <c r="H70" s="9">
        <v>1170</v>
      </c>
      <c r="I70" s="4"/>
      <c r="J70" s="4" t="s">
        <v>984</v>
      </c>
      <c r="K70" s="7" t="s">
        <v>1647</v>
      </c>
      <c r="L70" s="1" t="s">
        <v>650</v>
      </c>
      <c r="M70" s="9" t="s">
        <v>490</v>
      </c>
      <c r="N70" s="4" t="str">
        <f>VLOOKUP(H70,Clientes!B:D,3,)</f>
        <v>BGC LIQUIDEZ DTVM LTDA</v>
      </c>
    </row>
    <row r="71" spans="1:14" hidden="1" x14ac:dyDescent="0.25">
      <c r="A71" s="4" t="str">
        <f t="shared" si="1"/>
        <v>DESPESA DE REPRESENTAÇÃO - CARTÃO CORPORATIVO INTERNACIONAL-CEO-ERMINIO OLIVI LUCCI (AGENDA 41949)</v>
      </c>
      <c r="B71" s="11">
        <v>46143</v>
      </c>
      <c r="C71" s="4">
        <v>817991</v>
      </c>
      <c r="D71" s="1" t="s">
        <v>650</v>
      </c>
      <c r="E71" s="14">
        <v>-26800.44</v>
      </c>
      <c r="F71" s="5" t="s">
        <v>389</v>
      </c>
      <c r="G71" s="2">
        <v>46157</v>
      </c>
      <c r="H71" s="9">
        <v>1170</v>
      </c>
      <c r="I71" s="4"/>
      <c r="J71" s="4" t="s">
        <v>983</v>
      </c>
      <c r="K71" s="7" t="s">
        <v>1647</v>
      </c>
      <c r="L71" s="1" t="s">
        <v>650</v>
      </c>
      <c r="M71" s="9" t="s">
        <v>490</v>
      </c>
      <c r="N71" s="4" t="str">
        <f>VLOOKUP(H71,Clientes!B:D,3,)</f>
        <v>BGC LIQUIDEZ DTVM LTDA</v>
      </c>
    </row>
    <row r="72" spans="1:14" hidden="1" x14ac:dyDescent="0.25">
      <c r="A72" s="4" t="str">
        <f t="shared" si="1"/>
        <v>DESPESA DE REPRESENTAÇÃO - EXTRA DE BEBIDAS ALCOOLICAS - EVENTO KART-SALES-JOSE ANTONIO DEZENE JUNIOR (AGENDA 41949)</v>
      </c>
      <c r="B72" s="11">
        <v>46143</v>
      </c>
      <c r="C72" s="4">
        <v>817991</v>
      </c>
      <c r="D72" s="1" t="s">
        <v>428</v>
      </c>
      <c r="E72" s="14">
        <v>-5700</v>
      </c>
      <c r="F72" s="5" t="s">
        <v>387</v>
      </c>
      <c r="G72" s="2">
        <v>46157</v>
      </c>
      <c r="H72" s="9">
        <v>1170</v>
      </c>
      <c r="I72" s="4"/>
      <c r="J72" s="4" t="s">
        <v>1644</v>
      </c>
      <c r="K72" s="7" t="s">
        <v>1647</v>
      </c>
      <c r="L72" s="1" t="s">
        <v>428</v>
      </c>
      <c r="M72" s="9" t="s">
        <v>468</v>
      </c>
      <c r="N72" s="4" t="str">
        <f>VLOOKUP(H72,Clientes!B:D,3,)</f>
        <v>BGC LIQUIDEZ DTVM LTDA</v>
      </c>
    </row>
    <row r="73" spans="1:14" hidden="1" x14ac:dyDescent="0.25">
      <c r="A73" s="4" t="str">
        <f t="shared" si="1"/>
        <v>DESPESA DE REPRESENTAÇÃO - ESTACIONAMENTO DAS DUAS VANS - EVENTO KART-SALES-JOSE ANTONIO DEZENE JUNIOR (AGENDA 41949)</v>
      </c>
      <c r="B73" s="11">
        <v>46143</v>
      </c>
      <c r="C73" s="4">
        <v>817991</v>
      </c>
      <c r="D73" s="1" t="s">
        <v>428</v>
      </c>
      <c r="E73" s="14">
        <v>-30</v>
      </c>
      <c r="F73" s="5" t="s">
        <v>387</v>
      </c>
      <c r="G73" s="2">
        <v>46157</v>
      </c>
      <c r="H73" s="9">
        <v>1170</v>
      </c>
      <c r="I73" s="4"/>
      <c r="J73" s="4" t="s">
        <v>1643</v>
      </c>
      <c r="K73" s="7" t="s">
        <v>1647</v>
      </c>
      <c r="L73" s="1" t="s">
        <v>428</v>
      </c>
      <c r="M73" s="9" t="s">
        <v>468</v>
      </c>
      <c r="N73" s="4" t="str">
        <f>VLOOKUP(H73,Clientes!B:D,3,)</f>
        <v>BGC LIQUIDEZ DTVM LTDA</v>
      </c>
    </row>
    <row r="74" spans="1:14" hidden="1" x14ac:dyDescent="0.25">
      <c r="A74" s="4" t="str">
        <f t="shared" si="1"/>
        <v>DESPESA DE REPRESENTAÇÃO - PASSAGEM SÃO PAULO X RIO DE JANEIRO-BROKER-JOSE MAURICIO GOMES TEIXEIRA (AGENDA 41781)</v>
      </c>
      <c r="B74" s="11">
        <v>46143</v>
      </c>
      <c r="C74" s="4">
        <v>817991</v>
      </c>
      <c r="D74" s="1" t="s">
        <v>23</v>
      </c>
      <c r="E74" s="14">
        <v>-737.28</v>
      </c>
      <c r="F74" s="5" t="s">
        <v>388</v>
      </c>
      <c r="G74" s="2">
        <v>46157</v>
      </c>
      <c r="H74" s="9">
        <v>1170</v>
      </c>
      <c r="I74" s="4"/>
      <c r="J74" s="4" t="s">
        <v>756</v>
      </c>
      <c r="K74" s="7" t="s">
        <v>1436</v>
      </c>
      <c r="L74" s="1" t="s">
        <v>23</v>
      </c>
      <c r="M74" s="9" t="s">
        <v>2</v>
      </c>
      <c r="N74" s="4" t="str">
        <f>VLOOKUP(H74,Clientes!B:D,3,)</f>
        <v>BGC LIQUIDEZ DTVM LTDA</v>
      </c>
    </row>
    <row r="75" spans="1:14" hidden="1" x14ac:dyDescent="0.25">
      <c r="A75" s="4" t="str">
        <f t="shared" si="1"/>
        <v>DESPESA DE REPRESENTAÇÃO - PASSAGEM SÃO PAULO X RIO DE JANEIRO-BROKER-ANDRE WATT VIANNA (AGENDA 41781)</v>
      </c>
      <c r="B75" s="11">
        <v>46143</v>
      </c>
      <c r="C75" s="4">
        <v>817991</v>
      </c>
      <c r="D75" s="1" t="s">
        <v>23</v>
      </c>
      <c r="E75" s="14">
        <v>-642.78</v>
      </c>
      <c r="F75" s="5" t="s">
        <v>388</v>
      </c>
      <c r="G75" s="2">
        <v>46157</v>
      </c>
      <c r="H75" s="9">
        <v>1170</v>
      </c>
      <c r="I75" s="4"/>
      <c r="J75" s="4" t="s">
        <v>756</v>
      </c>
      <c r="K75" s="7" t="s">
        <v>1436</v>
      </c>
      <c r="L75" s="1" t="s">
        <v>670</v>
      </c>
      <c r="M75" s="9" t="s">
        <v>2</v>
      </c>
      <c r="N75" s="4" t="str">
        <f>VLOOKUP(H75,Clientes!B:D,3,)</f>
        <v>BGC LIQUIDEZ DTVM LTDA</v>
      </c>
    </row>
    <row r="76" spans="1:14" hidden="1" x14ac:dyDescent="0.25">
      <c r="A76" s="4" t="str">
        <f t="shared" si="1"/>
        <v>DESPESA DE REPRESENTAÇÃO - PASSAGEM SÃO PAULO X RIO DE JANEIRO-BROKER-JOSE MAURICIO GOMES TEIXEIRA (AGENDA 41781)</v>
      </c>
      <c r="B76" s="11">
        <v>46143</v>
      </c>
      <c r="C76" s="4">
        <v>817991</v>
      </c>
      <c r="D76" s="1" t="s">
        <v>23</v>
      </c>
      <c r="E76" s="14">
        <v>-758.16</v>
      </c>
      <c r="F76" s="5" t="s">
        <v>388</v>
      </c>
      <c r="G76" s="2">
        <v>46157</v>
      </c>
      <c r="H76" s="9">
        <v>1170</v>
      </c>
      <c r="I76" s="4"/>
      <c r="J76" s="4" t="s">
        <v>756</v>
      </c>
      <c r="K76" s="7" t="s">
        <v>1436</v>
      </c>
      <c r="L76" s="1" t="s">
        <v>23</v>
      </c>
      <c r="M76" s="9" t="s">
        <v>2</v>
      </c>
      <c r="N76" s="4" t="str">
        <f>VLOOKUP(H76,Clientes!B:D,3,)</f>
        <v>BGC LIQUIDEZ DTVM LTDA</v>
      </c>
    </row>
    <row r="77" spans="1:14" hidden="1" x14ac:dyDescent="0.25">
      <c r="A77" s="4" t="str">
        <f t="shared" si="1"/>
        <v>DESPESA DE REPRESENTAÇÃO - PASSAGEM SÃO PAULO X BRASÍLIA -BROKER-JUAREZ JOAQUIM DE LACERDA (AGENDA 41781)</v>
      </c>
      <c r="B77" s="11">
        <v>46143</v>
      </c>
      <c r="C77" s="4">
        <v>817991</v>
      </c>
      <c r="D77" s="1" t="s">
        <v>626</v>
      </c>
      <c r="E77" s="14">
        <v>-118.284837</v>
      </c>
      <c r="F77" s="5" t="s">
        <v>388</v>
      </c>
      <c r="G77" s="2">
        <v>46157</v>
      </c>
      <c r="H77" s="9">
        <v>1170</v>
      </c>
      <c r="I77" s="4"/>
      <c r="J77" s="4" t="s">
        <v>812</v>
      </c>
      <c r="K77" s="7" t="s">
        <v>1436</v>
      </c>
      <c r="L77" s="1" t="s">
        <v>614</v>
      </c>
      <c r="M77" s="9" t="s">
        <v>2</v>
      </c>
      <c r="N77" s="4" t="str">
        <f>VLOOKUP(H77,Clientes!B:D,3,)</f>
        <v>BGC LIQUIDEZ DTVM LTDA</v>
      </c>
    </row>
    <row r="78" spans="1:14" hidden="1" x14ac:dyDescent="0.25">
      <c r="A78" s="4" t="str">
        <f t="shared" si="1"/>
        <v>DESPESA DE REPRESENTAÇÃO - PASSAGEM SÃO PAULO X BRASÍLIA -BROKER-JUAREZ JOAQUIM DE LACERDA (AGENDA 41781)</v>
      </c>
      <c r="B78" s="11">
        <v>46143</v>
      </c>
      <c r="C78" s="4">
        <v>817991</v>
      </c>
      <c r="D78" s="1" t="s">
        <v>993</v>
      </c>
      <c r="E78" s="14">
        <v>-118.284837</v>
      </c>
      <c r="F78" s="5" t="s">
        <v>388</v>
      </c>
      <c r="G78" s="2">
        <v>46157</v>
      </c>
      <c r="H78" s="9">
        <v>1170</v>
      </c>
      <c r="I78" s="4"/>
      <c r="J78" s="4" t="s">
        <v>812</v>
      </c>
      <c r="K78" s="7" t="s">
        <v>1436</v>
      </c>
      <c r="L78" s="1" t="s">
        <v>614</v>
      </c>
      <c r="M78" s="9" t="s">
        <v>2</v>
      </c>
      <c r="N78" s="4" t="str">
        <f>VLOOKUP(H78,Clientes!B:D,3,)</f>
        <v>BGC LIQUIDEZ DTVM LTDA</v>
      </c>
    </row>
    <row r="79" spans="1:14" hidden="1" x14ac:dyDescent="0.25">
      <c r="A79" s="4" t="str">
        <f t="shared" si="1"/>
        <v>DESPESA DE REPRESENTAÇÃO - PASSAGEM SÃO PAULO X BRASÍLIA -BROKER-JUAREZ JOAQUIM DE LACERDA (AGENDA 41781)</v>
      </c>
      <c r="B79" s="11">
        <v>46143</v>
      </c>
      <c r="C79" s="4">
        <v>817991</v>
      </c>
      <c r="D79" s="1" t="s">
        <v>503</v>
      </c>
      <c r="E79" s="14">
        <v>-118.284837</v>
      </c>
      <c r="F79" s="5" t="s">
        <v>388</v>
      </c>
      <c r="G79" s="2">
        <v>46157</v>
      </c>
      <c r="H79" s="9">
        <v>1170</v>
      </c>
      <c r="I79" s="4"/>
      <c r="J79" s="4" t="s">
        <v>812</v>
      </c>
      <c r="K79" s="7" t="s">
        <v>1436</v>
      </c>
      <c r="L79" s="1" t="s">
        <v>614</v>
      </c>
      <c r="M79" s="9" t="s">
        <v>2</v>
      </c>
      <c r="N79" s="4" t="str">
        <f>VLOOKUP(H79,Clientes!B:D,3,)</f>
        <v>BGC LIQUIDEZ DTVM LTDA</v>
      </c>
    </row>
    <row r="80" spans="1:14" hidden="1" x14ac:dyDescent="0.25">
      <c r="A80" s="4" t="str">
        <f t="shared" si="1"/>
        <v>DESPESA DE REPRESENTAÇÃO - PASSAGEM SÃO PAULO X BRASÍLIA -BROKER-JUAREZ JOAQUIM DE LACERDA (AGENDA 41781)</v>
      </c>
      <c r="B80" s="11">
        <v>46143</v>
      </c>
      <c r="C80" s="4">
        <v>817991</v>
      </c>
      <c r="D80" s="1" t="s">
        <v>615</v>
      </c>
      <c r="E80" s="14">
        <v>-118.284837</v>
      </c>
      <c r="F80" s="5" t="s">
        <v>388</v>
      </c>
      <c r="G80" s="2">
        <v>46157</v>
      </c>
      <c r="H80" s="9">
        <v>1170</v>
      </c>
      <c r="I80" s="4"/>
      <c r="J80" s="4" t="s">
        <v>812</v>
      </c>
      <c r="K80" s="7" t="s">
        <v>1436</v>
      </c>
      <c r="L80" s="1" t="s">
        <v>614</v>
      </c>
      <c r="M80" s="9" t="s">
        <v>2</v>
      </c>
      <c r="N80" s="4" t="str">
        <f>VLOOKUP(H80,Clientes!B:D,3,)</f>
        <v>BGC LIQUIDEZ DTVM LTDA</v>
      </c>
    </row>
    <row r="81" spans="1:14" hidden="1" x14ac:dyDescent="0.25">
      <c r="A81" s="4" t="str">
        <f t="shared" si="1"/>
        <v>DESPESA DE REPRESENTAÇÃO - PASSAGEM SÃO PAULO X BRASÍLIA -BROKER-JUAREZ JOAQUIM DE LACERDA (AGENDA 41781)</v>
      </c>
      <c r="B81" s="11">
        <v>46143</v>
      </c>
      <c r="C81" s="4">
        <v>817991</v>
      </c>
      <c r="D81" s="1" t="s">
        <v>604</v>
      </c>
      <c r="E81" s="14">
        <v>-118.284837</v>
      </c>
      <c r="F81" s="5" t="s">
        <v>388</v>
      </c>
      <c r="G81" s="2">
        <v>46157</v>
      </c>
      <c r="H81" s="9">
        <v>1170</v>
      </c>
      <c r="I81" s="4"/>
      <c r="J81" s="4" t="s">
        <v>812</v>
      </c>
      <c r="K81" s="7" t="s">
        <v>1436</v>
      </c>
      <c r="L81" s="1" t="s">
        <v>614</v>
      </c>
      <c r="M81" s="9" t="s">
        <v>2</v>
      </c>
      <c r="N81" s="4" t="str">
        <f>VLOOKUP(H81,Clientes!B:D,3,)</f>
        <v>BGC LIQUIDEZ DTVM LTDA</v>
      </c>
    </row>
    <row r="82" spans="1:14" hidden="1" x14ac:dyDescent="0.25">
      <c r="A82" s="4" t="str">
        <f t="shared" si="1"/>
        <v>DESPESA DE REPRESENTAÇÃO - PASSAGEM SÃO PAULO X BRASÍLIA -BROKER-JUAREZ JOAQUIM DE LACERDA (AGENDA 41781)</v>
      </c>
      <c r="B82" s="11">
        <v>46143</v>
      </c>
      <c r="C82" s="4">
        <v>817991</v>
      </c>
      <c r="D82" s="1" t="s">
        <v>1310</v>
      </c>
      <c r="E82" s="14">
        <v>-118.284837</v>
      </c>
      <c r="F82" s="5" t="s">
        <v>388</v>
      </c>
      <c r="G82" s="2">
        <v>46157</v>
      </c>
      <c r="H82" s="9">
        <v>1170</v>
      </c>
      <c r="I82" s="4"/>
      <c r="J82" s="4" t="s">
        <v>812</v>
      </c>
      <c r="K82" s="7" t="s">
        <v>1436</v>
      </c>
      <c r="L82" s="1" t="s">
        <v>614</v>
      </c>
      <c r="M82" s="9" t="s">
        <v>2</v>
      </c>
      <c r="N82" s="4" t="str">
        <f>VLOOKUP(H82,Clientes!B:D,3,)</f>
        <v>BGC LIQUIDEZ DTVM LTDA</v>
      </c>
    </row>
    <row r="83" spans="1:14" hidden="1" x14ac:dyDescent="0.25">
      <c r="A83" s="4" t="str">
        <f t="shared" si="1"/>
        <v>DESPESA DE REPRESENTAÇÃO - PASSAGEM SÃO PAULO X BRASÍLIA -BROKER-JUAREZ JOAQUIM DE LACERDA (AGENDA 41781)</v>
      </c>
      <c r="B83" s="11">
        <v>46143</v>
      </c>
      <c r="C83" s="4">
        <v>817991</v>
      </c>
      <c r="D83" s="1" t="s">
        <v>647</v>
      </c>
      <c r="E83" s="14">
        <v>-354.96097800000007</v>
      </c>
      <c r="F83" s="5" t="s">
        <v>388</v>
      </c>
      <c r="G83" s="2">
        <v>46157</v>
      </c>
      <c r="H83" s="9">
        <v>1170</v>
      </c>
      <c r="I83" s="4"/>
      <c r="J83" s="4" t="s">
        <v>812</v>
      </c>
      <c r="K83" s="7" t="s">
        <v>1436</v>
      </c>
      <c r="L83" s="1" t="s">
        <v>614</v>
      </c>
      <c r="M83" s="9" t="s">
        <v>2</v>
      </c>
      <c r="N83" s="4" t="str">
        <f>VLOOKUP(H83,Clientes!B:D,3,)</f>
        <v>BGC LIQUIDEZ DTVM LTDA</v>
      </c>
    </row>
    <row r="84" spans="1:14" hidden="1" x14ac:dyDescent="0.25">
      <c r="A84" s="4" t="str">
        <f t="shared" si="1"/>
        <v>DESPESA DE REPRESENTAÇÃO - PASSAGEM SÃO PAULO X BRASÍLIA -SALES-JOSE ANTONIO DEZENE JUNIOR (AGENDA 41781)</v>
      </c>
      <c r="B84" s="11">
        <v>46143</v>
      </c>
      <c r="C84" s="4">
        <v>817991</v>
      </c>
      <c r="D84" s="1" t="s">
        <v>626</v>
      </c>
      <c r="E84" s="14">
        <v>-121.922251</v>
      </c>
      <c r="F84" s="5" t="s">
        <v>388</v>
      </c>
      <c r="G84" s="2">
        <v>46157</v>
      </c>
      <c r="H84" s="9">
        <v>1170</v>
      </c>
      <c r="I84" s="4"/>
      <c r="J84" s="4" t="s">
        <v>812</v>
      </c>
      <c r="K84" s="7" t="s">
        <v>1436</v>
      </c>
      <c r="L84" s="1" t="s">
        <v>428</v>
      </c>
      <c r="M84" s="9" t="s">
        <v>468</v>
      </c>
      <c r="N84" s="4" t="str">
        <f>VLOOKUP(H84,Clientes!B:D,3,)</f>
        <v>BGC LIQUIDEZ DTVM LTDA</v>
      </c>
    </row>
    <row r="85" spans="1:14" hidden="1" x14ac:dyDescent="0.25">
      <c r="A85" s="4" t="str">
        <f t="shared" si="1"/>
        <v>DESPESA DE REPRESENTAÇÃO - PASSAGEM SÃO PAULO X BRASÍLIA -SALES-JOSE ANTONIO DEZENE JUNIOR (AGENDA 41781)</v>
      </c>
      <c r="B85" s="11">
        <v>46143</v>
      </c>
      <c r="C85" s="4">
        <v>817991</v>
      </c>
      <c r="D85" s="1" t="s">
        <v>993</v>
      </c>
      <c r="E85" s="14">
        <v>-121.922251</v>
      </c>
      <c r="F85" s="5" t="s">
        <v>388</v>
      </c>
      <c r="G85" s="2">
        <v>46157</v>
      </c>
      <c r="H85" s="9">
        <v>1170</v>
      </c>
      <c r="I85" s="4"/>
      <c r="J85" s="4" t="s">
        <v>812</v>
      </c>
      <c r="K85" s="7" t="s">
        <v>1436</v>
      </c>
      <c r="L85" s="1" t="s">
        <v>428</v>
      </c>
      <c r="M85" s="9" t="s">
        <v>468</v>
      </c>
      <c r="N85" s="4" t="str">
        <f>VLOOKUP(H85,Clientes!B:D,3,)</f>
        <v>BGC LIQUIDEZ DTVM LTDA</v>
      </c>
    </row>
    <row r="86" spans="1:14" hidden="1" x14ac:dyDescent="0.25">
      <c r="A86" s="4" t="str">
        <f t="shared" si="1"/>
        <v>DESPESA DE REPRESENTAÇÃO - PASSAGEM SÃO PAULO X BRASÍLIA -SALES-JOSE ANTONIO DEZENE JUNIOR (AGENDA 41781)</v>
      </c>
      <c r="B86" s="11">
        <v>46143</v>
      </c>
      <c r="C86" s="4">
        <v>817991</v>
      </c>
      <c r="D86" s="1" t="s">
        <v>503</v>
      </c>
      <c r="E86" s="14">
        <v>-121.922251</v>
      </c>
      <c r="F86" s="5" t="s">
        <v>388</v>
      </c>
      <c r="G86" s="2">
        <v>46157</v>
      </c>
      <c r="H86" s="9">
        <v>1170</v>
      </c>
      <c r="I86" s="4"/>
      <c r="J86" s="4" t="s">
        <v>812</v>
      </c>
      <c r="K86" s="7" t="s">
        <v>1436</v>
      </c>
      <c r="L86" s="1" t="s">
        <v>428</v>
      </c>
      <c r="M86" s="9" t="s">
        <v>468</v>
      </c>
      <c r="N86" s="4" t="str">
        <f>VLOOKUP(H86,Clientes!B:D,3,)</f>
        <v>BGC LIQUIDEZ DTVM LTDA</v>
      </c>
    </row>
    <row r="87" spans="1:14" hidden="1" x14ac:dyDescent="0.25">
      <c r="A87" s="4" t="str">
        <f t="shared" si="1"/>
        <v>DESPESA DE REPRESENTAÇÃO - PASSAGEM SÃO PAULO X BRASÍLIA -SALES-JOSE ANTONIO DEZENE JUNIOR (AGENDA 41781)</v>
      </c>
      <c r="B87" s="11">
        <v>46143</v>
      </c>
      <c r="C87" s="4">
        <v>817991</v>
      </c>
      <c r="D87" s="1" t="s">
        <v>615</v>
      </c>
      <c r="E87" s="14">
        <v>-121.922251</v>
      </c>
      <c r="F87" s="5" t="s">
        <v>388</v>
      </c>
      <c r="G87" s="2">
        <v>46157</v>
      </c>
      <c r="H87" s="9">
        <v>1170</v>
      </c>
      <c r="I87" s="4"/>
      <c r="J87" s="4" t="s">
        <v>812</v>
      </c>
      <c r="K87" s="7" t="s">
        <v>1436</v>
      </c>
      <c r="L87" s="1" t="s">
        <v>428</v>
      </c>
      <c r="M87" s="9" t="s">
        <v>468</v>
      </c>
      <c r="N87" s="4" t="str">
        <f>VLOOKUP(H87,Clientes!B:D,3,)</f>
        <v>BGC LIQUIDEZ DTVM LTDA</v>
      </c>
    </row>
    <row r="88" spans="1:14" hidden="1" x14ac:dyDescent="0.25">
      <c r="A88" s="4" t="str">
        <f t="shared" si="1"/>
        <v>DESPESA DE REPRESENTAÇÃO - PASSAGEM SÃO PAULO X BRASÍLIA -SALES-JOSE ANTONIO DEZENE JUNIOR (AGENDA 41781)</v>
      </c>
      <c r="B88" s="11">
        <v>46143</v>
      </c>
      <c r="C88" s="4">
        <v>817991</v>
      </c>
      <c r="D88" s="1" t="s">
        <v>604</v>
      </c>
      <c r="E88" s="14">
        <v>-121.922251</v>
      </c>
      <c r="F88" s="5" t="s">
        <v>388</v>
      </c>
      <c r="G88" s="2">
        <v>46157</v>
      </c>
      <c r="H88" s="9">
        <v>1170</v>
      </c>
      <c r="I88" s="4"/>
      <c r="J88" s="4" t="s">
        <v>812</v>
      </c>
      <c r="K88" s="7" t="s">
        <v>1436</v>
      </c>
      <c r="L88" s="1" t="s">
        <v>428</v>
      </c>
      <c r="M88" s="9" t="s">
        <v>468</v>
      </c>
      <c r="N88" s="4" t="str">
        <f>VLOOKUP(H88,Clientes!B:D,3,)</f>
        <v>BGC LIQUIDEZ DTVM LTDA</v>
      </c>
    </row>
    <row r="89" spans="1:14" hidden="1" x14ac:dyDescent="0.25">
      <c r="A89" s="4" t="str">
        <f t="shared" si="1"/>
        <v>DESPESA DE REPRESENTAÇÃO - PASSAGEM SÃO PAULO X BRASÍLIA -SALES-JOSE ANTONIO DEZENE JUNIOR (AGENDA 41781)</v>
      </c>
      <c r="B89" s="11">
        <v>46143</v>
      </c>
      <c r="C89" s="4">
        <v>817991</v>
      </c>
      <c r="D89" s="1" t="s">
        <v>1310</v>
      </c>
      <c r="E89" s="14">
        <v>-121.922251</v>
      </c>
      <c r="F89" s="5" t="s">
        <v>388</v>
      </c>
      <c r="G89" s="2">
        <v>46157</v>
      </c>
      <c r="H89" s="9">
        <v>1170</v>
      </c>
      <c r="I89" s="4"/>
      <c r="J89" s="4" t="s">
        <v>812</v>
      </c>
      <c r="K89" s="7" t="s">
        <v>1436</v>
      </c>
      <c r="L89" s="1" t="s">
        <v>428</v>
      </c>
      <c r="M89" s="9" t="s">
        <v>468</v>
      </c>
      <c r="N89" s="4" t="str">
        <f>VLOOKUP(H89,Clientes!B:D,3,)</f>
        <v>BGC LIQUIDEZ DTVM LTDA</v>
      </c>
    </row>
    <row r="90" spans="1:14" hidden="1" x14ac:dyDescent="0.25">
      <c r="A90" s="4" t="str">
        <f t="shared" si="1"/>
        <v>DESPESA DE REPRESENTAÇÃO - PASSAGEM SÃO PAULO X BRASÍLIA -SALES-JOSE ANTONIO DEZENE JUNIOR (AGENDA 41781)</v>
      </c>
      <c r="B90" s="11">
        <v>46143</v>
      </c>
      <c r="C90" s="4">
        <v>817991</v>
      </c>
      <c r="D90" s="1" t="s">
        <v>647</v>
      </c>
      <c r="E90" s="14">
        <v>-365.87649400000004</v>
      </c>
      <c r="F90" s="5" t="s">
        <v>388</v>
      </c>
      <c r="G90" s="2">
        <v>46157</v>
      </c>
      <c r="H90" s="9">
        <v>1170</v>
      </c>
      <c r="I90" s="4"/>
      <c r="J90" s="4" t="s">
        <v>812</v>
      </c>
      <c r="K90" s="7" t="s">
        <v>1436</v>
      </c>
      <c r="L90" s="1" t="s">
        <v>428</v>
      </c>
      <c r="M90" s="9" t="s">
        <v>468</v>
      </c>
      <c r="N90" s="4" t="str">
        <f>VLOOKUP(H90,Clientes!B:D,3,)</f>
        <v>BGC LIQUIDEZ DTVM LTDA</v>
      </c>
    </row>
    <row r="91" spans="1:14" hidden="1" x14ac:dyDescent="0.25">
      <c r="A91" s="4" t="str">
        <f t="shared" si="1"/>
        <v>DESPESA DE REPRESENTAÇÃO - PASSAGEM SÃO PAULO X BRASÍLIA -BROKER-RICARDO ANDRE VASCONCELOS RAMOS (AGENDA 41781)</v>
      </c>
      <c r="B91" s="11">
        <v>46143</v>
      </c>
      <c r="C91" s="4">
        <v>817991</v>
      </c>
      <c r="D91" s="1" t="s">
        <v>626</v>
      </c>
      <c r="E91" s="14">
        <v>-128.38160500000001</v>
      </c>
      <c r="F91" s="5" t="s">
        <v>388</v>
      </c>
      <c r="G91" s="2">
        <v>46157</v>
      </c>
      <c r="H91" s="9">
        <v>1170</v>
      </c>
      <c r="I91" s="4"/>
      <c r="J91" s="4" t="s">
        <v>812</v>
      </c>
      <c r="K91" s="7" t="s">
        <v>1436</v>
      </c>
      <c r="L91" s="1" t="s">
        <v>604</v>
      </c>
      <c r="M91" s="9" t="s">
        <v>2</v>
      </c>
      <c r="N91" s="4" t="str">
        <f>VLOOKUP(H91,Clientes!B:D,3,)</f>
        <v>BGC LIQUIDEZ DTVM LTDA</v>
      </c>
    </row>
    <row r="92" spans="1:14" hidden="1" x14ac:dyDescent="0.25">
      <c r="A92" s="4" t="str">
        <f t="shared" si="1"/>
        <v>DESPESA DE REPRESENTAÇÃO - PASSAGEM SÃO PAULO X BRASÍLIA -BROKER-RICARDO ANDRE VASCONCELOS RAMOS (AGENDA 41781)</v>
      </c>
      <c r="B92" s="11">
        <v>46143</v>
      </c>
      <c r="C92" s="4">
        <v>817991</v>
      </c>
      <c r="D92" s="1" t="s">
        <v>993</v>
      </c>
      <c r="E92" s="14">
        <v>-128.38160500000001</v>
      </c>
      <c r="F92" s="5" t="s">
        <v>388</v>
      </c>
      <c r="G92" s="2">
        <v>46157</v>
      </c>
      <c r="H92" s="9">
        <v>1170</v>
      </c>
      <c r="I92" s="4"/>
      <c r="J92" s="4" t="s">
        <v>812</v>
      </c>
      <c r="K92" s="7" t="s">
        <v>1436</v>
      </c>
      <c r="L92" s="1" t="s">
        <v>604</v>
      </c>
      <c r="M92" s="9" t="s">
        <v>2</v>
      </c>
      <c r="N92" s="4" t="str">
        <f>VLOOKUP(H92,Clientes!B:D,3,)</f>
        <v>BGC LIQUIDEZ DTVM LTDA</v>
      </c>
    </row>
    <row r="93" spans="1:14" hidden="1" x14ac:dyDescent="0.25">
      <c r="A93" s="4" t="str">
        <f t="shared" si="1"/>
        <v>DESPESA DE REPRESENTAÇÃO - PASSAGEM SÃO PAULO X BRASÍLIA -BROKER-RICARDO ANDRE VASCONCELOS RAMOS (AGENDA 41781)</v>
      </c>
      <c r="B93" s="11">
        <v>46143</v>
      </c>
      <c r="C93" s="4">
        <v>817991</v>
      </c>
      <c r="D93" s="1" t="s">
        <v>503</v>
      </c>
      <c r="E93" s="14">
        <v>-128.38160500000001</v>
      </c>
      <c r="F93" s="5" t="s">
        <v>388</v>
      </c>
      <c r="G93" s="2">
        <v>46157</v>
      </c>
      <c r="H93" s="9">
        <v>1170</v>
      </c>
      <c r="I93" s="4"/>
      <c r="J93" s="4" t="s">
        <v>812</v>
      </c>
      <c r="K93" s="7" t="s">
        <v>1436</v>
      </c>
      <c r="L93" s="1" t="s">
        <v>604</v>
      </c>
      <c r="M93" s="9" t="s">
        <v>2</v>
      </c>
      <c r="N93" s="4" t="str">
        <f>VLOOKUP(H93,Clientes!B:D,3,)</f>
        <v>BGC LIQUIDEZ DTVM LTDA</v>
      </c>
    </row>
    <row r="94" spans="1:14" hidden="1" x14ac:dyDescent="0.25">
      <c r="A94" s="4" t="str">
        <f t="shared" si="1"/>
        <v>DESPESA DE REPRESENTAÇÃO - PASSAGEM SÃO PAULO X BRASÍLIA -BROKER-RICARDO ANDRE VASCONCELOS RAMOS (AGENDA 41781)</v>
      </c>
      <c r="B94" s="11">
        <v>46143</v>
      </c>
      <c r="C94" s="4">
        <v>817991</v>
      </c>
      <c r="D94" s="1" t="s">
        <v>615</v>
      </c>
      <c r="E94" s="14">
        <v>-128.38160500000001</v>
      </c>
      <c r="F94" s="5" t="s">
        <v>388</v>
      </c>
      <c r="G94" s="2">
        <v>46157</v>
      </c>
      <c r="H94" s="9">
        <v>1170</v>
      </c>
      <c r="I94" s="4"/>
      <c r="J94" s="4" t="s">
        <v>812</v>
      </c>
      <c r="K94" s="7" t="s">
        <v>1436</v>
      </c>
      <c r="L94" s="1" t="s">
        <v>604</v>
      </c>
      <c r="M94" s="9" t="s">
        <v>2</v>
      </c>
      <c r="N94" s="4" t="str">
        <f>VLOOKUP(H94,Clientes!B:D,3,)</f>
        <v>BGC LIQUIDEZ DTVM LTDA</v>
      </c>
    </row>
    <row r="95" spans="1:14" hidden="1" x14ac:dyDescent="0.25">
      <c r="A95" s="4" t="str">
        <f t="shared" si="1"/>
        <v>DESPESA DE REPRESENTAÇÃO - PASSAGEM SÃO PAULO X BRASÍLIA -BROKER-RICARDO ANDRE VASCONCELOS RAMOS (AGENDA 41781)</v>
      </c>
      <c r="B95" s="11">
        <v>46143</v>
      </c>
      <c r="C95" s="4">
        <v>817991</v>
      </c>
      <c r="D95" s="1" t="s">
        <v>604</v>
      </c>
      <c r="E95" s="14">
        <v>-128.38160500000001</v>
      </c>
      <c r="F95" s="5" t="s">
        <v>388</v>
      </c>
      <c r="G95" s="2">
        <v>46157</v>
      </c>
      <c r="H95" s="9">
        <v>1170</v>
      </c>
      <c r="I95" s="4"/>
      <c r="J95" s="4" t="s">
        <v>812</v>
      </c>
      <c r="K95" s="7" t="s">
        <v>1436</v>
      </c>
      <c r="L95" s="1" t="s">
        <v>604</v>
      </c>
      <c r="M95" s="9" t="s">
        <v>2</v>
      </c>
      <c r="N95" s="4" t="str">
        <f>VLOOKUP(H95,Clientes!B:D,3,)</f>
        <v>BGC LIQUIDEZ DTVM LTDA</v>
      </c>
    </row>
    <row r="96" spans="1:14" hidden="1" x14ac:dyDescent="0.25">
      <c r="A96" s="4" t="str">
        <f t="shared" si="1"/>
        <v>DESPESA DE REPRESENTAÇÃO - PASSAGEM SÃO PAULO X BRASÍLIA -BROKER-RICARDO ANDRE VASCONCELOS RAMOS (AGENDA 41781)</v>
      </c>
      <c r="B96" s="11">
        <v>46143</v>
      </c>
      <c r="C96" s="4">
        <v>817991</v>
      </c>
      <c r="D96" s="1" t="s">
        <v>1310</v>
      </c>
      <c r="E96" s="14">
        <v>-128.38160500000001</v>
      </c>
      <c r="F96" s="5" t="s">
        <v>388</v>
      </c>
      <c r="G96" s="2">
        <v>46157</v>
      </c>
      <c r="H96" s="9">
        <v>1170</v>
      </c>
      <c r="I96" s="4"/>
      <c r="J96" s="4" t="s">
        <v>812</v>
      </c>
      <c r="K96" s="7" t="s">
        <v>1436</v>
      </c>
      <c r="L96" s="1" t="s">
        <v>604</v>
      </c>
      <c r="M96" s="9" t="s">
        <v>2</v>
      </c>
      <c r="N96" s="4" t="str">
        <f>VLOOKUP(H96,Clientes!B:D,3,)</f>
        <v>BGC LIQUIDEZ DTVM LTDA</v>
      </c>
    </row>
    <row r="97" spans="1:14" hidden="1" x14ac:dyDescent="0.25">
      <c r="A97" s="4" t="str">
        <f t="shared" si="1"/>
        <v>DESPESA DE REPRESENTAÇÃO - PASSAGEM SÃO PAULO X BRASÍLIA -BROKER-RICARDO ANDRE VASCONCELOS RAMOS (AGENDA 41781)</v>
      </c>
      <c r="B97" s="11">
        <v>46143</v>
      </c>
      <c r="C97" s="4">
        <v>817991</v>
      </c>
      <c r="D97" s="1" t="s">
        <v>647</v>
      </c>
      <c r="E97" s="14">
        <v>-385.26037000000002</v>
      </c>
      <c r="F97" s="5" t="s">
        <v>388</v>
      </c>
      <c r="G97" s="2">
        <v>46157</v>
      </c>
      <c r="H97" s="9">
        <v>1170</v>
      </c>
      <c r="I97" s="4"/>
      <c r="J97" s="4" t="s">
        <v>812</v>
      </c>
      <c r="K97" s="7" t="s">
        <v>1436</v>
      </c>
      <c r="L97" s="1" t="s">
        <v>604</v>
      </c>
      <c r="M97" s="9" t="s">
        <v>2</v>
      </c>
      <c r="N97" s="4" t="str">
        <f>VLOOKUP(H97,Clientes!B:D,3,)</f>
        <v>BGC LIQUIDEZ DTVM LTDA</v>
      </c>
    </row>
    <row r="98" spans="1:14" hidden="1" x14ac:dyDescent="0.25">
      <c r="A98" s="4" t="str">
        <f t="shared" si="1"/>
        <v>DESPESA DE REPRESENTAÇÃO - PASSAGEM SÃO PAULO X BRASÍLIA -BROKER-GUSTAVO D ELBOUX FERRIELLO (AGENDA 41781)</v>
      </c>
      <c r="B98" s="11">
        <v>46143</v>
      </c>
      <c r="C98" s="4">
        <v>817991</v>
      </c>
      <c r="D98" s="1" t="s">
        <v>626</v>
      </c>
      <c r="E98" s="14">
        <v>-144.54887699999998</v>
      </c>
      <c r="F98" s="5" t="s">
        <v>388</v>
      </c>
      <c r="G98" s="2">
        <v>46157</v>
      </c>
      <c r="H98" s="9">
        <v>1170</v>
      </c>
      <c r="I98" s="4"/>
      <c r="J98" s="4" t="s">
        <v>812</v>
      </c>
      <c r="K98" s="7" t="s">
        <v>1436</v>
      </c>
      <c r="L98" s="1" t="s">
        <v>615</v>
      </c>
      <c r="M98" s="9" t="s">
        <v>2</v>
      </c>
      <c r="N98" s="4" t="str">
        <f>VLOOKUP(H98,Clientes!B:D,3,)</f>
        <v>BGC LIQUIDEZ DTVM LTDA</v>
      </c>
    </row>
    <row r="99" spans="1:14" hidden="1" x14ac:dyDescent="0.25">
      <c r="A99" s="4" t="str">
        <f t="shared" si="1"/>
        <v>DESPESA DE REPRESENTAÇÃO - PASSAGEM SÃO PAULO X BRASÍLIA -BROKER-GUSTAVO D ELBOUX FERRIELLO (AGENDA 41781)</v>
      </c>
      <c r="B99" s="11">
        <v>46143</v>
      </c>
      <c r="C99" s="4">
        <v>817991</v>
      </c>
      <c r="D99" s="1" t="s">
        <v>993</v>
      </c>
      <c r="E99" s="14">
        <v>-144.54887699999998</v>
      </c>
      <c r="F99" s="5" t="s">
        <v>388</v>
      </c>
      <c r="G99" s="2">
        <v>46157</v>
      </c>
      <c r="H99" s="9">
        <v>1170</v>
      </c>
      <c r="I99" s="4"/>
      <c r="J99" s="4" t="s">
        <v>812</v>
      </c>
      <c r="K99" s="7" t="s">
        <v>1436</v>
      </c>
      <c r="L99" s="1" t="s">
        <v>615</v>
      </c>
      <c r="M99" s="9" t="s">
        <v>2</v>
      </c>
      <c r="N99" s="4" t="str">
        <f>VLOOKUP(H99,Clientes!B:D,3,)</f>
        <v>BGC LIQUIDEZ DTVM LTDA</v>
      </c>
    </row>
    <row r="100" spans="1:14" hidden="1" x14ac:dyDescent="0.25">
      <c r="A100" s="4" t="str">
        <f t="shared" si="1"/>
        <v>DESPESA DE REPRESENTAÇÃO - PASSAGEM SÃO PAULO X BRASÍLIA -BROKER-GUSTAVO D ELBOUX FERRIELLO (AGENDA 41781)</v>
      </c>
      <c r="B100" s="11">
        <v>46143</v>
      </c>
      <c r="C100" s="4">
        <v>817991</v>
      </c>
      <c r="D100" s="1" t="s">
        <v>503</v>
      </c>
      <c r="E100" s="14">
        <v>-144.54887699999998</v>
      </c>
      <c r="F100" s="5" t="s">
        <v>388</v>
      </c>
      <c r="G100" s="2">
        <v>46157</v>
      </c>
      <c r="H100" s="9">
        <v>1170</v>
      </c>
      <c r="I100" s="4"/>
      <c r="J100" s="4" t="s">
        <v>812</v>
      </c>
      <c r="K100" s="7" t="s">
        <v>1436</v>
      </c>
      <c r="L100" s="1" t="s">
        <v>615</v>
      </c>
      <c r="M100" s="9" t="s">
        <v>2</v>
      </c>
      <c r="N100" s="4" t="str">
        <f>VLOOKUP(H100,Clientes!B:D,3,)</f>
        <v>BGC LIQUIDEZ DTVM LTDA</v>
      </c>
    </row>
    <row r="101" spans="1:14" hidden="1" x14ac:dyDescent="0.25">
      <c r="A101" s="4" t="str">
        <f t="shared" si="1"/>
        <v>DESPESA DE REPRESENTAÇÃO - PASSAGEM SÃO PAULO X BRASÍLIA -BROKER-GUSTAVO D ELBOUX FERRIELLO (AGENDA 41781)</v>
      </c>
      <c r="B101" s="11">
        <v>46143</v>
      </c>
      <c r="C101" s="4">
        <v>817991</v>
      </c>
      <c r="D101" s="1" t="s">
        <v>615</v>
      </c>
      <c r="E101" s="14">
        <v>-144.54887699999998</v>
      </c>
      <c r="F101" s="5" t="s">
        <v>388</v>
      </c>
      <c r="G101" s="2">
        <v>46157</v>
      </c>
      <c r="H101" s="9">
        <v>1170</v>
      </c>
      <c r="I101" s="4"/>
      <c r="J101" s="4" t="s">
        <v>812</v>
      </c>
      <c r="K101" s="7" t="s">
        <v>1436</v>
      </c>
      <c r="L101" s="1" t="s">
        <v>615</v>
      </c>
      <c r="M101" s="9" t="s">
        <v>2</v>
      </c>
      <c r="N101" s="4" t="str">
        <f>VLOOKUP(H101,Clientes!B:D,3,)</f>
        <v>BGC LIQUIDEZ DTVM LTDA</v>
      </c>
    </row>
    <row r="102" spans="1:14" hidden="1" x14ac:dyDescent="0.25">
      <c r="A102" s="4" t="str">
        <f t="shared" si="1"/>
        <v>DESPESA DE REPRESENTAÇÃO - PASSAGEM SÃO PAULO X BRASÍLIA -BROKER-GUSTAVO D ELBOUX FERRIELLO (AGENDA 41781)</v>
      </c>
      <c r="B102" s="11">
        <v>46143</v>
      </c>
      <c r="C102" s="4">
        <v>817991</v>
      </c>
      <c r="D102" s="1" t="s">
        <v>604</v>
      </c>
      <c r="E102" s="14">
        <v>-144.54887699999998</v>
      </c>
      <c r="F102" s="5" t="s">
        <v>388</v>
      </c>
      <c r="G102" s="2">
        <v>46157</v>
      </c>
      <c r="H102" s="9">
        <v>1170</v>
      </c>
      <c r="I102" s="4"/>
      <c r="J102" s="4" t="s">
        <v>812</v>
      </c>
      <c r="K102" s="7" t="s">
        <v>1436</v>
      </c>
      <c r="L102" s="1" t="s">
        <v>615</v>
      </c>
      <c r="M102" s="9" t="s">
        <v>2</v>
      </c>
      <c r="N102" s="4" t="str">
        <f>VLOOKUP(H102,Clientes!B:D,3,)</f>
        <v>BGC LIQUIDEZ DTVM LTDA</v>
      </c>
    </row>
    <row r="103" spans="1:14" hidden="1" x14ac:dyDescent="0.25">
      <c r="A103" s="4" t="str">
        <f t="shared" si="1"/>
        <v>DESPESA DE REPRESENTAÇÃO - PASSAGEM SÃO PAULO X BRASÍLIA -BROKER-GUSTAVO D ELBOUX FERRIELLO (AGENDA 41781)</v>
      </c>
      <c r="B103" s="11">
        <v>46143</v>
      </c>
      <c r="C103" s="4">
        <v>817991</v>
      </c>
      <c r="D103" s="1" t="s">
        <v>1310</v>
      </c>
      <c r="E103" s="14">
        <v>-144.54887699999998</v>
      </c>
      <c r="F103" s="5" t="s">
        <v>388</v>
      </c>
      <c r="G103" s="2">
        <v>46157</v>
      </c>
      <c r="H103" s="9">
        <v>1170</v>
      </c>
      <c r="I103" s="4"/>
      <c r="J103" s="4" t="s">
        <v>812</v>
      </c>
      <c r="K103" s="7" t="s">
        <v>1436</v>
      </c>
      <c r="L103" s="1" t="s">
        <v>615</v>
      </c>
      <c r="M103" s="9" t="s">
        <v>2</v>
      </c>
      <c r="N103" s="4" t="str">
        <f>VLOOKUP(H103,Clientes!B:D,3,)</f>
        <v>BGC LIQUIDEZ DTVM LTDA</v>
      </c>
    </row>
    <row r="104" spans="1:14" hidden="1" x14ac:dyDescent="0.25">
      <c r="A104" s="4" t="str">
        <f t="shared" si="1"/>
        <v>DESPESA DE REPRESENTAÇÃO - PASSAGEM SÃO PAULO X BRASÍLIA -BROKER-GUSTAVO D ELBOUX FERRIELLO (AGENDA 41781)</v>
      </c>
      <c r="B104" s="11">
        <v>46143</v>
      </c>
      <c r="C104" s="4">
        <v>817991</v>
      </c>
      <c r="D104" s="1" t="s">
        <v>647</v>
      </c>
      <c r="E104" s="14">
        <v>-433.77673800000002</v>
      </c>
      <c r="F104" s="5" t="s">
        <v>388</v>
      </c>
      <c r="G104" s="2">
        <v>46157</v>
      </c>
      <c r="H104" s="9">
        <v>1170</v>
      </c>
      <c r="I104" s="4"/>
      <c r="J104" s="4" t="s">
        <v>812</v>
      </c>
      <c r="K104" s="7" t="s">
        <v>1436</v>
      </c>
      <c r="L104" s="1" t="s">
        <v>615</v>
      </c>
      <c r="M104" s="9" t="s">
        <v>2</v>
      </c>
      <c r="N104" s="4" t="str">
        <f>VLOOKUP(H104,Clientes!B:D,3,)</f>
        <v>BGC LIQUIDEZ DTVM LTDA</v>
      </c>
    </row>
    <row r="105" spans="1:14" hidden="1" x14ac:dyDescent="0.25">
      <c r="A105" s="4" t="str">
        <f t="shared" si="1"/>
        <v>DESPESA DE REPRESENTAÇÃO - PASSAGEM SÃO PAULO X BRASÍLIA -BROKER-ENRICO BORTPLUZO CASSIANO (AGENDA 41781)</v>
      </c>
      <c r="B105" s="11">
        <v>46143</v>
      </c>
      <c r="C105" s="4">
        <v>817991</v>
      </c>
      <c r="D105" s="1" t="s">
        <v>626</v>
      </c>
      <c r="E105" s="14">
        <v>-41.670276999999999</v>
      </c>
      <c r="F105" s="5" t="s">
        <v>388</v>
      </c>
      <c r="G105" s="2">
        <v>46157</v>
      </c>
      <c r="H105" s="9">
        <v>1170</v>
      </c>
      <c r="I105" s="4"/>
      <c r="J105" s="4" t="s">
        <v>812</v>
      </c>
      <c r="K105" s="7" t="s">
        <v>1436</v>
      </c>
      <c r="L105" s="1" t="s">
        <v>647</v>
      </c>
      <c r="M105" s="9" t="s">
        <v>2</v>
      </c>
      <c r="N105" s="4" t="str">
        <f>VLOOKUP(H105,Clientes!B:D,3,)</f>
        <v>BGC LIQUIDEZ DTVM LTDA</v>
      </c>
    </row>
    <row r="106" spans="1:14" hidden="1" x14ac:dyDescent="0.25">
      <c r="A106" s="4" t="str">
        <f t="shared" si="1"/>
        <v>DESPESA DE REPRESENTAÇÃO - PASSAGEM SÃO PAULO X BRASÍLIA -BROKER-ENRICO BORTPLUZO CASSIANO (AGENDA 41781)</v>
      </c>
      <c r="B106" s="11">
        <v>46143</v>
      </c>
      <c r="C106" s="4">
        <v>817991</v>
      </c>
      <c r="D106" s="1" t="s">
        <v>993</v>
      </c>
      <c r="E106" s="14">
        <v>-41.670276999999999</v>
      </c>
      <c r="F106" s="5" t="s">
        <v>388</v>
      </c>
      <c r="G106" s="2">
        <v>46157</v>
      </c>
      <c r="H106" s="9">
        <v>1170</v>
      </c>
      <c r="I106" s="4"/>
      <c r="J106" s="4" t="s">
        <v>812</v>
      </c>
      <c r="K106" s="7" t="s">
        <v>1436</v>
      </c>
      <c r="L106" s="1" t="s">
        <v>647</v>
      </c>
      <c r="M106" s="9" t="s">
        <v>2</v>
      </c>
      <c r="N106" s="4" t="str">
        <f>VLOOKUP(H106,Clientes!B:D,3,)</f>
        <v>BGC LIQUIDEZ DTVM LTDA</v>
      </c>
    </row>
    <row r="107" spans="1:14" hidden="1" x14ac:dyDescent="0.25">
      <c r="A107" s="4" t="str">
        <f t="shared" si="1"/>
        <v>DESPESA DE REPRESENTAÇÃO - PASSAGEM SÃO PAULO X BRASÍLIA -BROKER-ENRICO BORTPLUZO CASSIANO (AGENDA 41781)</v>
      </c>
      <c r="B107" s="11">
        <v>46143</v>
      </c>
      <c r="C107" s="4">
        <v>817991</v>
      </c>
      <c r="D107" s="1" t="s">
        <v>503</v>
      </c>
      <c r="E107" s="14">
        <v>-41.670276999999999</v>
      </c>
      <c r="F107" s="5" t="s">
        <v>388</v>
      </c>
      <c r="G107" s="2">
        <v>46157</v>
      </c>
      <c r="H107" s="9">
        <v>1170</v>
      </c>
      <c r="I107" s="4"/>
      <c r="J107" s="4" t="s">
        <v>812</v>
      </c>
      <c r="K107" s="7" t="s">
        <v>1436</v>
      </c>
      <c r="L107" s="1" t="s">
        <v>647</v>
      </c>
      <c r="M107" s="9" t="s">
        <v>2</v>
      </c>
      <c r="N107" s="4" t="str">
        <f>VLOOKUP(H107,Clientes!B:D,3,)</f>
        <v>BGC LIQUIDEZ DTVM LTDA</v>
      </c>
    </row>
    <row r="108" spans="1:14" hidden="1" x14ac:dyDescent="0.25">
      <c r="A108" s="4" t="str">
        <f t="shared" si="1"/>
        <v>DESPESA DE REPRESENTAÇÃO - PASSAGEM SÃO PAULO X BRASÍLIA -BROKER-ENRICO BORTPLUZO CASSIANO (AGENDA 41781)</v>
      </c>
      <c r="B108" s="11">
        <v>46143</v>
      </c>
      <c r="C108" s="4">
        <v>817991</v>
      </c>
      <c r="D108" s="1" t="s">
        <v>615</v>
      </c>
      <c r="E108" s="14">
        <v>-41.670276999999999</v>
      </c>
      <c r="F108" s="5" t="s">
        <v>388</v>
      </c>
      <c r="G108" s="2">
        <v>46157</v>
      </c>
      <c r="H108" s="9">
        <v>1170</v>
      </c>
      <c r="I108" s="4"/>
      <c r="J108" s="4" t="s">
        <v>812</v>
      </c>
      <c r="K108" s="7" t="s">
        <v>1436</v>
      </c>
      <c r="L108" s="1" t="s">
        <v>647</v>
      </c>
      <c r="M108" s="9" t="s">
        <v>2</v>
      </c>
      <c r="N108" s="4" t="str">
        <f>VLOOKUP(H108,Clientes!B:D,3,)</f>
        <v>BGC LIQUIDEZ DTVM LTDA</v>
      </c>
    </row>
    <row r="109" spans="1:14" hidden="1" x14ac:dyDescent="0.25">
      <c r="A109" s="4" t="str">
        <f t="shared" si="1"/>
        <v>DESPESA DE REPRESENTAÇÃO - PASSAGEM SÃO PAULO X BRASÍLIA -BROKER-ENRICO BORTPLUZO CASSIANO (AGENDA 41781)</v>
      </c>
      <c r="B109" s="11">
        <v>46143</v>
      </c>
      <c r="C109" s="4">
        <v>817991</v>
      </c>
      <c r="D109" s="1" t="s">
        <v>604</v>
      </c>
      <c r="E109" s="14">
        <v>-41.670276999999999</v>
      </c>
      <c r="F109" s="5" t="s">
        <v>388</v>
      </c>
      <c r="G109" s="2">
        <v>46157</v>
      </c>
      <c r="H109" s="9">
        <v>1170</v>
      </c>
      <c r="I109" s="4"/>
      <c r="J109" s="4" t="s">
        <v>812</v>
      </c>
      <c r="K109" s="7" t="s">
        <v>1436</v>
      </c>
      <c r="L109" s="1" t="s">
        <v>647</v>
      </c>
      <c r="M109" s="9" t="s">
        <v>2</v>
      </c>
      <c r="N109" s="4" t="str">
        <f>VLOOKUP(H109,Clientes!B:D,3,)</f>
        <v>BGC LIQUIDEZ DTVM LTDA</v>
      </c>
    </row>
    <row r="110" spans="1:14" hidden="1" x14ac:dyDescent="0.25">
      <c r="A110" s="4" t="str">
        <f t="shared" si="1"/>
        <v>DESPESA DE REPRESENTAÇÃO - PASSAGEM SÃO PAULO X BRASÍLIA -BROKER-ENRICO BORTPLUZO CASSIANO (AGENDA 41781)</v>
      </c>
      <c r="B110" s="11">
        <v>46143</v>
      </c>
      <c r="C110" s="4">
        <v>817991</v>
      </c>
      <c r="D110" s="1" t="s">
        <v>1310</v>
      </c>
      <c r="E110" s="14">
        <v>-41.670276999999999</v>
      </c>
      <c r="F110" s="5" t="s">
        <v>388</v>
      </c>
      <c r="G110" s="2">
        <v>46157</v>
      </c>
      <c r="H110" s="9">
        <v>1170</v>
      </c>
      <c r="I110" s="4"/>
      <c r="J110" s="4" t="s">
        <v>812</v>
      </c>
      <c r="K110" s="7" t="s">
        <v>1436</v>
      </c>
      <c r="L110" s="1" t="s">
        <v>647</v>
      </c>
      <c r="M110" s="9" t="s">
        <v>2</v>
      </c>
      <c r="N110" s="4" t="str">
        <f>VLOOKUP(H110,Clientes!B:D,3,)</f>
        <v>BGC LIQUIDEZ DTVM LTDA</v>
      </c>
    </row>
    <row r="111" spans="1:14" hidden="1" x14ac:dyDescent="0.25">
      <c r="A111" s="4" t="str">
        <f t="shared" si="1"/>
        <v>DESPESA DE REPRESENTAÇÃO - PASSAGEM SÃO PAULO X BRASÍLIA -BROKER-ENRICO BORTPLUZO CASSIANO (AGENDA 41781)</v>
      </c>
      <c r="B111" s="11">
        <v>46143</v>
      </c>
      <c r="C111" s="4">
        <v>817991</v>
      </c>
      <c r="D111" s="1" t="s">
        <v>647</v>
      </c>
      <c r="E111" s="14">
        <v>-125.04833800000002</v>
      </c>
      <c r="F111" s="5" t="s">
        <v>388</v>
      </c>
      <c r="G111" s="2">
        <v>46157</v>
      </c>
      <c r="H111" s="9">
        <v>1170</v>
      </c>
      <c r="I111" s="4"/>
      <c r="J111" s="4" t="s">
        <v>812</v>
      </c>
      <c r="K111" s="7" t="s">
        <v>1436</v>
      </c>
      <c r="L111" s="1" t="s">
        <v>647</v>
      </c>
      <c r="M111" s="9" t="s">
        <v>2</v>
      </c>
      <c r="N111" s="4" t="str">
        <f>VLOOKUP(H111,Clientes!B:D,3,)</f>
        <v>BGC LIQUIDEZ DTVM LTDA</v>
      </c>
    </row>
    <row r="112" spans="1:14" hidden="1" x14ac:dyDescent="0.25">
      <c r="A112" s="4" t="str">
        <f t="shared" si="1"/>
        <v>DESPESA DE REPRESENTAÇÃO - PASSAGEM SÃO PAULO X BRASÍLIA -BROKER-ENRICO BORTPLUZO CASSIANO (AGENDA 41781)</v>
      </c>
      <c r="B112" s="11">
        <v>46143</v>
      </c>
      <c r="C112" s="4">
        <v>817991</v>
      </c>
      <c r="D112" s="1" t="s">
        <v>626</v>
      </c>
      <c r="E112" s="14">
        <v>-52.579185999999993</v>
      </c>
      <c r="F112" s="5" t="s">
        <v>388</v>
      </c>
      <c r="G112" s="2">
        <v>46157</v>
      </c>
      <c r="H112" s="9">
        <v>1170</v>
      </c>
      <c r="I112" s="4"/>
      <c r="J112" s="4" t="s">
        <v>812</v>
      </c>
      <c r="K112" s="7" t="s">
        <v>1436</v>
      </c>
      <c r="L112" s="1" t="s">
        <v>647</v>
      </c>
      <c r="M112" s="9" t="s">
        <v>2</v>
      </c>
      <c r="N112" s="4" t="str">
        <f>VLOOKUP(H112,Clientes!B:D,3,)</f>
        <v>BGC LIQUIDEZ DTVM LTDA</v>
      </c>
    </row>
    <row r="113" spans="1:14" hidden="1" x14ac:dyDescent="0.25">
      <c r="A113" s="4" t="str">
        <f t="shared" si="1"/>
        <v>DESPESA DE REPRESENTAÇÃO - PASSAGEM SÃO PAULO X BRASÍLIA -BROKER-ENRICO BORTPLUZO CASSIANO (AGENDA 41781)</v>
      </c>
      <c r="B113" s="11">
        <v>46143</v>
      </c>
      <c r="C113" s="4">
        <v>817991</v>
      </c>
      <c r="D113" s="1" t="s">
        <v>993</v>
      </c>
      <c r="E113" s="14">
        <v>-52.579185999999993</v>
      </c>
      <c r="F113" s="5" t="s">
        <v>388</v>
      </c>
      <c r="G113" s="2">
        <v>46157</v>
      </c>
      <c r="H113" s="9">
        <v>1170</v>
      </c>
      <c r="I113" s="4"/>
      <c r="J113" s="4" t="s">
        <v>812</v>
      </c>
      <c r="K113" s="7" t="s">
        <v>1436</v>
      </c>
      <c r="L113" s="1" t="s">
        <v>647</v>
      </c>
      <c r="M113" s="9" t="s">
        <v>2</v>
      </c>
      <c r="N113" s="4" t="str">
        <f>VLOOKUP(H113,Clientes!B:D,3,)</f>
        <v>BGC LIQUIDEZ DTVM LTDA</v>
      </c>
    </row>
    <row r="114" spans="1:14" hidden="1" x14ac:dyDescent="0.25">
      <c r="A114" s="4" t="str">
        <f t="shared" si="1"/>
        <v>DESPESA DE REPRESENTAÇÃO - PASSAGEM SÃO PAULO X BRASÍLIA -BROKER-ENRICO BORTPLUZO CASSIANO (AGENDA 41781)</v>
      </c>
      <c r="B114" s="11">
        <v>46143</v>
      </c>
      <c r="C114" s="4">
        <v>817991</v>
      </c>
      <c r="D114" s="1" t="s">
        <v>503</v>
      </c>
      <c r="E114" s="14">
        <v>-52.579185999999993</v>
      </c>
      <c r="F114" s="5" t="s">
        <v>388</v>
      </c>
      <c r="G114" s="2">
        <v>46157</v>
      </c>
      <c r="H114" s="9">
        <v>1170</v>
      </c>
      <c r="I114" s="4"/>
      <c r="J114" s="4" t="s">
        <v>812</v>
      </c>
      <c r="K114" s="7" t="s">
        <v>1436</v>
      </c>
      <c r="L114" s="1" t="s">
        <v>647</v>
      </c>
      <c r="M114" s="9" t="s">
        <v>2</v>
      </c>
      <c r="N114" s="4" t="str">
        <f>VLOOKUP(H114,Clientes!B:D,3,)</f>
        <v>BGC LIQUIDEZ DTVM LTDA</v>
      </c>
    </row>
    <row r="115" spans="1:14" hidden="1" x14ac:dyDescent="0.25">
      <c r="A115" s="4" t="str">
        <f t="shared" si="1"/>
        <v>DESPESA DE REPRESENTAÇÃO - PASSAGEM SÃO PAULO X BRASÍLIA -BROKER-ENRICO BORTPLUZO CASSIANO (AGENDA 41781)</v>
      </c>
      <c r="B115" s="11">
        <v>46143</v>
      </c>
      <c r="C115" s="4">
        <v>817991</v>
      </c>
      <c r="D115" s="1" t="s">
        <v>615</v>
      </c>
      <c r="E115" s="14">
        <v>-52.579185999999993</v>
      </c>
      <c r="F115" s="5" t="s">
        <v>388</v>
      </c>
      <c r="G115" s="2">
        <v>46157</v>
      </c>
      <c r="H115" s="9">
        <v>1170</v>
      </c>
      <c r="I115" s="4"/>
      <c r="J115" s="4" t="s">
        <v>812</v>
      </c>
      <c r="K115" s="7" t="s">
        <v>1436</v>
      </c>
      <c r="L115" s="1" t="s">
        <v>647</v>
      </c>
      <c r="M115" s="9" t="s">
        <v>2</v>
      </c>
      <c r="N115" s="4" t="str">
        <f>VLOOKUP(H115,Clientes!B:D,3,)</f>
        <v>BGC LIQUIDEZ DTVM LTDA</v>
      </c>
    </row>
    <row r="116" spans="1:14" hidden="1" x14ac:dyDescent="0.25">
      <c r="A116" s="4" t="str">
        <f t="shared" si="1"/>
        <v>DESPESA DE REPRESENTAÇÃO - PASSAGEM SÃO PAULO X BRASÍLIA -BROKER-ENRICO BORTPLUZO CASSIANO (AGENDA 41781)</v>
      </c>
      <c r="B116" s="11">
        <v>46143</v>
      </c>
      <c r="C116" s="4">
        <v>817991</v>
      </c>
      <c r="D116" s="1" t="s">
        <v>604</v>
      </c>
      <c r="E116" s="14">
        <v>-52.579185999999993</v>
      </c>
      <c r="F116" s="5" t="s">
        <v>388</v>
      </c>
      <c r="G116" s="2">
        <v>46157</v>
      </c>
      <c r="H116" s="9">
        <v>1170</v>
      </c>
      <c r="I116" s="4"/>
      <c r="J116" s="4" t="s">
        <v>812</v>
      </c>
      <c r="K116" s="7" t="s">
        <v>1436</v>
      </c>
      <c r="L116" s="1" t="s">
        <v>647</v>
      </c>
      <c r="M116" s="9" t="s">
        <v>2</v>
      </c>
      <c r="N116" s="4" t="str">
        <f>VLOOKUP(H116,Clientes!B:D,3,)</f>
        <v>BGC LIQUIDEZ DTVM LTDA</v>
      </c>
    </row>
    <row r="117" spans="1:14" hidden="1" x14ac:dyDescent="0.25">
      <c r="A117" s="4" t="str">
        <f t="shared" si="1"/>
        <v>DESPESA DE REPRESENTAÇÃO - PASSAGEM SÃO PAULO X BRASÍLIA -BROKER-ENRICO BORTPLUZO CASSIANO (AGENDA 41781)</v>
      </c>
      <c r="B117" s="11">
        <v>46143</v>
      </c>
      <c r="C117" s="4">
        <v>817991</v>
      </c>
      <c r="D117" s="1" t="s">
        <v>1310</v>
      </c>
      <c r="E117" s="14">
        <v>-52.579185999999993</v>
      </c>
      <c r="F117" s="5" t="s">
        <v>388</v>
      </c>
      <c r="G117" s="2">
        <v>46157</v>
      </c>
      <c r="H117" s="9">
        <v>1170</v>
      </c>
      <c r="I117" s="4"/>
      <c r="J117" s="4" t="s">
        <v>812</v>
      </c>
      <c r="K117" s="7" t="s">
        <v>1436</v>
      </c>
      <c r="L117" s="1" t="s">
        <v>647</v>
      </c>
      <c r="M117" s="9" t="s">
        <v>2</v>
      </c>
      <c r="N117" s="4" t="str">
        <f>VLOOKUP(H117,Clientes!B:D,3,)</f>
        <v>BGC LIQUIDEZ DTVM LTDA</v>
      </c>
    </row>
    <row r="118" spans="1:14" hidden="1" x14ac:dyDescent="0.25">
      <c r="A118" s="4" t="str">
        <f t="shared" si="1"/>
        <v>DESPESA DE REPRESENTAÇÃO - PASSAGEM SÃO PAULO X BRASÍLIA -BROKER-ENRICO BORTPLUZO CASSIANO (AGENDA 41781)</v>
      </c>
      <c r="B118" s="11">
        <v>46143</v>
      </c>
      <c r="C118" s="4">
        <v>817991</v>
      </c>
      <c r="D118" s="1" t="s">
        <v>647</v>
      </c>
      <c r="E118" s="14">
        <v>-157.78488400000001</v>
      </c>
      <c r="F118" s="5" t="s">
        <v>388</v>
      </c>
      <c r="G118" s="2">
        <v>46157</v>
      </c>
      <c r="H118" s="9">
        <v>1170</v>
      </c>
      <c r="I118" s="4"/>
      <c r="J118" s="4" t="s">
        <v>812</v>
      </c>
      <c r="K118" s="7" t="s">
        <v>1436</v>
      </c>
      <c r="L118" s="1" t="s">
        <v>647</v>
      </c>
      <c r="M118" s="9" t="s">
        <v>2</v>
      </c>
      <c r="N118" s="4" t="str">
        <f>VLOOKUP(H118,Clientes!B:D,3,)</f>
        <v>BGC LIQUIDEZ DTVM LTDA</v>
      </c>
    </row>
    <row r="119" spans="1:14" hidden="1" x14ac:dyDescent="0.25">
      <c r="A119" s="4" t="str">
        <f t="shared" si="1"/>
        <v>DESPESA DE REPRESENTAÇÃO - PASSAGEM SÃO PAULO X RIO DE JANEIRO-SALES-MARCELLE DA SILVEIRA GIL CADILHE (AGENDA 41781)</v>
      </c>
      <c r="B119" s="11">
        <v>46143</v>
      </c>
      <c r="C119" s="4">
        <v>817991</v>
      </c>
      <c r="D119" s="1" t="s">
        <v>428</v>
      </c>
      <c r="E119" s="14">
        <v>-939.6</v>
      </c>
      <c r="F119" s="5" t="s">
        <v>388</v>
      </c>
      <c r="G119" s="2">
        <v>46157</v>
      </c>
      <c r="H119" s="9">
        <v>1170</v>
      </c>
      <c r="I119" s="4"/>
      <c r="J119" s="4" t="s">
        <v>756</v>
      </c>
      <c r="K119" s="7" t="s">
        <v>1436</v>
      </c>
      <c r="L119" s="1" t="s">
        <v>658</v>
      </c>
      <c r="M119" s="9" t="s">
        <v>468</v>
      </c>
      <c r="N119" s="4" t="str">
        <f>VLOOKUP(H119,Clientes!B:D,3,)</f>
        <v>BGC LIQUIDEZ DTVM LTDA</v>
      </c>
    </row>
    <row r="120" spans="1:14" ht="13.5" hidden="1" customHeight="1" x14ac:dyDescent="0.25">
      <c r="A120" s="4" t="str">
        <f t="shared" si="1"/>
        <v>DESPESA DE REPRESENTAÇÃO - PASSAGEM SÃO PAULO X RIO DE JANEIRO-SALES-JOSE ANTONIO DEZENE JUNIOR (AGENDA 41781)</v>
      </c>
      <c r="B120" s="11">
        <v>46143</v>
      </c>
      <c r="C120" s="4">
        <v>817991</v>
      </c>
      <c r="D120" s="1" t="s">
        <v>428</v>
      </c>
      <c r="E120" s="14">
        <v>-815.04</v>
      </c>
      <c r="F120" s="5" t="s">
        <v>388</v>
      </c>
      <c r="G120" s="2">
        <v>46157</v>
      </c>
      <c r="H120" s="9">
        <v>1170</v>
      </c>
      <c r="I120" s="4"/>
      <c r="J120" s="4" t="s">
        <v>756</v>
      </c>
      <c r="K120" s="7" t="s">
        <v>1436</v>
      </c>
      <c r="L120" s="1" t="s">
        <v>428</v>
      </c>
      <c r="M120" s="9" t="s">
        <v>468</v>
      </c>
      <c r="N120" s="4" t="str">
        <f>VLOOKUP(H120,Clientes!B:D,3,)</f>
        <v>BGC LIQUIDEZ DTVM LTDA</v>
      </c>
    </row>
    <row r="121" spans="1:14" hidden="1" x14ac:dyDescent="0.25">
      <c r="A121" s="4" t="str">
        <f t="shared" si="1"/>
        <v>DESPESA DE REPRESENTAÇÃO - PASSAGEM SÃO PAULO X PORTO ALEGRE-ECONOMISTA-FELIPE DE SA TAVARES (AGENDA 41993)</v>
      </c>
      <c r="B121" s="11">
        <v>46143</v>
      </c>
      <c r="C121" s="4">
        <v>817991</v>
      </c>
      <c r="D121" s="1" t="s">
        <v>768</v>
      </c>
      <c r="E121" s="14">
        <v>-1714.04</v>
      </c>
      <c r="F121" s="5" t="s">
        <v>388</v>
      </c>
      <c r="G121" s="2">
        <v>46162</v>
      </c>
      <c r="H121" s="9">
        <v>1170</v>
      </c>
      <c r="I121" s="4"/>
      <c r="J121" s="4" t="s">
        <v>807</v>
      </c>
      <c r="K121" s="7" t="s">
        <v>1437</v>
      </c>
      <c r="L121" s="1" t="s">
        <v>768</v>
      </c>
      <c r="M121" s="9" t="s">
        <v>551</v>
      </c>
      <c r="N121" s="4" t="str">
        <f>VLOOKUP(H121,Clientes!B:D,3,)</f>
        <v>BGC LIQUIDEZ DTVM LTDA</v>
      </c>
    </row>
    <row r="122" spans="1:14" hidden="1" x14ac:dyDescent="0.25">
      <c r="A122" s="4" t="str">
        <f t="shared" si="1"/>
        <v>DESPESA DE REPRESENTAÇÃO - MENSALIDADE DA ASSOCIAÇÃO AO WTC BUSSINESS CLUB-CEO-ERMINIO OLIVI LUCCI (AGENDA 41889)</v>
      </c>
      <c r="B122" s="11">
        <v>46143</v>
      </c>
      <c r="C122" s="4">
        <v>817991</v>
      </c>
      <c r="D122" s="1" t="s">
        <v>650</v>
      </c>
      <c r="E122" s="14">
        <v>-2000</v>
      </c>
      <c r="F122" s="5" t="s">
        <v>389</v>
      </c>
      <c r="G122" s="2">
        <v>46162</v>
      </c>
      <c r="H122" s="9">
        <v>1170</v>
      </c>
      <c r="I122" s="4"/>
      <c r="J122" s="4" t="s">
        <v>507</v>
      </c>
      <c r="K122" s="7" t="s">
        <v>1438</v>
      </c>
      <c r="L122" s="1" t="s">
        <v>650</v>
      </c>
      <c r="M122" s="9" t="s">
        <v>490</v>
      </c>
      <c r="N122" s="4" t="str">
        <f>VLOOKUP(H122,Clientes!B:D,3,)</f>
        <v>BGC LIQUIDEZ DTVM LTDA</v>
      </c>
    </row>
    <row r="123" spans="1:14" hidden="1" x14ac:dyDescent="0.25">
      <c r="A123" s="4" t="str">
        <f t="shared" si="1"/>
        <v>DESPESA DE REPRESENTAÇÃO - ALMOÇO-TRADER-RONALDO SASAKI (133604-3688JJ)</v>
      </c>
      <c r="B123" s="11">
        <v>46143</v>
      </c>
      <c r="C123" s="4">
        <v>817991</v>
      </c>
      <c r="D123" s="1" t="s">
        <v>624</v>
      </c>
      <c r="E123" s="14">
        <v>-1107</v>
      </c>
      <c r="F123" s="5" t="s">
        <v>447</v>
      </c>
      <c r="G123" s="2">
        <v>46163</v>
      </c>
      <c r="H123" s="9">
        <v>16705</v>
      </c>
      <c r="I123" s="4"/>
      <c r="J123" s="4" t="s">
        <v>447</v>
      </c>
      <c r="K123" s="7" t="s">
        <v>1439</v>
      </c>
      <c r="L123" s="1" t="s">
        <v>1440</v>
      </c>
      <c r="M123" s="9" t="s">
        <v>335</v>
      </c>
      <c r="N123" s="4" t="str">
        <f>VLOOKUP(H123,Clientes!B:D,3,)</f>
        <v>BANCO BRADESCO S/A</v>
      </c>
    </row>
    <row r="124" spans="1:14" hidden="1" x14ac:dyDescent="0.25">
      <c r="A124" s="4" t="str">
        <f t="shared" si="1"/>
        <v>DESPESA DE REPRESENTAÇÃO - ALMOÇO-TRADER-BRUNO DE MATTOS A DOS SANTOS (175634-3688CL)</v>
      </c>
      <c r="B124" s="11">
        <v>46143</v>
      </c>
      <c r="C124" s="4">
        <v>817991</v>
      </c>
      <c r="D124" s="1" t="s">
        <v>60</v>
      </c>
      <c r="E124" s="14">
        <v>-1406</v>
      </c>
      <c r="F124" s="5" t="s">
        <v>447</v>
      </c>
      <c r="G124" s="2">
        <v>46163</v>
      </c>
      <c r="H124" s="9">
        <v>80375</v>
      </c>
      <c r="I124" s="4"/>
      <c r="J124" s="5" t="s">
        <v>447</v>
      </c>
      <c r="K124" s="7" t="s">
        <v>1441</v>
      </c>
      <c r="L124" s="1" t="s">
        <v>520</v>
      </c>
      <c r="M124" s="9" t="s">
        <v>335</v>
      </c>
      <c r="N124" s="4" t="str">
        <f>VLOOKUP(H124,Clientes!B:D,3,)</f>
        <v>ITAU UNIBANCO S/A</v>
      </c>
    </row>
    <row r="125" spans="1:14" hidden="1" x14ac:dyDescent="0.25">
      <c r="A125" s="4" t="str">
        <f t="shared" si="1"/>
        <v>DESPESA DE REPRESENTAÇÃO - ALMOÇO-TRADER-BRUNO SILVA CARVALHO (180027-3688CL)</v>
      </c>
      <c r="B125" s="11">
        <v>46143</v>
      </c>
      <c r="C125" s="4">
        <v>817991</v>
      </c>
      <c r="D125" s="1" t="s">
        <v>60</v>
      </c>
      <c r="E125" s="14">
        <v>-2635</v>
      </c>
      <c r="F125" s="5" t="s">
        <v>447</v>
      </c>
      <c r="G125" s="2">
        <v>46163</v>
      </c>
      <c r="H125" s="9">
        <v>82639</v>
      </c>
      <c r="I125" s="4"/>
      <c r="J125" s="5" t="s">
        <v>447</v>
      </c>
      <c r="K125" s="7" t="s">
        <v>1442</v>
      </c>
      <c r="L125" s="1" t="s">
        <v>1082</v>
      </c>
      <c r="M125" s="9" t="s">
        <v>335</v>
      </c>
      <c r="N125" s="4" t="str">
        <f>VLOOKUP(H125,Clientes!B:D,3,)</f>
        <v>SAFRA ASSET CORRETORA DE TITULOS E VALORES MOBILIARIOS S.A.</v>
      </c>
    </row>
    <row r="126" spans="1:14" hidden="1" x14ac:dyDescent="0.25">
      <c r="A126" s="4" t="str">
        <f t="shared" si="1"/>
        <v>DESPESA DE REPRESENTAÇÃO - JANTAR-TRADER-THOMAZ BOTTO (174846-3688CL)</v>
      </c>
      <c r="B126" s="11">
        <v>46143</v>
      </c>
      <c r="C126" s="4">
        <v>817991</v>
      </c>
      <c r="D126" s="1" t="s">
        <v>60</v>
      </c>
      <c r="E126" s="14">
        <v>-2973</v>
      </c>
      <c r="F126" s="5" t="s">
        <v>380</v>
      </c>
      <c r="G126" s="2">
        <v>46163</v>
      </c>
      <c r="H126" s="9">
        <v>80386</v>
      </c>
      <c r="I126" s="4"/>
      <c r="J126" s="5" t="s">
        <v>380</v>
      </c>
      <c r="K126" s="7" t="s">
        <v>1443</v>
      </c>
      <c r="L126" s="1" t="s">
        <v>1445</v>
      </c>
      <c r="M126" s="9" t="s">
        <v>335</v>
      </c>
      <c r="N126" s="4" t="str">
        <f>VLOOKUP(H126,Clientes!B:D,3,)</f>
        <v>LEGACY CAPITAL GESTORA DE RECURSOS LTDA</v>
      </c>
    </row>
    <row r="127" spans="1:14" hidden="1" x14ac:dyDescent="0.25">
      <c r="A127" s="4" t="str">
        <f t="shared" si="1"/>
        <v>DESPESA DE REPRESENTAÇÃO - ALMOÇO-TRADER-PEDRO CARNEIRO (175850-3688CL)</v>
      </c>
      <c r="B127" s="11">
        <v>46143</v>
      </c>
      <c r="C127" s="4">
        <v>817991</v>
      </c>
      <c r="D127" s="1" t="s">
        <v>60</v>
      </c>
      <c r="E127" s="14">
        <v>-791</v>
      </c>
      <c r="F127" s="5" t="s">
        <v>447</v>
      </c>
      <c r="G127" s="2">
        <v>46163</v>
      </c>
      <c r="H127" s="9">
        <v>80834</v>
      </c>
      <c r="I127" s="4"/>
      <c r="J127" s="5" t="s">
        <v>447</v>
      </c>
      <c r="K127" s="7" t="s">
        <v>1444</v>
      </c>
      <c r="L127" s="1" t="s">
        <v>877</v>
      </c>
      <c r="M127" s="9" t="s">
        <v>335</v>
      </c>
      <c r="N127" s="4" t="str">
        <f>VLOOKUP(H127,Clientes!B:D,3,)</f>
        <v>ASSET1 INVESTIMENTOS S.A.</v>
      </c>
    </row>
    <row r="128" spans="1:14" hidden="1" x14ac:dyDescent="0.25">
      <c r="A128" s="4" t="str">
        <f t="shared" si="1"/>
        <v>DESPESA DE REPRESENTAÇÃO - ALMOÇO-TRADER-ALEXANDRE ARANTES DE S QUEIROZ (115530-3688JV)</v>
      </c>
      <c r="B128" s="11">
        <v>46143</v>
      </c>
      <c r="C128" s="4">
        <v>817991</v>
      </c>
      <c r="D128" s="1" t="s">
        <v>459</v>
      </c>
      <c r="E128" s="14">
        <v>-1426.06</v>
      </c>
      <c r="F128" s="5" t="s">
        <v>447</v>
      </c>
      <c r="G128" s="2">
        <v>46163</v>
      </c>
      <c r="H128" s="9">
        <v>14479</v>
      </c>
      <c r="I128" s="4"/>
      <c r="J128" s="5" t="s">
        <v>447</v>
      </c>
      <c r="K128" s="7" t="s">
        <v>1446</v>
      </c>
      <c r="L128" s="1" t="s">
        <v>1447</v>
      </c>
      <c r="M128" s="9" t="s">
        <v>335</v>
      </c>
      <c r="N128" s="4" t="str">
        <f>VLOOKUP(H128,Clientes!B:D,3,)</f>
        <v>BANCO SANTANDER (BRASIL) S/A</v>
      </c>
    </row>
    <row r="129" spans="1:14" hidden="1" x14ac:dyDescent="0.25">
      <c r="A129" s="4" t="str">
        <f t="shared" si="1"/>
        <v>DESPESA DE REPRESENTAÇÃO - ALMOÇO-TRADER-RODRIGO JOLIG (122119-3688AV)</v>
      </c>
      <c r="B129" s="11">
        <v>46143</v>
      </c>
      <c r="C129" s="4">
        <v>817991</v>
      </c>
      <c r="D129" s="1" t="s">
        <v>23</v>
      </c>
      <c r="E129" s="14">
        <v>-819</v>
      </c>
      <c r="F129" s="5" t="s">
        <v>447</v>
      </c>
      <c r="G129" s="2">
        <v>46163</v>
      </c>
      <c r="H129" s="9">
        <v>80359</v>
      </c>
      <c r="I129" s="4"/>
      <c r="J129" s="5" t="s">
        <v>447</v>
      </c>
      <c r="K129" s="7" t="s">
        <v>1448</v>
      </c>
      <c r="L129" s="1" t="s">
        <v>855</v>
      </c>
      <c r="M129" s="9" t="s">
        <v>335</v>
      </c>
      <c r="N129" s="4" t="str">
        <f>VLOOKUP(H129,Clientes!B:D,3,)</f>
        <v>VINLAND CAPITAL MANAGEMENT GESTORA DE RECURSOS LTDA</v>
      </c>
    </row>
    <row r="130" spans="1:14" hidden="1" x14ac:dyDescent="0.25">
      <c r="A130" s="4" t="str">
        <f t="shared" si="1"/>
        <v>DESPESA DE REPRESENTAÇÃO - ALMOÇO COM OCEANA INVESTIMENTOS-TRADER-ANDRE BACHA  (082753-3688EC)</v>
      </c>
      <c r="B130" s="11">
        <v>46143</v>
      </c>
      <c r="C130" s="4">
        <v>817991</v>
      </c>
      <c r="D130" s="1" t="s">
        <v>647</v>
      </c>
      <c r="E130" s="14">
        <v>-1128</v>
      </c>
      <c r="F130" s="5" t="s">
        <v>447</v>
      </c>
      <c r="G130" s="2">
        <v>46163</v>
      </c>
      <c r="H130" s="9">
        <v>1170</v>
      </c>
      <c r="I130" s="4"/>
      <c r="J130" s="5" t="s">
        <v>1457</v>
      </c>
      <c r="K130" s="7" t="s">
        <v>1449</v>
      </c>
      <c r="L130" s="1" t="s">
        <v>1458</v>
      </c>
      <c r="M130" s="9" t="s">
        <v>335</v>
      </c>
      <c r="N130" s="4" t="str">
        <f>VLOOKUP(H130,Clientes!B:D,3,)</f>
        <v>BGC LIQUIDEZ DTVM LTDA</v>
      </c>
    </row>
    <row r="131" spans="1:14" hidden="1" x14ac:dyDescent="0.25">
      <c r="A131" s="4" t="str">
        <f t="shared" ref="A131:A194" si="2">CONCATENATE($J$1,J131,$I$3,M131,$I$3,L131,$I$1,K131,$I$2)</f>
        <v>DESPESA DE REPRESENTAÇÃO - ALMOÇO-TRADER-LUIZ MOLNAR  (083121-3688EC)</v>
      </c>
      <c r="B131" s="11">
        <v>46143</v>
      </c>
      <c r="C131" s="4">
        <v>817991</v>
      </c>
      <c r="D131" s="1" t="s">
        <v>647</v>
      </c>
      <c r="E131" s="14">
        <v>-1969</v>
      </c>
      <c r="F131" s="5" t="s">
        <v>447</v>
      </c>
      <c r="G131" s="2">
        <v>46163</v>
      </c>
      <c r="H131" s="9">
        <v>80227</v>
      </c>
      <c r="I131" s="4"/>
      <c r="J131" s="5" t="s">
        <v>447</v>
      </c>
      <c r="K131" s="7" t="s">
        <v>1450</v>
      </c>
      <c r="L131" s="1" t="s">
        <v>1459</v>
      </c>
      <c r="M131" s="9" t="s">
        <v>335</v>
      </c>
      <c r="N131" s="4" t="str">
        <f>VLOOKUP(H131,Clientes!B:D,3,)</f>
        <v>ITAU UNIBANCO S/A</v>
      </c>
    </row>
    <row r="132" spans="1:14" hidden="1" x14ac:dyDescent="0.25">
      <c r="A132" s="4" t="str">
        <f t="shared" si="2"/>
        <v>DESPESA DE REPRESENTAÇÃO - ALMOÇO-TRADER-RICARDO ROCHA  (083628-3688EC)</v>
      </c>
      <c r="B132" s="11">
        <v>46143</v>
      </c>
      <c r="C132" s="4">
        <v>817991</v>
      </c>
      <c r="D132" s="1" t="s">
        <v>647</v>
      </c>
      <c r="E132" s="14">
        <v>-364</v>
      </c>
      <c r="F132" s="5" t="s">
        <v>447</v>
      </c>
      <c r="G132" s="2">
        <v>46163</v>
      </c>
      <c r="H132" s="9">
        <v>80233</v>
      </c>
      <c r="I132" s="4"/>
      <c r="J132" s="5" t="s">
        <v>447</v>
      </c>
      <c r="K132" s="7" t="s">
        <v>1451</v>
      </c>
      <c r="L132" s="1" t="s">
        <v>1460</v>
      </c>
      <c r="M132" s="9" t="s">
        <v>335</v>
      </c>
      <c r="N132" s="4" t="str">
        <f>VLOOKUP(H132,Clientes!B:D,3,)</f>
        <v>BANCO ABC BRASIL S/A</v>
      </c>
    </row>
    <row r="133" spans="1:14" hidden="1" x14ac:dyDescent="0.25">
      <c r="A133" s="4" t="str">
        <f t="shared" si="2"/>
        <v>DESPESA DE REPRESENTAÇÃO - ALMOÇO-TRADER-RODRIGO BRENDON NOGUEIRA (083520-3688EC)</v>
      </c>
      <c r="B133" s="11">
        <v>46143</v>
      </c>
      <c r="C133" s="4">
        <v>817991</v>
      </c>
      <c r="D133" s="1" t="s">
        <v>647</v>
      </c>
      <c r="E133" s="14">
        <v>-1836</v>
      </c>
      <c r="F133" s="5" t="s">
        <v>447</v>
      </c>
      <c r="G133" s="2">
        <v>46163</v>
      </c>
      <c r="H133" s="9">
        <v>82467</v>
      </c>
      <c r="I133" s="4"/>
      <c r="J133" s="5" t="s">
        <v>447</v>
      </c>
      <c r="K133" s="7" t="s">
        <v>1452</v>
      </c>
      <c r="L133" s="1" t="s">
        <v>1461</v>
      </c>
      <c r="M133" s="9" t="s">
        <v>335</v>
      </c>
      <c r="N133" s="4" t="str">
        <f>VLOOKUP(H133,Clientes!B:D,3,)</f>
        <v>BRAM - BRADESCO ASSET MANAGEMENT S/A DTVM</v>
      </c>
    </row>
    <row r="134" spans="1:14" hidden="1" x14ac:dyDescent="0.25">
      <c r="A134" s="4" t="str">
        <f t="shared" si="2"/>
        <v>DESPESA DE REPRESENTAÇÃO - FUTEBOL E HAPPY HOUR-TRADER-PEDRO RISTOW (083904-3688EC)</v>
      </c>
      <c r="B134" s="11">
        <v>46143</v>
      </c>
      <c r="C134" s="4">
        <v>817991</v>
      </c>
      <c r="D134" s="1" t="s">
        <v>647</v>
      </c>
      <c r="E134" s="14">
        <v>-3372</v>
      </c>
      <c r="F134" s="5" t="s">
        <v>387</v>
      </c>
      <c r="G134" s="2">
        <v>46163</v>
      </c>
      <c r="H134" s="9">
        <v>80227</v>
      </c>
      <c r="I134" s="4"/>
      <c r="J134" s="4" t="s">
        <v>1453</v>
      </c>
      <c r="K134" s="7" t="s">
        <v>1454</v>
      </c>
      <c r="L134" s="1" t="s">
        <v>1462</v>
      </c>
      <c r="M134" s="9" t="s">
        <v>335</v>
      </c>
      <c r="N134" s="4" t="str">
        <f>VLOOKUP(H134,Clientes!B:D,3,)</f>
        <v>ITAU UNIBANCO S/A</v>
      </c>
    </row>
    <row r="135" spans="1:14" hidden="1" x14ac:dyDescent="0.25">
      <c r="A135" s="4" t="str">
        <f t="shared" si="2"/>
        <v>DESPESA DE REPRESENTAÇÃO - ALMOÇO-TRADER-GUSTAVO PISTILI (083736-3688EC)</v>
      </c>
      <c r="B135" s="11">
        <v>46143</v>
      </c>
      <c r="C135" s="4">
        <v>817991</v>
      </c>
      <c r="D135" s="1" t="s">
        <v>647</v>
      </c>
      <c r="E135" s="14">
        <v>-323</v>
      </c>
      <c r="F135" s="5" t="s">
        <v>447</v>
      </c>
      <c r="G135" s="2">
        <v>46163</v>
      </c>
      <c r="H135" s="9">
        <v>14479</v>
      </c>
      <c r="I135" s="4"/>
      <c r="J135" s="4" t="s">
        <v>447</v>
      </c>
      <c r="K135" s="7" t="s">
        <v>1455</v>
      </c>
      <c r="L135" s="1" t="s">
        <v>1463</v>
      </c>
      <c r="M135" s="9" t="s">
        <v>335</v>
      </c>
      <c r="N135" s="4" t="str">
        <f>VLOOKUP(H135,Clientes!B:D,3,)</f>
        <v>BANCO SANTANDER (BRASIL) S/A</v>
      </c>
    </row>
    <row r="136" spans="1:14" hidden="1" x14ac:dyDescent="0.25">
      <c r="A136" s="4" t="str">
        <f t="shared" si="2"/>
        <v>DESPESA DE REPRESENTAÇÃO - ALMOÇO-TRADER-FELIPE GARCEZ (082954-3688EC)</v>
      </c>
      <c r="B136" s="11">
        <v>46143</v>
      </c>
      <c r="C136" s="4">
        <v>817991</v>
      </c>
      <c r="D136" s="1" t="s">
        <v>647</v>
      </c>
      <c r="E136" s="14">
        <v>-1127</v>
      </c>
      <c r="F136" s="5" t="s">
        <v>447</v>
      </c>
      <c r="G136" s="2">
        <v>46163</v>
      </c>
      <c r="H136" s="9">
        <v>75777</v>
      </c>
      <c r="I136" s="4"/>
      <c r="J136" s="4" t="s">
        <v>447</v>
      </c>
      <c r="K136" s="7" t="s">
        <v>1456</v>
      </c>
      <c r="L136" s="1" t="s">
        <v>1464</v>
      </c>
      <c r="M136" s="9" t="s">
        <v>335</v>
      </c>
      <c r="N136" s="4" t="str">
        <f>VLOOKUP(H136,Clientes!B:D,3,)</f>
        <v>BANK OF AMERICA MERRILL LYNCH BANCO MULTIPLO S/A</v>
      </c>
    </row>
    <row r="137" spans="1:14" hidden="1" x14ac:dyDescent="0.25">
      <c r="A137" s="4" t="str">
        <f t="shared" si="2"/>
        <v>DESPESA DE REPRESENTAÇÃO - TRADUTOR SIMULTÂNEO REUNIÃO MICHEL TEMER -TRADER-STRATFORD DENNIS  (122813-3688AC)</v>
      </c>
      <c r="B137" s="11">
        <v>46143</v>
      </c>
      <c r="C137" s="4">
        <v>817991</v>
      </c>
      <c r="D137" s="1" t="s">
        <v>624</v>
      </c>
      <c r="E137" s="14">
        <v>-13635</v>
      </c>
      <c r="F137" s="5" t="s">
        <v>389</v>
      </c>
      <c r="G137" s="2">
        <v>46163</v>
      </c>
      <c r="H137" s="9">
        <v>79791</v>
      </c>
      <c r="I137" s="4"/>
      <c r="J137" s="4" t="s">
        <v>1465</v>
      </c>
      <c r="K137" s="7" t="s">
        <v>1466</v>
      </c>
      <c r="L137" s="1" t="s">
        <v>1467</v>
      </c>
      <c r="M137" s="9" t="s">
        <v>335</v>
      </c>
      <c r="N137" s="4" t="str">
        <f>VLOOKUP(H137,Clientes!B:D,3,)</f>
        <v>GOLDMAN SACHS DO BRASIL BANCO MULTIPLO S/A</v>
      </c>
    </row>
    <row r="138" spans="1:14" hidden="1" x14ac:dyDescent="0.25">
      <c r="A138" s="4" t="str">
        <f t="shared" si="2"/>
        <v>DESPESA DE REPRESENTAÇÃO - ALMOÇO-TRADER-ANDERSON SILVA SOUZA (150437-3688AS)</v>
      </c>
      <c r="B138" s="11">
        <v>46143</v>
      </c>
      <c r="C138" s="4">
        <v>817991</v>
      </c>
      <c r="D138" s="1" t="s">
        <v>449</v>
      </c>
      <c r="E138" s="14">
        <v>-1516</v>
      </c>
      <c r="F138" s="5" t="s">
        <v>447</v>
      </c>
      <c r="G138" s="2">
        <v>46163</v>
      </c>
      <c r="H138" s="9">
        <v>14479</v>
      </c>
      <c r="I138" s="4"/>
      <c r="J138" s="5" t="s">
        <v>447</v>
      </c>
      <c r="K138" s="7" t="s">
        <v>1468</v>
      </c>
      <c r="L138" s="1" t="s">
        <v>358</v>
      </c>
      <c r="M138" s="9" t="s">
        <v>335</v>
      </c>
      <c r="N138" s="4" t="str">
        <f>VLOOKUP(H138,Clientes!B:D,3,)</f>
        <v>BANCO SANTANDER (BRASIL) S/A</v>
      </c>
    </row>
    <row r="139" spans="1:14" hidden="1" x14ac:dyDescent="0.25">
      <c r="A139" s="4" t="str">
        <f t="shared" si="2"/>
        <v>DESPESA DE REPRESENTAÇÃO - INGRESSOS PARA XP EXPERT BROKERS-BROKER-ENRICO BORTPLUZO CASSIANO (122539-3688EC)</v>
      </c>
      <c r="B139" s="11">
        <v>46143</v>
      </c>
      <c r="C139" s="4">
        <v>817991</v>
      </c>
      <c r="D139" s="1" t="s">
        <v>647</v>
      </c>
      <c r="E139" s="14">
        <v>-4840</v>
      </c>
      <c r="F139" s="5" t="s">
        <v>387</v>
      </c>
      <c r="G139" s="2">
        <v>46163</v>
      </c>
      <c r="H139" s="9">
        <v>1170</v>
      </c>
      <c r="I139" s="4"/>
      <c r="J139" s="4" t="s">
        <v>1470</v>
      </c>
      <c r="K139" s="7" t="s">
        <v>1469</v>
      </c>
      <c r="L139" s="1" t="s">
        <v>647</v>
      </c>
      <c r="M139" s="9" t="s">
        <v>2</v>
      </c>
      <c r="N139" s="4" t="str">
        <f>VLOOKUP(H139,Clientes!B:D,3,)</f>
        <v>BGC LIQUIDEZ DTVM LTDA</v>
      </c>
    </row>
    <row r="140" spans="1:14" hidden="1" x14ac:dyDescent="0.25">
      <c r="A140" s="4" t="str">
        <f t="shared" si="2"/>
        <v>DESPESA DE REPRESENTAÇÃO - JANTAR-TRADER-JOAO PEDRO BESSA LIMA OLIVEIRA (090019-3688PI)</v>
      </c>
      <c r="B140" s="11">
        <v>46143</v>
      </c>
      <c r="C140" s="4">
        <v>817991</v>
      </c>
      <c r="D140" s="1" t="s">
        <v>772</v>
      </c>
      <c r="E140" s="14">
        <v>-3558</v>
      </c>
      <c r="F140" s="5" t="s">
        <v>380</v>
      </c>
      <c r="G140" s="2">
        <v>46163</v>
      </c>
      <c r="H140" s="9">
        <v>81771</v>
      </c>
      <c r="I140" s="4"/>
      <c r="J140" s="4" t="s">
        <v>380</v>
      </c>
      <c r="K140" s="7" t="s">
        <v>1471</v>
      </c>
      <c r="L140" s="1" t="s">
        <v>1472</v>
      </c>
      <c r="M140" s="9" t="s">
        <v>335</v>
      </c>
      <c r="N140" s="4" t="str">
        <f>VLOOKUP(H140,Clientes!B:D,3,)</f>
        <v>BANCO JP MORGAN S/A</v>
      </c>
    </row>
    <row r="141" spans="1:14" hidden="1" x14ac:dyDescent="0.25">
      <c r="A141" s="4" t="str">
        <f t="shared" si="2"/>
        <v>DESPESA DE REPRESENTAÇÃO - JANTAR-TRADER-GABRIEL CAMILO (165134-3688PI)</v>
      </c>
      <c r="B141" s="11">
        <v>46143</v>
      </c>
      <c r="C141" s="4">
        <v>817991</v>
      </c>
      <c r="D141" s="1" t="s">
        <v>772</v>
      </c>
      <c r="E141" s="14">
        <v>-2248</v>
      </c>
      <c r="F141" s="5" t="s">
        <v>380</v>
      </c>
      <c r="G141" s="2">
        <v>46163</v>
      </c>
      <c r="H141" s="9">
        <v>79407</v>
      </c>
      <c r="I141" s="4"/>
      <c r="J141" s="4" t="s">
        <v>380</v>
      </c>
      <c r="K141" s="7" t="s">
        <v>1474</v>
      </c>
      <c r="L141" s="1" t="s">
        <v>1475</v>
      </c>
      <c r="M141" s="9" t="s">
        <v>335</v>
      </c>
      <c r="N141" s="4" t="str">
        <f>VLOOKUP(H141,Clientes!B:D,3,)</f>
        <v>BANCO MORGAN STANLEY S/A</v>
      </c>
    </row>
    <row r="142" spans="1:14" hidden="1" x14ac:dyDescent="0.25">
      <c r="A142" s="4" t="str">
        <f t="shared" si="2"/>
        <v>DESPESA DE REPRESENTAÇÃO - ALMOÇO-TRADER-GUILHERME HARARI MONACO (165332-3688PI)</v>
      </c>
      <c r="B142" s="11">
        <v>46143</v>
      </c>
      <c r="C142" s="4">
        <v>817991</v>
      </c>
      <c r="D142" s="1" t="s">
        <v>772</v>
      </c>
      <c r="E142" s="14">
        <v>-3532</v>
      </c>
      <c r="F142" s="5" t="s">
        <v>447</v>
      </c>
      <c r="G142" s="2">
        <v>46163</v>
      </c>
      <c r="H142" s="9">
        <v>82706</v>
      </c>
      <c r="I142" s="4"/>
      <c r="J142" s="4" t="s">
        <v>447</v>
      </c>
      <c r="K142" s="7" t="s">
        <v>1473</v>
      </c>
      <c r="L142" s="1" t="s">
        <v>962</v>
      </c>
      <c r="M142" s="9" t="s">
        <v>335</v>
      </c>
      <c r="N142" s="4" t="str">
        <f>VLOOKUP(H142,Clientes!B:D,3,)</f>
        <v>BANCO XP S/A</v>
      </c>
    </row>
    <row r="143" spans="1:14" x14ac:dyDescent="0.25">
      <c r="A143" s="4" t="str">
        <f t="shared" si="2"/>
        <v>DESPESA DE REPRESENTAÇÃO - HOTEL PROMENADE PALLADIUM -BROKER-CLAUDIO DE SOUZA PACINI (AGENDA 41789)</v>
      </c>
      <c r="B143" s="11">
        <v>46143</v>
      </c>
      <c r="C143" s="4">
        <v>817991</v>
      </c>
      <c r="D143" s="1" t="s">
        <v>648</v>
      </c>
      <c r="E143" s="14">
        <v>-12584</v>
      </c>
      <c r="F143" s="5" t="s">
        <v>422</v>
      </c>
      <c r="G143" s="2">
        <v>46155</v>
      </c>
      <c r="H143" s="9">
        <v>1170</v>
      </c>
      <c r="I143" s="4"/>
      <c r="J143" s="4" t="s">
        <v>1637</v>
      </c>
      <c r="K143" s="7" t="s">
        <v>1478</v>
      </c>
      <c r="L143" s="1" t="s">
        <v>648</v>
      </c>
      <c r="M143" s="9" t="s">
        <v>2</v>
      </c>
      <c r="N143" s="4" t="str">
        <f>VLOOKUP(H143,Clientes!B:D,3,)</f>
        <v>BGC LIQUIDEZ DTVM LTDA</v>
      </c>
    </row>
    <row r="144" spans="1:14" x14ac:dyDescent="0.25">
      <c r="A144" s="4" t="str">
        <f t="shared" si="2"/>
        <v>DESPESA DE REPRESENTAÇÃO - HOTEL RADISSON BLU SÃO PAULO-CONSULTORIA-CLAUDIA TAVARES FERNANDES (AGENDA 41789)</v>
      </c>
      <c r="B144" s="11">
        <v>46143</v>
      </c>
      <c r="C144" s="4">
        <v>817991</v>
      </c>
      <c r="D144" s="1" t="s">
        <v>539</v>
      </c>
      <c r="E144" s="14">
        <v>-866.25</v>
      </c>
      <c r="F144" s="5" t="s">
        <v>422</v>
      </c>
      <c r="G144" s="2">
        <v>46155</v>
      </c>
      <c r="H144" s="9">
        <v>1170</v>
      </c>
      <c r="I144" s="4"/>
      <c r="J144" s="4" t="s">
        <v>1638</v>
      </c>
      <c r="K144" s="7" t="s">
        <v>1478</v>
      </c>
      <c r="L144" s="1" t="s">
        <v>539</v>
      </c>
      <c r="M144" s="9" t="s">
        <v>1479</v>
      </c>
      <c r="N144" s="4" t="str">
        <f>VLOOKUP(H144,Clientes!B:D,3,)</f>
        <v>BGC LIQUIDEZ DTVM LTDA</v>
      </c>
    </row>
    <row r="145" spans="1:14" hidden="1" x14ac:dyDescent="0.25">
      <c r="A145" s="4" t="str">
        <f t="shared" si="2"/>
        <v>DESPESA DE REPRESENTAÇÃO - PASSAGEM SÃO PAULO X NOVA YORK-ECONOMISTA-FELIPE DE SA TAVARES (AGENDA 41792)</v>
      </c>
      <c r="B145" s="11">
        <v>46143</v>
      </c>
      <c r="C145" s="4">
        <v>817991</v>
      </c>
      <c r="D145" s="1" t="s">
        <v>768</v>
      </c>
      <c r="E145" s="14">
        <v>-9890.4500000000007</v>
      </c>
      <c r="F145" s="5" t="s">
        <v>388</v>
      </c>
      <c r="G145" s="2">
        <v>46155</v>
      </c>
      <c r="H145" s="9">
        <v>1170</v>
      </c>
      <c r="I145" s="4"/>
      <c r="J145" s="4" t="s">
        <v>804</v>
      </c>
      <c r="K145" s="7" t="s">
        <v>1480</v>
      </c>
      <c r="L145" s="1" t="s">
        <v>768</v>
      </c>
      <c r="M145" s="9" t="s">
        <v>551</v>
      </c>
      <c r="N145" s="4" t="str">
        <f>VLOOKUP(H145,Clientes!B:D,3,)</f>
        <v>BGC LIQUIDEZ DTVM LTDA</v>
      </c>
    </row>
    <row r="146" spans="1:14" x14ac:dyDescent="0.25">
      <c r="A146" s="4" t="str">
        <f t="shared" si="2"/>
        <v>DESPESA DE REPRESENTAÇÃO - PASSAGEM SÃO PAULO X BRASÍLIA -CONSULTORIA-CLAUDIA TAVARES FERNANDES (AGENDA 41793)</v>
      </c>
      <c r="B146" s="11">
        <v>46143</v>
      </c>
      <c r="C146" s="4">
        <v>817991</v>
      </c>
      <c r="D146" s="1" t="s">
        <v>539</v>
      </c>
      <c r="E146" s="14">
        <v>-2735.74</v>
      </c>
      <c r="F146" s="5" t="s">
        <v>388</v>
      </c>
      <c r="G146" s="2">
        <v>46155</v>
      </c>
      <c r="H146" s="9">
        <v>1170</v>
      </c>
      <c r="I146" s="4"/>
      <c r="J146" s="4" t="s">
        <v>812</v>
      </c>
      <c r="K146" s="7" t="s">
        <v>1482</v>
      </c>
      <c r="L146" s="1" t="s">
        <v>539</v>
      </c>
      <c r="M146" s="9" t="s">
        <v>1479</v>
      </c>
      <c r="N146" s="4" t="str">
        <f>VLOOKUP(H146,Clientes!B:D,3,)</f>
        <v>BGC LIQUIDEZ DTVM LTDA</v>
      </c>
    </row>
    <row r="147" spans="1:14" x14ac:dyDescent="0.25">
      <c r="A147" s="4" t="str">
        <f t="shared" si="2"/>
        <v>DESPESA DE REPRESENTAÇÃO - HOTEL RADISSON BLU SÃO PAULO-BROKER-CLAUDIO DE SOUZA PACINI (AGENDA 41955)</v>
      </c>
      <c r="B147" s="11">
        <v>46143</v>
      </c>
      <c r="C147" s="4">
        <v>817991</v>
      </c>
      <c r="D147" s="1" t="s">
        <v>648</v>
      </c>
      <c r="E147" s="14">
        <v>-4600</v>
      </c>
      <c r="F147" s="5" t="s">
        <v>667</v>
      </c>
      <c r="G147" s="2">
        <v>46162</v>
      </c>
      <c r="H147" s="9">
        <v>1170</v>
      </c>
      <c r="I147" s="4"/>
      <c r="J147" s="4" t="s">
        <v>1638</v>
      </c>
      <c r="K147" s="7" t="s">
        <v>1483</v>
      </c>
      <c r="L147" s="1" t="s">
        <v>648</v>
      </c>
      <c r="M147" s="9" t="s">
        <v>2</v>
      </c>
      <c r="N147" s="4" t="str">
        <f>VLOOKUP(H147,Clientes!B:D,3,)</f>
        <v>BGC LIQUIDEZ DTVM LTDA</v>
      </c>
    </row>
    <row r="148" spans="1:14" hidden="1" x14ac:dyDescent="0.25">
      <c r="A148" s="4" t="str">
        <f t="shared" si="2"/>
        <v>DESPESA DE REPRESENTAÇÃO - HOTEL GILD HALL NOVA YORK-ECONOMISTA-FELIPE DE SA TAVARES (AGENDA 41954)</v>
      </c>
      <c r="B148" s="11">
        <v>46143</v>
      </c>
      <c r="C148" s="4">
        <v>817991</v>
      </c>
      <c r="D148" s="1" t="s">
        <v>768</v>
      </c>
      <c r="E148" s="14">
        <v>-5943</v>
      </c>
      <c r="F148" s="5" t="s">
        <v>667</v>
      </c>
      <c r="G148" s="2">
        <v>46162</v>
      </c>
      <c r="H148" s="9">
        <v>1170</v>
      </c>
      <c r="I148" s="4"/>
      <c r="J148" s="4" t="s">
        <v>1639</v>
      </c>
      <c r="K148" s="7" t="s">
        <v>1484</v>
      </c>
      <c r="L148" s="1" t="s">
        <v>768</v>
      </c>
      <c r="M148" s="9" t="s">
        <v>551</v>
      </c>
      <c r="N148" s="4" t="str">
        <f>VLOOKUP(H148,Clientes!B:D,3,)</f>
        <v>BGC LIQUIDEZ DTVM LTDA</v>
      </c>
    </row>
    <row r="149" spans="1:14" hidden="1" x14ac:dyDescent="0.25">
      <c r="A149" s="4" t="str">
        <f t="shared" si="2"/>
        <v>DESPESA DE REPRESENTAÇÃO - ARENA LEME HOTEL RIO DE JANEIRO-BROKER-JUAREZ JOAQUIM DE LACERDA (AGENDA 42030)</v>
      </c>
      <c r="B149" s="11">
        <v>46143</v>
      </c>
      <c r="C149" s="4">
        <v>817991</v>
      </c>
      <c r="D149" s="1" t="s">
        <v>614</v>
      </c>
      <c r="E149" s="14">
        <v>-641.03</v>
      </c>
      <c r="F149" s="5" t="s">
        <v>422</v>
      </c>
      <c r="G149" s="2">
        <v>46167</v>
      </c>
      <c r="H149" s="9">
        <v>1170</v>
      </c>
      <c r="I149" s="4"/>
      <c r="J149" s="4" t="s">
        <v>1640</v>
      </c>
      <c r="K149" s="7" t="s">
        <v>1485</v>
      </c>
      <c r="L149" s="1" t="s">
        <v>614</v>
      </c>
      <c r="M149" s="9" t="s">
        <v>2</v>
      </c>
      <c r="N149" s="4" t="str">
        <f>VLOOKUP(H149,Clientes!B:D,3,)</f>
        <v>BGC LIQUIDEZ DTVM LTDA</v>
      </c>
    </row>
    <row r="150" spans="1:14" hidden="1" x14ac:dyDescent="0.25">
      <c r="A150" s="4" t="str">
        <f t="shared" si="2"/>
        <v>DESPESA DE REPRESENTAÇÃO - JANTAR-TRADER-KARINE VICENTE (094655-3688AL)</v>
      </c>
      <c r="B150" s="11">
        <v>46143</v>
      </c>
      <c r="C150" s="4">
        <v>817991</v>
      </c>
      <c r="D150" s="1" t="s">
        <v>39</v>
      </c>
      <c r="E150" s="14">
        <v>-1728.9</v>
      </c>
      <c r="F150" s="5" t="s">
        <v>380</v>
      </c>
      <c r="G150" s="2">
        <v>46170</v>
      </c>
      <c r="H150" s="9">
        <v>80961</v>
      </c>
      <c r="I150" s="4"/>
      <c r="J150" s="4" t="s">
        <v>380</v>
      </c>
      <c r="K150" s="7" t="s">
        <v>1486</v>
      </c>
      <c r="L150" s="1" t="s">
        <v>314</v>
      </c>
      <c r="M150" s="9" t="s">
        <v>335</v>
      </c>
      <c r="N150" s="4" t="str">
        <f>VLOOKUP(H150,Clientes!B:D,3,)</f>
        <v>BANCO CITIBANK S/A</v>
      </c>
    </row>
    <row r="151" spans="1:14" hidden="1" x14ac:dyDescent="0.25">
      <c r="A151" s="4" t="str">
        <f t="shared" si="2"/>
        <v>DESPESA DE REPRESENTAÇÃO - ALMOÇO-TRADER-BRUNO SILVA CARVALHO (180732-3688GF)</v>
      </c>
      <c r="B151" s="11">
        <v>46143</v>
      </c>
      <c r="C151" s="4">
        <v>817991</v>
      </c>
      <c r="D151" s="1" t="s">
        <v>615</v>
      </c>
      <c r="E151" s="14">
        <v>-1305.1500000000001</v>
      </c>
      <c r="F151" s="5" t="s">
        <v>447</v>
      </c>
      <c r="G151" s="2">
        <v>46170</v>
      </c>
      <c r="H151" s="9">
        <v>82639</v>
      </c>
      <c r="I151" s="4"/>
      <c r="J151" s="5" t="s">
        <v>447</v>
      </c>
      <c r="K151" s="7" t="s">
        <v>1487</v>
      </c>
      <c r="L151" s="1" t="s">
        <v>1082</v>
      </c>
      <c r="M151" s="9" t="s">
        <v>335</v>
      </c>
      <c r="N151" s="4" t="str">
        <f>VLOOKUP(H151,Clientes!B:D,3,)</f>
        <v>SAFRA ASSET CORRETORA DE TITULOS E VALORES MOBILIARIOS S.A.</v>
      </c>
    </row>
    <row r="152" spans="1:14" hidden="1" x14ac:dyDescent="0.25">
      <c r="A152" s="4" t="str">
        <f t="shared" si="2"/>
        <v>DESPESA DE REPRESENTAÇÃO - ALMOÇO COM CFO STARR SEGURADORA-CFO-DIEGO MIGLIACCIO (154507-3688JL)</v>
      </c>
      <c r="B152" s="11">
        <v>46143</v>
      </c>
      <c r="C152" s="4">
        <v>817991</v>
      </c>
      <c r="D152" s="1" t="s">
        <v>614</v>
      </c>
      <c r="E152" s="14">
        <v>-508.27</v>
      </c>
      <c r="F152" s="5" t="s">
        <v>447</v>
      </c>
      <c r="G152" s="2">
        <v>46170</v>
      </c>
      <c r="H152" s="9">
        <v>1170</v>
      </c>
      <c r="I152" s="4"/>
      <c r="J152" s="5" t="s">
        <v>1488</v>
      </c>
      <c r="K152" s="7" t="s">
        <v>1489</v>
      </c>
      <c r="L152" s="1" t="s">
        <v>1490</v>
      </c>
      <c r="M152" s="9" t="s">
        <v>1491</v>
      </c>
      <c r="N152" s="4" t="str">
        <f>VLOOKUP(H152,Clientes!B:D,3,)</f>
        <v>BGC LIQUIDEZ DTVM LTDA</v>
      </c>
    </row>
    <row r="153" spans="1:14" hidden="1" x14ac:dyDescent="0.25">
      <c r="A153" s="4" t="str">
        <f t="shared" si="2"/>
        <v>DESPESA DE REPRESENTAÇÃO - HAPPY HOUR-TRADER-VICTOR QUINTAL (152001-3688RC)</v>
      </c>
      <c r="B153" s="11">
        <v>46143</v>
      </c>
      <c r="C153" s="4">
        <v>817991</v>
      </c>
      <c r="D153" s="1" t="s">
        <v>646</v>
      </c>
      <c r="E153" s="14">
        <v>-600</v>
      </c>
      <c r="F153" s="5" t="s">
        <v>387</v>
      </c>
      <c r="G153" s="2">
        <v>46170</v>
      </c>
      <c r="H153" s="9">
        <v>83007</v>
      </c>
      <c r="I153" s="4"/>
      <c r="J153" s="4" t="s">
        <v>485</v>
      </c>
      <c r="K153" s="7" t="s">
        <v>1492</v>
      </c>
      <c r="L153" s="1" t="s">
        <v>1192</v>
      </c>
      <c r="M153" s="9" t="s">
        <v>335</v>
      </c>
      <c r="N153" s="4" t="str">
        <f>VLOOKUP(H153,Clientes!B:D,3,)</f>
        <v>BANCO DE INVESTIMENTOS UBS (BRASIL) S.A.</v>
      </c>
    </row>
    <row r="154" spans="1:14" hidden="1" x14ac:dyDescent="0.25">
      <c r="A154" s="4" t="str">
        <f t="shared" si="2"/>
        <v>DESPESA DE REPRESENTAÇÃO - ALMOÇO-TRADER-LUIZ COTARELLI (164257-3688RU)</v>
      </c>
      <c r="B154" s="11">
        <v>46143</v>
      </c>
      <c r="C154" s="4">
        <v>817991</v>
      </c>
      <c r="D154" s="1" t="s">
        <v>652</v>
      </c>
      <c r="E154" s="14">
        <v>-1163.45</v>
      </c>
      <c r="F154" s="5" t="s">
        <v>447</v>
      </c>
      <c r="G154" s="2">
        <v>46170</v>
      </c>
      <c r="H154" s="9">
        <v>80648</v>
      </c>
      <c r="I154" s="4"/>
      <c r="J154" s="5" t="s">
        <v>447</v>
      </c>
      <c r="K154" s="7" t="s">
        <v>1493</v>
      </c>
      <c r="L154" s="1" t="s">
        <v>1495</v>
      </c>
      <c r="M154" s="9" t="s">
        <v>335</v>
      </c>
      <c r="N154" s="4" t="str">
        <f>VLOOKUP(H154,Clientes!B:D,3,)</f>
        <v>XP GESTAO DE RECURSOS LTDA</v>
      </c>
    </row>
    <row r="155" spans="1:14" hidden="1" x14ac:dyDescent="0.25">
      <c r="A155" s="4" t="str">
        <f t="shared" si="2"/>
        <v>DESPESA DE REPRESENTAÇÃO - HAPPY HOUR-TRADER-MATHEUS ROSSITO FRERI (165052-3688RU)</v>
      </c>
      <c r="B155" s="11">
        <v>46143</v>
      </c>
      <c r="C155" s="4">
        <v>817991</v>
      </c>
      <c r="D155" s="1" t="s">
        <v>652</v>
      </c>
      <c r="E155" s="14">
        <v>-3504</v>
      </c>
      <c r="F155" s="5" t="s">
        <v>387</v>
      </c>
      <c r="G155" s="2">
        <v>46170</v>
      </c>
      <c r="H155" s="9">
        <v>82963</v>
      </c>
      <c r="I155" s="4"/>
      <c r="J155" s="4" t="s">
        <v>485</v>
      </c>
      <c r="K155" s="7" t="s">
        <v>1494</v>
      </c>
      <c r="L155" s="1" t="s">
        <v>1496</v>
      </c>
      <c r="M155" s="9" t="s">
        <v>335</v>
      </c>
      <c r="N155" s="4" t="str">
        <f>VLOOKUP(H155,Clientes!B:D,3,)</f>
        <v>BANCO DAYCOVAL S/A</v>
      </c>
    </row>
    <row r="156" spans="1:14" hidden="1" x14ac:dyDescent="0.25">
      <c r="A156" s="4" t="str">
        <f t="shared" si="2"/>
        <v>DESPESA DE REPRESENTAÇÃO - ALMOÇO-TRADER-GIOVANNE TELES (090655-3688AM)</v>
      </c>
      <c r="B156" s="11">
        <v>46143</v>
      </c>
      <c r="C156" s="4">
        <v>817991</v>
      </c>
      <c r="D156" s="1" t="s">
        <v>626</v>
      </c>
      <c r="E156" s="14">
        <v>-2619.34</v>
      </c>
      <c r="F156" s="5" t="s">
        <v>447</v>
      </c>
      <c r="G156" s="2">
        <v>46170</v>
      </c>
      <c r="H156" s="9">
        <v>80195</v>
      </c>
      <c r="I156" s="4"/>
      <c r="J156" s="5" t="s">
        <v>447</v>
      </c>
      <c r="K156" s="7" t="s">
        <v>1497</v>
      </c>
      <c r="L156" s="1" t="s">
        <v>583</v>
      </c>
      <c r="M156" s="9" t="s">
        <v>335</v>
      </c>
      <c r="N156" s="4" t="str">
        <f>VLOOKUP(H156,Clientes!B:D,3,)</f>
        <v>BANCO SANTANDER S/A (HISPANO)</v>
      </c>
    </row>
    <row r="157" spans="1:14" hidden="1" x14ac:dyDescent="0.25">
      <c r="A157" s="4" t="str">
        <f t="shared" si="2"/>
        <v>DESPESA DE REPRESENTAÇÃO - ALMOÇO-TRADER-THIAGO DIAS MARINHEIRO (155040-3688DG)</v>
      </c>
      <c r="B157" s="11">
        <v>46143</v>
      </c>
      <c r="C157" s="4">
        <v>817991</v>
      </c>
      <c r="D157" s="1" t="s">
        <v>516</v>
      </c>
      <c r="E157" s="14">
        <v>-672.92</v>
      </c>
      <c r="F157" s="5" t="s">
        <v>447</v>
      </c>
      <c r="G157" s="2">
        <v>46170</v>
      </c>
      <c r="H157" s="9">
        <v>81259</v>
      </c>
      <c r="I157" s="4"/>
      <c r="J157" s="5" t="s">
        <v>447</v>
      </c>
      <c r="K157" s="7" t="s">
        <v>1498</v>
      </c>
      <c r="L157" s="1" t="s">
        <v>735</v>
      </c>
      <c r="M157" s="9" t="s">
        <v>335</v>
      </c>
      <c r="N157" s="4" t="str">
        <f>VLOOKUP(H157,Clientes!B:D,3,)</f>
        <v>GOLDMAN SACHS DO BRASIL BANCO MULTIPLO S/A</v>
      </c>
    </row>
    <row r="158" spans="1:14" hidden="1" x14ac:dyDescent="0.25">
      <c r="A158" s="4" t="str">
        <f t="shared" si="2"/>
        <v>DESPESA DE REPRESENTAÇÃO - ALMOÇO-TRADER-MARCIO UEJIMA (090443-3688AM)</v>
      </c>
      <c r="B158" s="11">
        <v>46143</v>
      </c>
      <c r="C158" s="4">
        <v>817991</v>
      </c>
      <c r="D158" s="1" t="s">
        <v>626</v>
      </c>
      <c r="E158" s="14">
        <v>-1304</v>
      </c>
      <c r="F158" s="5" t="s">
        <v>447</v>
      </c>
      <c r="G158" s="2">
        <v>46170</v>
      </c>
      <c r="H158" s="9">
        <v>79258</v>
      </c>
      <c r="I158" s="4"/>
      <c r="J158" s="5" t="s">
        <v>447</v>
      </c>
      <c r="K158" s="7" t="s">
        <v>1499</v>
      </c>
      <c r="L158" s="1" t="s">
        <v>1500</v>
      </c>
      <c r="M158" s="9" t="s">
        <v>335</v>
      </c>
      <c r="N158" s="4" t="str">
        <f>VLOOKUP(H158,Clientes!B:D,3,)</f>
        <v>ITAU UNIBANCO S/A</v>
      </c>
    </row>
    <row r="159" spans="1:14" hidden="1" x14ac:dyDescent="0.25">
      <c r="A159" s="4" t="str">
        <f t="shared" si="2"/>
        <v>DESPESA DE REPRESENTAÇÃO - ALMOÇO-TRADER-MURILO LUZ (101058-3688AC)</v>
      </c>
      <c r="B159" s="11">
        <v>46143</v>
      </c>
      <c r="C159" s="4">
        <v>817991</v>
      </c>
      <c r="D159" s="1" t="s">
        <v>624</v>
      </c>
      <c r="E159" s="14">
        <v>-1395</v>
      </c>
      <c r="F159" s="5" t="s">
        <v>447</v>
      </c>
      <c r="G159" s="2">
        <v>46170</v>
      </c>
      <c r="H159" s="9">
        <v>14416</v>
      </c>
      <c r="I159" s="4"/>
      <c r="J159" s="5" t="s">
        <v>447</v>
      </c>
      <c r="K159" s="7" t="s">
        <v>1501</v>
      </c>
      <c r="L159" s="1" t="s">
        <v>1502</v>
      </c>
      <c r="M159" s="9" t="s">
        <v>335</v>
      </c>
      <c r="N159" s="4" t="str">
        <f>VLOOKUP(H159,Clientes!B:D,3,)</f>
        <v>BANCO JP MORGAN S/A</v>
      </c>
    </row>
    <row r="160" spans="1:14" hidden="1" x14ac:dyDescent="0.25">
      <c r="A160" s="4" t="str">
        <f t="shared" si="2"/>
        <v>DESPESA DE REPRESENTAÇÃO - JANTAR-TRADER-FILIPE DE CASTRO PESSOA (151522-3688PI)</v>
      </c>
      <c r="B160" s="11">
        <v>46143</v>
      </c>
      <c r="C160" s="4">
        <v>817991</v>
      </c>
      <c r="D160" s="1" t="s">
        <v>772</v>
      </c>
      <c r="E160" s="14">
        <v>-2527</v>
      </c>
      <c r="F160" s="5" t="s">
        <v>380</v>
      </c>
      <c r="G160" s="2">
        <v>46170</v>
      </c>
      <c r="H160" s="9">
        <v>79804</v>
      </c>
      <c r="I160" s="4"/>
      <c r="J160" s="4" t="s">
        <v>380</v>
      </c>
      <c r="K160" s="7" t="s">
        <v>1503</v>
      </c>
      <c r="L160" s="1" t="s">
        <v>1504</v>
      </c>
      <c r="M160" s="9" t="s">
        <v>335</v>
      </c>
      <c r="N160" s="4" t="str">
        <f>VLOOKUP(H160,Clientes!B:D,3,)</f>
        <v>ITAU UNIBANCO S/A</v>
      </c>
    </row>
    <row r="161" spans="1:14" hidden="1" x14ac:dyDescent="0.25">
      <c r="A161" s="4" t="str">
        <f t="shared" si="2"/>
        <v>DESPESA DE REPRESENTAÇÃO - JANTAR-TRADER-FILIPE DE CASTRO PESSOA (151734-3688PI)</v>
      </c>
      <c r="B161" s="11">
        <v>46143</v>
      </c>
      <c r="C161" s="4">
        <v>817991</v>
      </c>
      <c r="D161" s="1" t="s">
        <v>772</v>
      </c>
      <c r="E161" s="14">
        <v>-422</v>
      </c>
      <c r="F161" s="5" t="s">
        <v>380</v>
      </c>
      <c r="G161" s="2">
        <v>46170</v>
      </c>
      <c r="H161" s="9">
        <v>79804</v>
      </c>
      <c r="I161" s="4"/>
      <c r="J161" s="5" t="s">
        <v>380</v>
      </c>
      <c r="K161" s="7" t="s">
        <v>1505</v>
      </c>
      <c r="L161" s="1" t="s">
        <v>1504</v>
      </c>
      <c r="M161" s="9" t="s">
        <v>335</v>
      </c>
      <c r="N161" s="4" t="str">
        <f>VLOOKUP(H161,Clientes!B:D,3,)</f>
        <v>ITAU UNIBANCO S/A</v>
      </c>
    </row>
    <row r="162" spans="1:14" hidden="1" x14ac:dyDescent="0.25">
      <c r="A162" s="4" t="str">
        <f t="shared" si="2"/>
        <v>DESPESA DE REPRESENTAÇÃO - JANTAR-TRADER-GABRIEL GODOY CAMILO (131349-3688PI)</v>
      </c>
      <c r="B162" s="11">
        <v>46143</v>
      </c>
      <c r="C162" s="4">
        <v>817991</v>
      </c>
      <c r="D162" s="1" t="s">
        <v>772</v>
      </c>
      <c r="E162" s="14">
        <v>-3386</v>
      </c>
      <c r="F162" s="5" t="s">
        <v>380</v>
      </c>
      <c r="G162" s="2">
        <v>46170</v>
      </c>
      <c r="H162" s="9">
        <v>79407</v>
      </c>
      <c r="I162" s="4"/>
      <c r="J162" s="5" t="s">
        <v>380</v>
      </c>
      <c r="K162" s="7" t="s">
        <v>1506</v>
      </c>
      <c r="L162" s="35" t="s">
        <v>1507</v>
      </c>
      <c r="M162" s="9" t="s">
        <v>335</v>
      </c>
      <c r="N162" s="4" t="str">
        <f>VLOOKUP(H162,Clientes!B:D,3,)</f>
        <v>BANCO MORGAN STANLEY S/A</v>
      </c>
    </row>
    <row r="163" spans="1:14" hidden="1" x14ac:dyDescent="0.25">
      <c r="A163" s="4" t="str">
        <f t="shared" si="2"/>
        <v>DESPESA DE REPRESENTAÇÃO - JANTAR-TRADER-CRISTIANO SOARES (151319-3688RP)</v>
      </c>
      <c r="B163" s="11">
        <v>46143</v>
      </c>
      <c r="C163" s="4">
        <v>817991</v>
      </c>
      <c r="D163" s="1" t="s">
        <v>482</v>
      </c>
      <c r="E163" s="14">
        <v>-2068</v>
      </c>
      <c r="F163" s="5" t="s">
        <v>380</v>
      </c>
      <c r="G163" s="2">
        <v>46170</v>
      </c>
      <c r="H163" s="9">
        <v>81765</v>
      </c>
      <c r="I163" s="4"/>
      <c r="J163" s="5" t="s">
        <v>380</v>
      </c>
      <c r="K163" s="7" t="s">
        <v>1508</v>
      </c>
      <c r="L163" s="1" t="s">
        <v>1509</v>
      </c>
      <c r="M163" s="9" t="s">
        <v>335</v>
      </c>
      <c r="N163" s="4" t="str">
        <f>VLOOKUP(H163,Clientes!B:D,3,)</f>
        <v>UBS AG, LONDON BRANCH NOVO</v>
      </c>
    </row>
    <row r="164" spans="1:14" hidden="1" x14ac:dyDescent="0.25">
      <c r="A164" s="4" t="str">
        <f t="shared" si="2"/>
        <v>DESPESA DE REPRESENTAÇÃO - ALMOÇO-TRADER-LEONARDO DE AMORIM PESSOA (143750-3688JT)</v>
      </c>
      <c r="B164" s="11">
        <v>46143</v>
      </c>
      <c r="C164" s="4">
        <v>817991</v>
      </c>
      <c r="D164" s="1" t="s">
        <v>23</v>
      </c>
      <c r="E164" s="14">
        <v>-1169</v>
      </c>
      <c r="F164" s="5" t="s">
        <v>447</v>
      </c>
      <c r="G164" s="2">
        <v>46170</v>
      </c>
      <c r="H164" s="9">
        <v>81977</v>
      </c>
      <c r="I164" s="4"/>
      <c r="J164" s="4" t="s">
        <v>447</v>
      </c>
      <c r="K164" s="7" t="s">
        <v>1510</v>
      </c>
      <c r="L164" s="1" t="s">
        <v>1511</v>
      </c>
      <c r="M164" s="9" t="s">
        <v>335</v>
      </c>
      <c r="N164" s="4" t="str">
        <f>VLOOKUP(H164,Clientes!B:D,3,)</f>
        <v>VINCI GESTORA DE RECURSOS LTDA</v>
      </c>
    </row>
    <row r="165" spans="1:14" hidden="1" x14ac:dyDescent="0.25">
      <c r="A165" s="4" t="str">
        <f t="shared" si="2"/>
        <v>DESPESA DE REPRESENTAÇÃO - UBER SÃO PAULO X VINHEDO-TRADER-GUSTAVO FRANZENER (160227-3688EC)</v>
      </c>
      <c r="B165" s="11">
        <v>46143</v>
      </c>
      <c r="C165" s="4">
        <v>817991</v>
      </c>
      <c r="D165" s="1" t="s">
        <v>378</v>
      </c>
      <c r="E165" s="14">
        <v>-300</v>
      </c>
      <c r="F165" s="5" t="s">
        <v>388</v>
      </c>
      <c r="G165" s="2">
        <v>46170</v>
      </c>
      <c r="H165" s="9">
        <v>80648</v>
      </c>
      <c r="I165" s="4"/>
      <c r="J165" s="4" t="s">
        <v>1514</v>
      </c>
      <c r="K165" s="7" t="s">
        <v>1512</v>
      </c>
      <c r="L165" s="1" t="s">
        <v>1513</v>
      </c>
      <c r="M165" s="9" t="s">
        <v>335</v>
      </c>
      <c r="N165" s="4" t="str">
        <f>VLOOKUP(H165,Clientes!B:D,3,)</f>
        <v>XP GESTAO DE RECURSOS LTDA</v>
      </c>
    </row>
    <row r="166" spans="1:14" hidden="1" x14ac:dyDescent="0.25">
      <c r="A166" s="4" t="str">
        <f t="shared" si="2"/>
        <v>DESPESA DE REPRESENTAÇÃO - HAPPY HOUR-TRADER-CAIO TADAYOSHI SATO (102804-3688AA)</v>
      </c>
      <c r="B166" s="11">
        <v>46143</v>
      </c>
      <c r="C166" s="4">
        <v>817991</v>
      </c>
      <c r="D166" s="1" t="s">
        <v>379</v>
      </c>
      <c r="E166" s="14">
        <v>-1562</v>
      </c>
      <c r="F166" s="5" t="s">
        <v>387</v>
      </c>
      <c r="G166" s="2">
        <v>46170</v>
      </c>
      <c r="H166" s="9">
        <v>81259</v>
      </c>
      <c r="I166" s="4"/>
      <c r="J166" s="4" t="s">
        <v>485</v>
      </c>
      <c r="K166" s="7" t="s">
        <v>1515</v>
      </c>
      <c r="L166" s="1" t="s">
        <v>1516</v>
      </c>
      <c r="M166" s="9" t="s">
        <v>335</v>
      </c>
      <c r="N166" s="4" t="str">
        <f>VLOOKUP(H166,Clientes!B:D,3,)</f>
        <v>GOLDMAN SACHS DO BRASIL BANCO MULTIPLO S/A</v>
      </c>
    </row>
    <row r="167" spans="1:14" hidden="1" x14ac:dyDescent="0.25">
      <c r="A167" s="4" t="str">
        <f t="shared" si="2"/>
        <v>DESPESA DE REPRESENTAÇÃO - HAPPY HOUR-TRADER-CAIO TADAYOSHI SATO (092917-3688CB)</v>
      </c>
      <c r="B167" s="11">
        <v>46143</v>
      </c>
      <c r="C167" s="4">
        <v>817991</v>
      </c>
      <c r="D167" s="1" t="s">
        <v>574</v>
      </c>
      <c r="E167" s="14">
        <v>-1741.1</v>
      </c>
      <c r="F167" s="5" t="s">
        <v>387</v>
      </c>
      <c r="G167" s="2">
        <v>46170</v>
      </c>
      <c r="H167" s="9">
        <v>81259</v>
      </c>
      <c r="I167" s="4"/>
      <c r="J167" s="4" t="s">
        <v>485</v>
      </c>
      <c r="K167" s="7" t="s">
        <v>1517</v>
      </c>
      <c r="L167" s="1" t="s">
        <v>1516</v>
      </c>
      <c r="M167" s="9" t="s">
        <v>335</v>
      </c>
      <c r="N167" s="4" t="str">
        <f>VLOOKUP(H167,Clientes!B:D,3,)</f>
        <v>GOLDMAN SACHS DO BRASIL BANCO MULTIPLO S/A</v>
      </c>
    </row>
    <row r="168" spans="1:14" hidden="1" x14ac:dyDescent="0.25">
      <c r="A168" s="4" t="str">
        <f t="shared" si="2"/>
        <v>DESPESA DE REPRESENTAÇÃO - ALMOÇO-TRADER-RODRIGO NOVARETTI (094333-3688CB)</v>
      </c>
      <c r="B168" s="11">
        <v>46143</v>
      </c>
      <c r="C168" s="4">
        <v>817991</v>
      </c>
      <c r="D168" s="1" t="s">
        <v>574</v>
      </c>
      <c r="E168" s="14">
        <v>-525.16</v>
      </c>
      <c r="F168" s="5" t="s">
        <v>447</v>
      </c>
      <c r="G168" s="2">
        <v>46170</v>
      </c>
      <c r="H168" s="9">
        <v>14479</v>
      </c>
      <c r="I168" s="4"/>
      <c r="J168" s="5" t="s">
        <v>447</v>
      </c>
      <c r="K168" s="7" t="s">
        <v>1518</v>
      </c>
      <c r="L168" s="1" t="s">
        <v>1519</v>
      </c>
      <c r="M168" s="9" t="s">
        <v>335</v>
      </c>
      <c r="N168" s="4" t="str">
        <f>VLOOKUP(H168,Clientes!B:D,3,)</f>
        <v>BANCO SANTANDER (BRASIL) S/A</v>
      </c>
    </row>
    <row r="169" spans="1:14" hidden="1" x14ac:dyDescent="0.25">
      <c r="A169" s="4" t="str">
        <f t="shared" si="2"/>
        <v>DESPESA DE REPRESENTAÇÃO - PASSAGEM SÃO PAULO X PORTO ALEGRE-BROKER-NAYANA IVO DE ALMEIDA (AGENDA 42052)</v>
      </c>
      <c r="B169" s="11">
        <v>46143</v>
      </c>
      <c r="C169" s="4">
        <v>817991</v>
      </c>
      <c r="D169" s="1" t="s">
        <v>665</v>
      </c>
      <c r="E169" s="14">
        <v>-1372.04</v>
      </c>
      <c r="F169" s="5" t="s">
        <v>388</v>
      </c>
      <c r="G169" s="2">
        <v>46171</v>
      </c>
      <c r="H169" s="9">
        <v>1170</v>
      </c>
      <c r="I169" s="4"/>
      <c r="J169" s="4" t="s">
        <v>807</v>
      </c>
      <c r="K169" s="7" t="s">
        <v>1520</v>
      </c>
      <c r="L169" s="1" t="s">
        <v>665</v>
      </c>
      <c r="M169" s="9" t="s">
        <v>2</v>
      </c>
      <c r="N169" s="4" t="str">
        <f>VLOOKUP(H169,Clientes!B:D,3,)</f>
        <v>BGC LIQUIDEZ DTVM LTDA</v>
      </c>
    </row>
    <row r="170" spans="1:14" hidden="1" x14ac:dyDescent="0.25">
      <c r="A170" s="4" t="str">
        <f t="shared" si="2"/>
        <v>DESPESA DE REPRESENTAÇÃO - PASSAGEM SÃO PAULO X PORTO ALEGRE-BROKER-FELIPE MEIRELLES RACCAH (AGENDA 42052)</v>
      </c>
      <c r="B170" s="11">
        <v>46143</v>
      </c>
      <c r="C170" s="4">
        <v>817991</v>
      </c>
      <c r="D170" s="1" t="s">
        <v>632</v>
      </c>
      <c r="E170" s="14">
        <v>-1221.2</v>
      </c>
      <c r="F170" s="5" t="s">
        <v>388</v>
      </c>
      <c r="G170" s="2">
        <v>46171</v>
      </c>
      <c r="H170" s="9">
        <v>1170</v>
      </c>
      <c r="I170" s="4"/>
      <c r="J170" s="4" t="s">
        <v>807</v>
      </c>
      <c r="K170" s="7" t="s">
        <v>1520</v>
      </c>
      <c r="L170" s="1" t="s">
        <v>632</v>
      </c>
      <c r="M170" s="9" t="s">
        <v>2</v>
      </c>
      <c r="N170" s="4" t="str">
        <f>VLOOKUP(H170,Clientes!B:D,3,)</f>
        <v>BGC LIQUIDEZ DTVM LTDA</v>
      </c>
    </row>
    <row r="171" spans="1:14" hidden="1" x14ac:dyDescent="0.25">
      <c r="A171" s="4" t="str">
        <f t="shared" si="2"/>
        <v>DESPESA DE REPRESENTAÇÃO - PASSAGEM SÃO PAULO X PORTO ALEGRE-BROKER-FERNANDA CORVELLO BUTRICO (AGENDA 42052)</v>
      </c>
      <c r="B171" s="11">
        <v>46143</v>
      </c>
      <c r="C171" s="4">
        <v>817991</v>
      </c>
      <c r="D171" s="1" t="s">
        <v>475</v>
      </c>
      <c r="E171" s="14">
        <v>-608.99</v>
      </c>
      <c r="F171" s="5" t="s">
        <v>388</v>
      </c>
      <c r="G171" s="2">
        <v>46171</v>
      </c>
      <c r="H171" s="9">
        <v>1170</v>
      </c>
      <c r="I171" s="4"/>
      <c r="J171" s="4" t="s">
        <v>807</v>
      </c>
      <c r="K171" s="7" t="s">
        <v>1520</v>
      </c>
      <c r="L171" s="1" t="s">
        <v>475</v>
      </c>
      <c r="M171" s="9" t="s">
        <v>2</v>
      </c>
      <c r="N171" s="4" t="str">
        <f>VLOOKUP(H171,Clientes!B:D,3,)</f>
        <v>BGC LIQUIDEZ DTVM LTDA</v>
      </c>
    </row>
    <row r="172" spans="1:14" hidden="1" x14ac:dyDescent="0.25">
      <c r="A172" s="4" t="str">
        <f t="shared" si="2"/>
        <v>DESPESA DE REPRESENTAÇÃO - PASSAGEM SÃO PAULO X PORTO ALEGRE-BROKER-FERNANDA CORVELLO BUTRICO (AGENDA 42052)</v>
      </c>
      <c r="B172" s="11">
        <v>46143</v>
      </c>
      <c r="C172" s="4">
        <v>817991</v>
      </c>
      <c r="D172" s="1" t="s">
        <v>475</v>
      </c>
      <c r="E172" s="14">
        <v>-1164.6199999999999</v>
      </c>
      <c r="F172" s="5" t="s">
        <v>388</v>
      </c>
      <c r="G172" s="2">
        <v>46171</v>
      </c>
      <c r="H172" s="9">
        <v>1170</v>
      </c>
      <c r="I172" s="4"/>
      <c r="J172" s="4" t="s">
        <v>807</v>
      </c>
      <c r="K172" s="7" t="s">
        <v>1520</v>
      </c>
      <c r="L172" s="1" t="s">
        <v>475</v>
      </c>
      <c r="M172" s="9" t="s">
        <v>2</v>
      </c>
      <c r="N172" s="4" t="str">
        <f>VLOOKUP(H172,Clientes!B:D,3,)</f>
        <v>BGC LIQUIDEZ DTVM LTDA</v>
      </c>
    </row>
    <row r="173" spans="1:14" hidden="1" x14ac:dyDescent="0.25">
      <c r="A173" s="4" t="str">
        <f t="shared" si="2"/>
        <v>DESPESA DE REPRESENTAÇÃO - PASSAGEM SÃO PAULO X PORTO ALEGRE-BROKER-REINALDO ANDRE URBANO FILHO (AGENDA 42052)</v>
      </c>
      <c r="B173" s="11">
        <v>46143</v>
      </c>
      <c r="C173" s="4">
        <v>817991</v>
      </c>
      <c r="D173" s="1" t="s">
        <v>652</v>
      </c>
      <c r="E173" s="14">
        <v>-1369.04</v>
      </c>
      <c r="F173" s="5" t="s">
        <v>388</v>
      </c>
      <c r="G173" s="2">
        <v>46171</v>
      </c>
      <c r="H173" s="9">
        <v>1170</v>
      </c>
      <c r="I173" s="4"/>
      <c r="J173" s="4" t="s">
        <v>807</v>
      </c>
      <c r="K173" s="7" t="s">
        <v>1520</v>
      </c>
      <c r="L173" s="1" t="s">
        <v>652</v>
      </c>
      <c r="M173" s="9" t="s">
        <v>2</v>
      </c>
      <c r="N173" s="4" t="str">
        <f>VLOOKUP(H173,Clientes!B:D,3,)</f>
        <v>BGC LIQUIDEZ DTVM LTDA</v>
      </c>
    </row>
    <row r="174" spans="1:14" hidden="1" x14ac:dyDescent="0.25">
      <c r="A174" s="4" t="str">
        <f t="shared" si="2"/>
        <v>DESPESA DE REPRESENTAÇÃO - PASSAGEM SÃO PAULO X RIO DE JANEIRO-SALES-JOSE ANTONIO DEZENE JUNIOR (AGENDA 42052)</v>
      </c>
      <c r="B174" s="11">
        <v>46143</v>
      </c>
      <c r="C174" s="4">
        <v>817991</v>
      </c>
      <c r="D174" s="1" t="s">
        <v>428</v>
      </c>
      <c r="E174" s="14">
        <v>-1201.25</v>
      </c>
      <c r="F174" s="5" t="s">
        <v>388</v>
      </c>
      <c r="G174" s="2">
        <v>46171</v>
      </c>
      <c r="H174" s="9">
        <v>1170</v>
      </c>
      <c r="I174" s="4"/>
      <c r="J174" s="4" t="s">
        <v>756</v>
      </c>
      <c r="K174" s="7" t="s">
        <v>1520</v>
      </c>
      <c r="L174" s="1" t="s">
        <v>428</v>
      </c>
      <c r="M174" s="9" t="s">
        <v>468</v>
      </c>
      <c r="N174" s="4" t="str">
        <f>VLOOKUP(H174,Clientes!B:D,3,)</f>
        <v>BGC LIQUIDEZ DTVM LTDA</v>
      </c>
    </row>
    <row r="175" spans="1:14" hidden="1" x14ac:dyDescent="0.25">
      <c r="A175" s="4" t="str">
        <f t="shared" si="2"/>
        <v>DESPESA DE REPRESENTAÇÃO - PASSAGEM SÃO PAULO X RIO DE JANEIRO-SALES-MELISSA LEITE FIGUEIREDO ROCHA (AGENDA 42052)</v>
      </c>
      <c r="B175" s="11">
        <v>46143</v>
      </c>
      <c r="C175" s="4">
        <v>817991</v>
      </c>
      <c r="D175" s="1" t="s">
        <v>428</v>
      </c>
      <c r="E175" s="14">
        <v>-1201.25</v>
      </c>
      <c r="F175" s="5" t="s">
        <v>388</v>
      </c>
      <c r="G175" s="2">
        <v>46171</v>
      </c>
      <c r="H175" s="9">
        <v>1170</v>
      </c>
      <c r="I175" s="4"/>
      <c r="J175" s="4" t="s">
        <v>756</v>
      </c>
      <c r="K175" s="7" t="s">
        <v>1520</v>
      </c>
      <c r="L175" s="1" t="s">
        <v>663</v>
      </c>
      <c r="M175" s="9" t="s">
        <v>468</v>
      </c>
      <c r="N175" s="4" t="str">
        <f>VLOOKUP(H175,Clientes!B:D,3,)</f>
        <v>BGC LIQUIDEZ DTVM LTDA</v>
      </c>
    </row>
    <row r="176" spans="1:14" hidden="1" x14ac:dyDescent="0.25">
      <c r="A176" s="4" t="str">
        <f t="shared" si="2"/>
        <v>DESPESA DE REPRESENTAÇÃO - PASSAGEM SÃO PAULO X RIO DE JANEIRO-SALES-MELISSA LEITE FIGUEIREDO ROCHA (AGENDA 42052)</v>
      </c>
      <c r="B176" s="11">
        <v>46143</v>
      </c>
      <c r="C176" s="4">
        <v>817991</v>
      </c>
      <c r="D176" s="1" t="s">
        <v>428</v>
      </c>
      <c r="E176" s="14">
        <v>-2120.9</v>
      </c>
      <c r="F176" s="5" t="s">
        <v>388</v>
      </c>
      <c r="G176" s="2">
        <v>46171</v>
      </c>
      <c r="H176" s="9">
        <v>1170</v>
      </c>
      <c r="I176" s="4"/>
      <c r="J176" s="4" t="s">
        <v>756</v>
      </c>
      <c r="K176" s="7" t="s">
        <v>1520</v>
      </c>
      <c r="L176" s="1" t="s">
        <v>663</v>
      </c>
      <c r="M176" s="9" t="s">
        <v>468</v>
      </c>
      <c r="N176" s="4" t="str">
        <f>VLOOKUP(H176,Clientes!B:D,3,)</f>
        <v>BGC LIQUIDEZ DTVM LTDA</v>
      </c>
    </row>
    <row r="177" spans="1:14" hidden="1" x14ac:dyDescent="0.25">
      <c r="A177" s="4" t="str">
        <f t="shared" si="2"/>
        <v>DESPESA DE REPRESENTAÇÃO - ALUGUEL FLAT -BROKER-CHRISTIANO MARCONDES DE BARROS LIMA (AGENDA 41776)</v>
      </c>
      <c r="B177" s="11">
        <v>46143</v>
      </c>
      <c r="C177" s="4">
        <v>817991</v>
      </c>
      <c r="D177" s="1" t="s">
        <v>60</v>
      </c>
      <c r="E177" s="14">
        <v>-1287.1324999999999</v>
      </c>
      <c r="F177" s="5" t="s">
        <v>422</v>
      </c>
      <c r="G177" s="2">
        <v>46147</v>
      </c>
      <c r="H177" s="9">
        <v>1170</v>
      </c>
      <c r="I177" s="4"/>
      <c r="J177" s="4" t="s">
        <v>425</v>
      </c>
      <c r="K177" s="7" t="s">
        <v>1522</v>
      </c>
      <c r="L177" s="1" t="s">
        <v>60</v>
      </c>
      <c r="M177" s="9" t="s">
        <v>2</v>
      </c>
      <c r="N177" s="4" t="str">
        <f>VLOOKUP(H177,Clientes!B:D,3,)</f>
        <v>BGC LIQUIDEZ DTVM LTDA</v>
      </c>
    </row>
    <row r="178" spans="1:14" hidden="1" x14ac:dyDescent="0.25">
      <c r="A178" s="4" t="str">
        <f t="shared" si="2"/>
        <v>DESPESA DE REPRESENTAÇÃO - ALUGUEL FLAT -BROKER-JOSE MAURICIO GOMES TEIXEIRA (AGENDA 41776)</v>
      </c>
      <c r="B178" s="11">
        <v>46143</v>
      </c>
      <c r="C178" s="4">
        <v>817991</v>
      </c>
      <c r="D178" s="1" t="s">
        <v>23</v>
      </c>
      <c r="E178" s="14">
        <v>-1287.1324999999999</v>
      </c>
      <c r="F178" s="5" t="s">
        <v>422</v>
      </c>
      <c r="G178" s="2">
        <v>46147</v>
      </c>
      <c r="H178" s="9">
        <v>1170</v>
      </c>
      <c r="I178" s="4"/>
      <c r="J178" s="4" t="s">
        <v>425</v>
      </c>
      <c r="K178" s="7" t="s">
        <v>1522</v>
      </c>
      <c r="L178" s="1" t="s">
        <v>23</v>
      </c>
      <c r="M178" s="9" t="s">
        <v>2</v>
      </c>
      <c r="N178" s="4" t="str">
        <f>VLOOKUP(H178,Clientes!B:D,3,)</f>
        <v>BGC LIQUIDEZ DTVM LTDA</v>
      </c>
    </row>
    <row r="179" spans="1:14" hidden="1" x14ac:dyDescent="0.25">
      <c r="A179" s="4" t="str">
        <f t="shared" si="2"/>
        <v>DESPESA DE REPRESENTAÇÃO - ALUGUEL FLAT -GESTOR-ANDRE HALL ACCIOLY (AGENDA 41776)</v>
      </c>
      <c r="B179" s="11">
        <v>46143</v>
      </c>
      <c r="C179" s="4">
        <v>817991</v>
      </c>
      <c r="D179" s="1" t="s">
        <v>423</v>
      </c>
      <c r="E179" s="14">
        <v>-2574.2649999999999</v>
      </c>
      <c r="F179" s="5" t="s">
        <v>422</v>
      </c>
      <c r="G179" s="2">
        <v>46147</v>
      </c>
      <c r="H179" s="9">
        <v>1170</v>
      </c>
      <c r="I179" s="4"/>
      <c r="J179" s="4" t="s">
        <v>425</v>
      </c>
      <c r="K179" s="7" t="s">
        <v>1522</v>
      </c>
      <c r="L179" s="1" t="s">
        <v>742</v>
      </c>
      <c r="M179" s="9" t="s">
        <v>598</v>
      </c>
      <c r="N179" s="4" t="str">
        <f>VLOOKUP(H179,Clientes!B:D,3,)</f>
        <v>BGC LIQUIDEZ DTVM LTDA</v>
      </c>
    </row>
    <row r="180" spans="1:14" hidden="1" x14ac:dyDescent="0.25">
      <c r="A180" s="4" t="str">
        <f t="shared" si="2"/>
        <v>DESPESA DE REPRESENTAÇÃO - ALUGUEL FLAT -BROKER-PAULO GUILHERME MENEZES FELIX (AGENDA 41211)</v>
      </c>
      <c r="B180" s="11">
        <v>46143</v>
      </c>
      <c r="C180" s="4">
        <v>817991</v>
      </c>
      <c r="D180" s="1" t="s">
        <v>424</v>
      </c>
      <c r="E180" s="14">
        <v>-4244.83</v>
      </c>
      <c r="F180" s="5" t="s">
        <v>422</v>
      </c>
      <c r="G180" s="2">
        <v>46164</v>
      </c>
      <c r="H180" s="9">
        <v>1170</v>
      </c>
      <c r="I180" s="4"/>
      <c r="J180" s="4" t="s">
        <v>425</v>
      </c>
      <c r="K180" s="7" t="s">
        <v>1254</v>
      </c>
      <c r="L180" s="1" t="s">
        <v>424</v>
      </c>
      <c r="M180" s="9" t="s">
        <v>2</v>
      </c>
      <c r="N180" s="4" t="str">
        <f>VLOOKUP(H180,Clientes!B:D,3,)</f>
        <v>BGC LIQUIDEZ DTVM LTDA</v>
      </c>
    </row>
    <row r="181" spans="1:14" hidden="1" x14ac:dyDescent="0.25">
      <c r="A181" s="4" t="str">
        <f t="shared" si="2"/>
        <v>DESPESA DE REPRESENTAÇÃO - CONDOMINIO E IPTU - FLAT-BROKER-PAULO GUILHERME MENEZES FELIX (AGENDA 41880)</v>
      </c>
      <c r="B181" s="11">
        <v>46143</v>
      </c>
      <c r="C181" s="4">
        <v>817991</v>
      </c>
      <c r="D181" s="1" t="s">
        <v>424</v>
      </c>
      <c r="E181" s="14">
        <v>-977.17</v>
      </c>
      <c r="F181" s="5" t="s">
        <v>422</v>
      </c>
      <c r="G181" s="2">
        <v>46164</v>
      </c>
      <c r="H181" s="9">
        <v>1170</v>
      </c>
      <c r="I181" s="4"/>
      <c r="J181" s="4" t="s">
        <v>429</v>
      </c>
      <c r="K181" s="7" t="s">
        <v>1523</v>
      </c>
      <c r="L181" s="1" t="s">
        <v>424</v>
      </c>
      <c r="M181" s="9" t="s">
        <v>2</v>
      </c>
      <c r="N181" s="4" t="str">
        <f>VLOOKUP(H181,Clientes!B:D,3,)</f>
        <v>BGC LIQUIDEZ DTVM LTDA</v>
      </c>
    </row>
    <row r="182" spans="1:14" hidden="1" x14ac:dyDescent="0.25">
      <c r="A182" s="4" t="str">
        <f t="shared" si="2"/>
        <v>DESPESA DE REPRESENTAÇÃO - CONDOMINIO E IPTU - FLAT-BROKER-CHRISTIANO MARCONDES DE BARROS LIMA (AGENDA 41778)</v>
      </c>
      <c r="B182" s="11">
        <v>46143</v>
      </c>
      <c r="C182" s="4">
        <v>817991</v>
      </c>
      <c r="D182" s="1" t="s">
        <v>60</v>
      </c>
      <c r="E182" s="14">
        <v>-788</v>
      </c>
      <c r="F182" s="5" t="s">
        <v>422</v>
      </c>
      <c r="G182" s="2">
        <v>46147</v>
      </c>
      <c r="H182" s="9">
        <v>1170</v>
      </c>
      <c r="I182" s="4"/>
      <c r="J182" s="4" t="s">
        <v>429</v>
      </c>
      <c r="K182" s="7" t="s">
        <v>1524</v>
      </c>
      <c r="L182" s="1" t="s">
        <v>60</v>
      </c>
      <c r="M182" s="9" t="s">
        <v>2</v>
      </c>
      <c r="N182" s="4" t="str">
        <f>VLOOKUP(H182,Clientes!B:D,3,)</f>
        <v>BGC LIQUIDEZ DTVM LTDA</v>
      </c>
    </row>
    <row r="183" spans="1:14" hidden="1" x14ac:dyDescent="0.25">
      <c r="A183" s="4" t="str">
        <f t="shared" si="2"/>
        <v>DESPESA DE REPRESENTAÇÃO - CONDOMINIO E IPTU - FLAT-BROKER-JOSE MAURICIO GOMES TEIXEIRA (AGENDA 41778)</v>
      </c>
      <c r="B183" s="11">
        <v>46143</v>
      </c>
      <c r="C183" s="4">
        <v>817991</v>
      </c>
      <c r="D183" s="1" t="s">
        <v>23</v>
      </c>
      <c r="E183" s="14">
        <v>-788</v>
      </c>
      <c r="F183" s="5" t="s">
        <v>422</v>
      </c>
      <c r="G183" s="2">
        <v>46147</v>
      </c>
      <c r="H183" s="9">
        <v>1170</v>
      </c>
      <c r="I183" s="4"/>
      <c r="J183" s="4" t="s">
        <v>429</v>
      </c>
      <c r="K183" s="7" t="s">
        <v>1524</v>
      </c>
      <c r="L183" s="1" t="s">
        <v>23</v>
      </c>
      <c r="M183" s="9" t="s">
        <v>2</v>
      </c>
      <c r="N183" s="4" t="str">
        <f>VLOOKUP(H183,Clientes!B:D,3,)</f>
        <v>BGC LIQUIDEZ DTVM LTDA</v>
      </c>
    </row>
    <row r="184" spans="1:14" hidden="1" x14ac:dyDescent="0.25">
      <c r="A184" s="4" t="str">
        <f t="shared" si="2"/>
        <v>DESPESA DE REPRESENTAÇÃO - CONDOMINIO E IPTU - FLAT-GESTOR-ANDRE HALL ACCIOLY (AGENDA 41778)</v>
      </c>
      <c r="B184" s="11">
        <v>46143</v>
      </c>
      <c r="C184" s="4">
        <v>817991</v>
      </c>
      <c r="D184" s="1" t="s">
        <v>423</v>
      </c>
      <c r="E184" s="14">
        <v>-1576</v>
      </c>
      <c r="F184" s="5" t="s">
        <v>422</v>
      </c>
      <c r="G184" s="2">
        <v>46147</v>
      </c>
      <c r="H184" s="9">
        <v>1170</v>
      </c>
      <c r="I184" s="4"/>
      <c r="J184" s="4" t="s">
        <v>429</v>
      </c>
      <c r="K184" s="7" t="s">
        <v>1524</v>
      </c>
      <c r="L184" s="1" t="s">
        <v>742</v>
      </c>
      <c r="M184" s="9" t="s">
        <v>598</v>
      </c>
      <c r="N184" s="4" t="str">
        <f>VLOOKUP(H184,Clientes!B:D,3,)</f>
        <v>BGC LIQUIDEZ DTVM LTDA</v>
      </c>
    </row>
    <row r="185" spans="1:14" hidden="1" x14ac:dyDescent="0.25">
      <c r="A185" s="4" t="str">
        <f t="shared" si="2"/>
        <v>DESPESA DE REPRESENTAÇÃO - 1/2 ALMOÇO MACRO AGRO COM PALESTRANTES PARA A MESA DE NTN-B-ECONOMISTA-FELIPE DE SA TAVARES (AGENDA 41803)</v>
      </c>
      <c r="B185" s="11">
        <v>46143</v>
      </c>
      <c r="C185" s="4">
        <v>817991</v>
      </c>
      <c r="D185" s="1" t="s">
        <v>626</v>
      </c>
      <c r="E185" s="14">
        <v>-291.91666666666669</v>
      </c>
      <c r="F185" s="5" t="s">
        <v>447</v>
      </c>
      <c r="G185" s="2">
        <v>46148</v>
      </c>
      <c r="H185" s="9">
        <v>1170</v>
      </c>
      <c r="I185" s="4"/>
      <c r="J185" s="4" t="s">
        <v>1641</v>
      </c>
      <c r="K185" s="7" t="s">
        <v>1525</v>
      </c>
      <c r="L185" s="1" t="s">
        <v>768</v>
      </c>
      <c r="M185" s="9" t="s">
        <v>551</v>
      </c>
      <c r="N185" s="4" t="str">
        <f>VLOOKUP(H185,Clientes!B:D,3,)</f>
        <v>BGC LIQUIDEZ DTVM LTDA</v>
      </c>
    </row>
    <row r="186" spans="1:14" hidden="1" x14ac:dyDescent="0.25">
      <c r="A186" s="4" t="str">
        <f t="shared" si="2"/>
        <v>DESPESA DE REPRESENTAÇÃO - 1/2 ALMOÇO MACRO AGRO COM PALESTRANTES PARA A MESA DE NTN-B-ECONOMISTA-FELIPE DE SA TAVARES (AGENDA 41803)</v>
      </c>
      <c r="B186" s="11">
        <v>46143</v>
      </c>
      <c r="C186" s="4">
        <v>817991</v>
      </c>
      <c r="D186" s="1" t="s">
        <v>993</v>
      </c>
      <c r="E186" s="14">
        <v>-291.91666666666669</v>
      </c>
      <c r="F186" s="5" t="s">
        <v>447</v>
      </c>
      <c r="G186" s="2">
        <v>46148</v>
      </c>
      <c r="H186" s="9">
        <v>1170</v>
      </c>
      <c r="I186" s="4"/>
      <c r="J186" s="4" t="s">
        <v>1641</v>
      </c>
      <c r="K186" s="7" t="s">
        <v>1525</v>
      </c>
      <c r="L186" s="1" t="s">
        <v>768</v>
      </c>
      <c r="M186" s="9" t="s">
        <v>551</v>
      </c>
      <c r="N186" s="4" t="str">
        <f>VLOOKUP(H186,Clientes!B:D,3,)</f>
        <v>BGC LIQUIDEZ DTVM LTDA</v>
      </c>
    </row>
    <row r="187" spans="1:14" hidden="1" x14ac:dyDescent="0.25">
      <c r="A187" s="4" t="str">
        <f t="shared" si="2"/>
        <v>DESPESA DE REPRESENTAÇÃO - 1/2 ALMOÇO MACRO AGRO COM PALESTRANTES PARA A MESA DE NTN-B-ECONOMISTA-FELIPE DE SA TAVARES (AGENDA 41803)</v>
      </c>
      <c r="B187" s="11">
        <v>46143</v>
      </c>
      <c r="C187" s="4">
        <v>817991</v>
      </c>
      <c r="D187" s="1" t="s">
        <v>503</v>
      </c>
      <c r="E187" s="14">
        <v>-291.91666666666669</v>
      </c>
      <c r="F187" s="5" t="s">
        <v>447</v>
      </c>
      <c r="G187" s="2">
        <v>46148</v>
      </c>
      <c r="H187" s="9">
        <v>1170</v>
      </c>
      <c r="I187" s="4"/>
      <c r="J187" s="4" t="s">
        <v>1641</v>
      </c>
      <c r="K187" s="7" t="s">
        <v>1525</v>
      </c>
      <c r="L187" s="1" t="s">
        <v>768</v>
      </c>
      <c r="M187" s="9" t="s">
        <v>551</v>
      </c>
      <c r="N187" s="4" t="str">
        <f>VLOOKUP(H187,Clientes!B:D,3,)</f>
        <v>BGC LIQUIDEZ DTVM LTDA</v>
      </c>
    </row>
    <row r="188" spans="1:14" hidden="1" x14ac:dyDescent="0.25">
      <c r="A188" s="4" t="str">
        <f t="shared" si="2"/>
        <v>DESPESA DE REPRESENTAÇÃO - 1/2 ALMOÇO MACRO AGRO COM PALESTRANTES PARA A MESA DE NTN-B-ECONOMISTA-FELIPE DE SA TAVARES (AGENDA 41803)</v>
      </c>
      <c r="B188" s="11">
        <v>46143</v>
      </c>
      <c r="C188" s="4">
        <v>817991</v>
      </c>
      <c r="D188" s="1" t="s">
        <v>615</v>
      </c>
      <c r="E188" s="14">
        <v>-291.91666666666669</v>
      </c>
      <c r="F188" s="5" t="s">
        <v>447</v>
      </c>
      <c r="G188" s="2">
        <v>46148</v>
      </c>
      <c r="H188" s="9">
        <v>1170</v>
      </c>
      <c r="I188" s="4"/>
      <c r="J188" s="4" t="s">
        <v>1641</v>
      </c>
      <c r="K188" s="7" t="s">
        <v>1525</v>
      </c>
      <c r="L188" s="1" t="s">
        <v>768</v>
      </c>
      <c r="M188" s="9" t="s">
        <v>551</v>
      </c>
      <c r="N188" s="4" t="str">
        <f>VLOOKUP(H188,Clientes!B:D,3,)</f>
        <v>BGC LIQUIDEZ DTVM LTDA</v>
      </c>
    </row>
    <row r="189" spans="1:14" hidden="1" x14ac:dyDescent="0.25">
      <c r="A189" s="4" t="str">
        <f t="shared" si="2"/>
        <v>DESPESA DE REPRESENTAÇÃO - 1/2 ALMOÇO MACRO AGRO COM PALESTRANTES PARA A MESA DE NTN-B-ECONOMISTA-FELIPE DE SA TAVARES (AGENDA 41803)</v>
      </c>
      <c r="B189" s="11">
        <v>46143</v>
      </c>
      <c r="C189" s="4">
        <v>817991</v>
      </c>
      <c r="D189" s="1" t="s">
        <v>604</v>
      </c>
      <c r="E189" s="14">
        <v>-291.91666666666669</v>
      </c>
      <c r="F189" s="5" t="s">
        <v>447</v>
      </c>
      <c r="G189" s="2">
        <v>46148</v>
      </c>
      <c r="H189" s="9">
        <v>1170</v>
      </c>
      <c r="I189" s="4"/>
      <c r="J189" s="4" t="s">
        <v>1641</v>
      </c>
      <c r="K189" s="7" t="s">
        <v>1525</v>
      </c>
      <c r="L189" s="1" t="s">
        <v>768</v>
      </c>
      <c r="M189" s="9" t="s">
        <v>551</v>
      </c>
      <c r="N189" s="4" t="str">
        <f>VLOOKUP(H189,Clientes!B:D,3,)</f>
        <v>BGC LIQUIDEZ DTVM LTDA</v>
      </c>
    </row>
    <row r="190" spans="1:14" hidden="1" x14ac:dyDescent="0.25">
      <c r="A190" s="4" t="str">
        <f t="shared" si="2"/>
        <v>DESPESA DE REPRESENTAÇÃO - 1/2 ALMOÇO MACRO AGRO COM PALESTRANTES PARA A MESA DE NTN-B-ECONOMISTA-FELIPE DE SA TAVARES (AGENDA 41803)</v>
      </c>
      <c r="B190" s="11">
        <v>46143</v>
      </c>
      <c r="C190" s="4">
        <v>817991</v>
      </c>
      <c r="D190" s="1" t="s">
        <v>1310</v>
      </c>
      <c r="E190" s="14">
        <v>-291.91666666666669</v>
      </c>
      <c r="F190" s="5" t="s">
        <v>447</v>
      </c>
      <c r="G190" s="2">
        <v>46148</v>
      </c>
      <c r="H190" s="9">
        <v>1170</v>
      </c>
      <c r="I190" s="4"/>
      <c r="J190" s="4" t="s">
        <v>1641</v>
      </c>
      <c r="K190" s="7" t="s">
        <v>1525</v>
      </c>
      <c r="L190" s="1" t="s">
        <v>768</v>
      </c>
      <c r="M190" s="9" t="s">
        <v>551</v>
      </c>
      <c r="N190" s="4" t="str">
        <f>VLOOKUP(H190,Clientes!B:D,3,)</f>
        <v>BGC LIQUIDEZ DTVM LTDA</v>
      </c>
    </row>
    <row r="191" spans="1:14" hidden="1" x14ac:dyDescent="0.25">
      <c r="A191" s="4" t="str">
        <f t="shared" si="2"/>
        <v>DESPESA DE REPRESENTAÇÃO - 1/2 ALMOÇO COM A FUTURA NO LOUP 11/05-SALES-JOSE ANTONIO DEZENE JUNIOR (AGENDA 41920)</v>
      </c>
      <c r="B191" s="11">
        <v>46143</v>
      </c>
      <c r="C191" s="4">
        <v>817991</v>
      </c>
      <c r="D191" s="1" t="s">
        <v>428</v>
      </c>
      <c r="E191" s="14">
        <v>-2147</v>
      </c>
      <c r="F191" s="5" t="s">
        <v>447</v>
      </c>
      <c r="G191" s="2">
        <v>46154</v>
      </c>
      <c r="H191" s="9">
        <v>1170</v>
      </c>
      <c r="I191" s="4"/>
      <c r="J191" s="4" t="s">
        <v>1645</v>
      </c>
      <c r="K191" s="7" t="s">
        <v>1526</v>
      </c>
      <c r="L191" s="1" t="s">
        <v>428</v>
      </c>
      <c r="M191" s="9" t="s">
        <v>468</v>
      </c>
      <c r="N191" s="4" t="str">
        <f>VLOOKUP(H191,Clientes!B:D,3,)</f>
        <v>BGC LIQUIDEZ DTVM LTDA</v>
      </c>
    </row>
    <row r="192" spans="1:14" hidden="1" x14ac:dyDescent="0.25">
      <c r="A192" s="4" t="str">
        <f t="shared" si="2"/>
        <v>DESPESA DE REPRESENTAÇÃO - ALMOÇO LOUP 05/05-SALES-JOSE ANTONIO DEZENE JUNIOR (AGENDA  41904)</v>
      </c>
      <c r="B192" s="11">
        <v>46143</v>
      </c>
      <c r="C192" s="4">
        <v>817991</v>
      </c>
      <c r="D192" s="1" t="s">
        <v>428</v>
      </c>
      <c r="E192" s="14">
        <v>-6477.16</v>
      </c>
      <c r="F192" s="5" t="s">
        <v>447</v>
      </c>
      <c r="G192" s="2">
        <v>46154</v>
      </c>
      <c r="H192" s="9">
        <v>1170</v>
      </c>
      <c r="I192" s="4"/>
      <c r="J192" s="4" t="s">
        <v>1528</v>
      </c>
      <c r="K192" s="7" t="s">
        <v>1527</v>
      </c>
      <c r="L192" s="1" t="s">
        <v>428</v>
      </c>
      <c r="M192" s="9" t="s">
        <v>468</v>
      </c>
      <c r="N192" s="4" t="str">
        <f>VLOOKUP(H192,Clientes!B:D,3,)</f>
        <v>BGC LIQUIDEZ DTVM LTDA</v>
      </c>
    </row>
    <row r="193" spans="1:14" hidden="1" x14ac:dyDescent="0.25">
      <c r="A193" s="4" t="str">
        <f t="shared" si="2"/>
        <v>DESPESA DE REPRESENTAÇÃO - 2/2 ALMOÇO MACRO AGRO COM PALESTRANTES PARA A MESA DE NTN-B-ECONOMISTA-FELIPE DE SA TAVARES (AGENDA 41911)</v>
      </c>
      <c r="B193" s="11">
        <v>46143</v>
      </c>
      <c r="C193" s="4">
        <v>817991</v>
      </c>
      <c r="D193" s="1" t="s">
        <v>626</v>
      </c>
      <c r="E193" s="14">
        <v>-583.83333333333337</v>
      </c>
      <c r="F193" s="5" t="s">
        <v>447</v>
      </c>
      <c r="G193" s="2">
        <v>46154</v>
      </c>
      <c r="H193" s="9">
        <v>1170</v>
      </c>
      <c r="I193" s="4"/>
      <c r="J193" s="4" t="s">
        <v>1642</v>
      </c>
      <c r="K193" s="7" t="s">
        <v>1529</v>
      </c>
      <c r="L193" s="1" t="s">
        <v>768</v>
      </c>
      <c r="M193" s="9" t="s">
        <v>551</v>
      </c>
      <c r="N193" s="4" t="str">
        <f>VLOOKUP(H193,Clientes!B:D,3,)</f>
        <v>BGC LIQUIDEZ DTVM LTDA</v>
      </c>
    </row>
    <row r="194" spans="1:14" hidden="1" x14ac:dyDescent="0.25">
      <c r="A194" s="4" t="str">
        <f t="shared" si="2"/>
        <v>DESPESA DE REPRESENTAÇÃO - 2/2 ALMOÇO MACRO AGRO COM PALESTRANTES PARA A MESA DE NTN-B-ECONOMISTA-FELIPE DE SA TAVARES (AGENDA 41911)</v>
      </c>
      <c r="B194" s="11">
        <v>46143</v>
      </c>
      <c r="C194" s="4">
        <v>817991</v>
      </c>
      <c r="D194" s="1" t="s">
        <v>993</v>
      </c>
      <c r="E194" s="14">
        <v>-583.83333333333337</v>
      </c>
      <c r="F194" s="5" t="s">
        <v>447</v>
      </c>
      <c r="G194" s="2">
        <v>46154</v>
      </c>
      <c r="H194" s="9">
        <v>1170</v>
      </c>
      <c r="I194" s="4"/>
      <c r="J194" s="4" t="s">
        <v>1642</v>
      </c>
      <c r="K194" s="7" t="s">
        <v>1529</v>
      </c>
      <c r="L194" s="1" t="s">
        <v>768</v>
      </c>
      <c r="M194" s="9" t="s">
        <v>551</v>
      </c>
      <c r="N194" s="4" t="str">
        <f>VLOOKUP(H194,Clientes!B:D,3,)</f>
        <v>BGC LIQUIDEZ DTVM LTDA</v>
      </c>
    </row>
    <row r="195" spans="1:14" hidden="1" x14ac:dyDescent="0.25">
      <c r="A195" s="4" t="str">
        <f t="shared" ref="A195:A240" si="3">CONCATENATE($J$1,J195,$I$3,M195,$I$3,L195,$I$1,K195,$I$2)</f>
        <v>DESPESA DE REPRESENTAÇÃO - 2/2 ALMOÇO MACRO AGRO COM PALESTRANTES PARA A MESA DE NTN-B-ECONOMISTA-FELIPE DE SA TAVARES (AGENDA 41911)</v>
      </c>
      <c r="B195" s="11">
        <v>46143</v>
      </c>
      <c r="C195" s="4">
        <v>817991</v>
      </c>
      <c r="D195" s="1" t="s">
        <v>503</v>
      </c>
      <c r="E195" s="14">
        <v>-583.83333333333337</v>
      </c>
      <c r="F195" s="5" t="s">
        <v>447</v>
      </c>
      <c r="G195" s="2">
        <v>46154</v>
      </c>
      <c r="H195" s="9">
        <v>1170</v>
      </c>
      <c r="I195" s="4"/>
      <c r="J195" s="4" t="s">
        <v>1642</v>
      </c>
      <c r="K195" s="7" t="s">
        <v>1529</v>
      </c>
      <c r="L195" s="1" t="s">
        <v>768</v>
      </c>
      <c r="M195" s="9" t="s">
        <v>551</v>
      </c>
      <c r="N195" s="4" t="str">
        <f>VLOOKUP(H195,Clientes!B:D,3,)</f>
        <v>BGC LIQUIDEZ DTVM LTDA</v>
      </c>
    </row>
    <row r="196" spans="1:14" hidden="1" x14ac:dyDescent="0.25">
      <c r="A196" s="4" t="str">
        <f t="shared" si="3"/>
        <v>DESPESA DE REPRESENTAÇÃO - 2/2 ALMOÇO MACRO AGRO COM PALESTRANTES PARA A MESA DE NTN-B-ECONOMISTA-FELIPE DE SA TAVARES (AGENDA 41911)</v>
      </c>
      <c r="B196" s="11">
        <v>46143</v>
      </c>
      <c r="C196" s="4">
        <v>817991</v>
      </c>
      <c r="D196" s="1" t="s">
        <v>615</v>
      </c>
      <c r="E196" s="14">
        <v>-583.83333333333337</v>
      </c>
      <c r="F196" s="5" t="s">
        <v>447</v>
      </c>
      <c r="G196" s="2">
        <v>46154</v>
      </c>
      <c r="H196" s="9">
        <v>1170</v>
      </c>
      <c r="I196" s="4"/>
      <c r="J196" s="4" t="s">
        <v>1642</v>
      </c>
      <c r="K196" s="7" t="s">
        <v>1529</v>
      </c>
      <c r="L196" s="1" t="s">
        <v>768</v>
      </c>
      <c r="M196" s="9" t="s">
        <v>551</v>
      </c>
      <c r="N196" s="4" t="str">
        <f>VLOOKUP(H196,Clientes!B:D,3,)</f>
        <v>BGC LIQUIDEZ DTVM LTDA</v>
      </c>
    </row>
    <row r="197" spans="1:14" hidden="1" x14ac:dyDescent="0.25">
      <c r="A197" s="4" t="str">
        <f t="shared" si="3"/>
        <v>DESPESA DE REPRESENTAÇÃO - 2/2 ALMOÇO MACRO AGRO COM PALESTRANTES PARA A MESA DE NTN-B-ECONOMISTA-FELIPE DE SA TAVARES (AGENDA 41911)</v>
      </c>
      <c r="B197" s="11">
        <v>46143</v>
      </c>
      <c r="C197" s="4">
        <v>817991</v>
      </c>
      <c r="D197" s="1" t="s">
        <v>604</v>
      </c>
      <c r="E197" s="14">
        <v>-583.83333333333337</v>
      </c>
      <c r="F197" s="5" t="s">
        <v>447</v>
      </c>
      <c r="G197" s="2">
        <v>46154</v>
      </c>
      <c r="H197" s="9">
        <v>1170</v>
      </c>
      <c r="I197" s="4"/>
      <c r="J197" s="4" t="s">
        <v>1642</v>
      </c>
      <c r="K197" s="7" t="s">
        <v>1529</v>
      </c>
      <c r="L197" s="1" t="s">
        <v>768</v>
      </c>
      <c r="M197" s="9" t="s">
        <v>551</v>
      </c>
      <c r="N197" s="4" t="str">
        <f>VLOOKUP(H197,Clientes!B:D,3,)</f>
        <v>BGC LIQUIDEZ DTVM LTDA</v>
      </c>
    </row>
    <row r="198" spans="1:14" hidden="1" x14ac:dyDescent="0.25">
      <c r="A198" s="4" t="str">
        <f t="shared" si="3"/>
        <v>DESPESA DE REPRESENTAÇÃO - 2/2 ALMOÇO MACRO AGRO COM PALESTRANTES PARA A MESA DE NTN-B-ECONOMISTA-FELIPE DE SA TAVARES (AGENDA 41911)</v>
      </c>
      <c r="B198" s="11">
        <v>46143</v>
      </c>
      <c r="C198" s="4">
        <v>817991</v>
      </c>
      <c r="D198" s="1" t="s">
        <v>1310</v>
      </c>
      <c r="E198" s="14">
        <v>-583.83333333333337</v>
      </c>
      <c r="F198" s="5" t="s">
        <v>447</v>
      </c>
      <c r="G198" s="2">
        <v>46154</v>
      </c>
      <c r="H198" s="9">
        <v>1170</v>
      </c>
      <c r="I198" s="4"/>
      <c r="J198" s="4" t="s">
        <v>1642</v>
      </c>
      <c r="K198" s="7" t="s">
        <v>1529</v>
      </c>
      <c r="L198" s="1" t="s">
        <v>768</v>
      </c>
      <c r="M198" s="9" t="s">
        <v>551</v>
      </c>
      <c r="N198" s="4" t="str">
        <f>VLOOKUP(H198,Clientes!B:D,3,)</f>
        <v>BGC LIQUIDEZ DTVM LTDA</v>
      </c>
    </row>
    <row r="199" spans="1:14" hidden="1" x14ac:dyDescent="0.25">
      <c r="A199" s="4" t="str">
        <f t="shared" si="3"/>
        <v>DESPESA DE REPRESENTAÇÃO - 2/2 ALMOÇO COM A FUTURA NO LOUP 11/05-SALES-JOSE ANTONIO DEZENE JUNIOR (AGENDA  42012)</v>
      </c>
      <c r="B199" s="11">
        <v>46143</v>
      </c>
      <c r="C199" s="4">
        <v>817991</v>
      </c>
      <c r="D199" s="1" t="s">
        <v>428</v>
      </c>
      <c r="E199" s="14">
        <v>-3936.92</v>
      </c>
      <c r="F199" s="5" t="s">
        <v>447</v>
      </c>
      <c r="G199" s="2">
        <v>46161</v>
      </c>
      <c r="H199" s="9">
        <v>1170</v>
      </c>
      <c r="I199" s="4"/>
      <c r="J199" s="4" t="s">
        <v>1646</v>
      </c>
      <c r="K199" s="7" t="s">
        <v>1530</v>
      </c>
      <c r="L199" s="1" t="s">
        <v>428</v>
      </c>
      <c r="M199" s="9" t="s">
        <v>468</v>
      </c>
      <c r="N199" s="4" t="str">
        <f>VLOOKUP(H199,Clientes!B:D,3,)</f>
        <v>BGC LIQUIDEZ DTVM LTDA</v>
      </c>
    </row>
    <row r="200" spans="1:14" hidden="1" x14ac:dyDescent="0.25">
      <c r="A200" s="4" t="str">
        <f t="shared" si="3"/>
        <v>DESPESA DE REPRESENTAÇÃO - EVENTO MIAMI OPEN COM TESOURO NACIONAL-ECONOMISTA-DANIEL CARDOSO LEAL (AGENDA 42172)</v>
      </c>
      <c r="B200" s="11">
        <v>46143</v>
      </c>
      <c r="C200" s="4">
        <v>817991</v>
      </c>
      <c r="D200" s="1" t="s">
        <v>558</v>
      </c>
      <c r="E200" s="14">
        <v>-11848.32</v>
      </c>
      <c r="F200" s="5" t="s">
        <v>387</v>
      </c>
      <c r="G200" s="2">
        <v>46170</v>
      </c>
      <c r="H200" s="9">
        <v>1170</v>
      </c>
      <c r="I200" s="4"/>
      <c r="J200" s="4" t="s">
        <v>1648</v>
      </c>
      <c r="K200" s="7" t="s">
        <v>1649</v>
      </c>
      <c r="L200" s="1" t="s">
        <v>985</v>
      </c>
      <c r="M200" s="9" t="s">
        <v>551</v>
      </c>
      <c r="N200" s="4" t="str">
        <f>VLOOKUP(H200,Clientes!B:D,3,)</f>
        <v>BGC LIQUIDEZ DTVM LTDA</v>
      </c>
    </row>
    <row r="201" spans="1:14" hidden="1" x14ac:dyDescent="0.25">
      <c r="A201" s="4" t="str">
        <f t="shared" si="3"/>
        <v>DESPESA DE REPRESENTAÇÃO - UBER-ECONOMISTA-FELIPE DE SA TAVARES (E-MAIL 22/06/2026)</v>
      </c>
      <c r="B201" s="11">
        <v>46143</v>
      </c>
      <c r="C201" s="4">
        <v>817991</v>
      </c>
      <c r="D201" s="1" t="s">
        <v>768</v>
      </c>
      <c r="E201" s="14">
        <v>-149.63999999999999</v>
      </c>
      <c r="F201" s="5" t="s">
        <v>388</v>
      </c>
      <c r="G201" s="2">
        <v>46171</v>
      </c>
      <c r="H201" s="9">
        <v>1170</v>
      </c>
      <c r="I201" s="4"/>
      <c r="J201" s="4" t="s">
        <v>659</v>
      </c>
      <c r="K201" s="7" t="s">
        <v>1650</v>
      </c>
      <c r="L201" s="1" t="s">
        <v>768</v>
      </c>
      <c r="M201" s="9" t="s">
        <v>551</v>
      </c>
      <c r="N201" s="4" t="str">
        <f>VLOOKUP(H201,Clientes!B:D,3,)</f>
        <v>BGC LIQUIDEZ DTVM LTDA</v>
      </c>
    </row>
    <row r="202" spans="1:14" hidden="1" x14ac:dyDescent="0.25">
      <c r="A202" s="4" t="str">
        <f t="shared" si="3"/>
        <v>DESPESA DE REPRESENTAÇÃO - UBER-BROKER-JUAREZ JOAQUIM DE LACERDA (E-MAIL 22/06/2026)</v>
      </c>
      <c r="B202" s="11">
        <v>46143</v>
      </c>
      <c r="C202" s="4">
        <v>817991</v>
      </c>
      <c r="D202" s="1" t="s">
        <v>614</v>
      </c>
      <c r="E202" s="14">
        <v>-89.78</v>
      </c>
      <c r="F202" s="5" t="s">
        <v>388</v>
      </c>
      <c r="G202" s="2">
        <v>46169</v>
      </c>
      <c r="H202" s="9">
        <v>1170</v>
      </c>
      <c r="I202" s="4"/>
      <c r="J202" s="4" t="s">
        <v>659</v>
      </c>
      <c r="K202" s="7" t="s">
        <v>1650</v>
      </c>
      <c r="L202" s="1" t="s">
        <v>614</v>
      </c>
      <c r="M202" s="9" t="s">
        <v>2</v>
      </c>
      <c r="N202" s="4" t="str">
        <f>VLOOKUP(H202,Clientes!B:D,3,)</f>
        <v>BGC LIQUIDEZ DTVM LTDA</v>
      </c>
    </row>
    <row r="203" spans="1:14" hidden="1" x14ac:dyDescent="0.25">
      <c r="A203" s="4" t="str">
        <f t="shared" si="3"/>
        <v>DESPESA DE REPRESENTAÇÃO - UBER-SALES-MARCELLE DA SILVEIRA GIL CADILHE (E-MAIL 22/06/2026)</v>
      </c>
      <c r="B203" s="11">
        <v>46143</v>
      </c>
      <c r="C203" s="4">
        <v>817991</v>
      </c>
      <c r="D203" s="1" t="s">
        <v>428</v>
      </c>
      <c r="E203" s="14">
        <v>-772.09</v>
      </c>
      <c r="F203" s="5" t="s">
        <v>388</v>
      </c>
      <c r="G203" s="2">
        <v>46167</v>
      </c>
      <c r="H203" s="9">
        <v>1170</v>
      </c>
      <c r="I203" s="4"/>
      <c r="J203" s="4" t="s">
        <v>659</v>
      </c>
      <c r="K203" s="7" t="s">
        <v>1650</v>
      </c>
      <c r="L203" s="1" t="s">
        <v>658</v>
      </c>
      <c r="M203" s="9" t="s">
        <v>468</v>
      </c>
      <c r="N203" s="4" t="str">
        <f>VLOOKUP(H203,Clientes!B:D,3,)</f>
        <v>BGC LIQUIDEZ DTVM LTDA</v>
      </c>
    </row>
    <row r="204" spans="1:14" hidden="1" x14ac:dyDescent="0.25">
      <c r="A204" s="4" t="str">
        <f t="shared" si="3"/>
        <v>DESPESA DE REPRESENTAÇÃO - UBER-SALES-MELISSA LEITE FIGUEIREDO ROCHA (E-MAIL 22/06/2026)</v>
      </c>
      <c r="B204" s="11">
        <v>46143</v>
      </c>
      <c r="C204" s="4">
        <v>817991</v>
      </c>
      <c r="D204" s="1" t="s">
        <v>428</v>
      </c>
      <c r="E204" s="14">
        <v>-666.24</v>
      </c>
      <c r="F204" s="5" t="s">
        <v>388</v>
      </c>
      <c r="G204" s="2">
        <v>46168</v>
      </c>
      <c r="H204" s="9">
        <v>1170</v>
      </c>
      <c r="I204" s="4"/>
      <c r="J204" s="4" t="s">
        <v>659</v>
      </c>
      <c r="K204" s="7" t="s">
        <v>1650</v>
      </c>
      <c r="L204" s="1" t="s">
        <v>663</v>
      </c>
      <c r="M204" s="9" t="s">
        <v>468</v>
      </c>
      <c r="N204" s="4" t="str">
        <f>VLOOKUP(H204,Clientes!B:D,3,)</f>
        <v>BGC LIQUIDEZ DTVM LTDA</v>
      </c>
    </row>
    <row r="205" spans="1:14" hidden="1" x14ac:dyDescent="0.25">
      <c r="A205" s="4" t="str">
        <f t="shared" si="3"/>
        <v>DESPESA DE REPRESENTAÇÃO - -- ()</v>
      </c>
      <c r="B205" s="11">
        <v>46143</v>
      </c>
      <c r="C205" s="4">
        <v>817991</v>
      </c>
      <c r="D205" s="1"/>
      <c r="E205" s="14"/>
      <c r="F205" s="5"/>
      <c r="G205" s="2"/>
      <c r="H205" s="9"/>
      <c r="I205" s="4"/>
      <c r="J205" s="4"/>
      <c r="K205" s="7"/>
      <c r="L205" s="1"/>
      <c r="M205" s="9"/>
      <c r="N205" s="4" t="e">
        <f>VLOOKUP(H205,Clientes!B:D,3,)</f>
        <v>#N/A</v>
      </c>
    </row>
    <row r="206" spans="1:14" hidden="1" x14ac:dyDescent="0.25">
      <c r="A206" s="4" t="str">
        <f t="shared" si="3"/>
        <v>DESPESA DE REPRESENTAÇÃO - -- ()</v>
      </c>
      <c r="B206" s="11">
        <v>46143</v>
      </c>
      <c r="C206" s="4">
        <v>817991</v>
      </c>
      <c r="D206" s="1"/>
      <c r="E206" s="14"/>
      <c r="F206" s="5"/>
      <c r="G206" s="2"/>
      <c r="H206" s="9"/>
      <c r="I206" s="4"/>
      <c r="J206" s="4"/>
      <c r="K206" s="7"/>
      <c r="L206" s="1"/>
      <c r="M206" s="9"/>
      <c r="N206" s="4" t="e">
        <f>VLOOKUP(H206,Clientes!B:D,3,)</f>
        <v>#N/A</v>
      </c>
    </row>
    <row r="207" spans="1:14" hidden="1" x14ac:dyDescent="0.25">
      <c r="A207" s="4" t="str">
        <f t="shared" si="3"/>
        <v>DESPESA DE REPRESENTAÇÃO - -- ()</v>
      </c>
      <c r="B207" s="11">
        <v>46143</v>
      </c>
      <c r="C207" s="4">
        <v>817991</v>
      </c>
      <c r="D207" s="1"/>
      <c r="E207" s="14"/>
      <c r="F207" s="5"/>
      <c r="G207" s="2"/>
      <c r="H207" s="9"/>
      <c r="I207" s="4"/>
      <c r="J207" s="4"/>
      <c r="K207" s="7"/>
      <c r="L207" s="1"/>
      <c r="M207" s="9"/>
      <c r="N207" s="4" t="e">
        <f>VLOOKUP(H207,Clientes!B:D,3,)</f>
        <v>#N/A</v>
      </c>
    </row>
    <row r="208" spans="1:14" hidden="1" x14ac:dyDescent="0.25">
      <c r="A208" s="4" t="str">
        <f t="shared" si="3"/>
        <v>DESPESA DE REPRESENTAÇÃO - -- ()</v>
      </c>
      <c r="B208" s="11">
        <v>46143</v>
      </c>
      <c r="C208" s="4">
        <v>817991</v>
      </c>
      <c r="D208" s="1"/>
      <c r="E208" s="14"/>
      <c r="F208" s="5"/>
      <c r="G208" s="2"/>
      <c r="H208" s="9"/>
      <c r="I208" s="4"/>
      <c r="J208" s="4"/>
      <c r="K208" s="7"/>
      <c r="L208" s="1"/>
      <c r="M208" s="9"/>
      <c r="N208" s="4" t="e">
        <f>VLOOKUP(H208,Clientes!B:D,3,)</f>
        <v>#N/A</v>
      </c>
    </row>
    <row r="209" spans="1:14" hidden="1" x14ac:dyDescent="0.25">
      <c r="A209" s="4" t="str">
        <f t="shared" si="3"/>
        <v>DESPESA DE REPRESENTAÇÃO - -- ()</v>
      </c>
      <c r="B209" s="11">
        <v>46143</v>
      </c>
      <c r="C209" s="4">
        <v>817991</v>
      </c>
      <c r="D209" s="1"/>
      <c r="E209" s="14"/>
      <c r="F209" s="5"/>
      <c r="G209" s="2"/>
      <c r="H209" s="9"/>
      <c r="I209" s="4"/>
      <c r="J209" s="4"/>
      <c r="K209" s="7"/>
      <c r="L209" s="1"/>
      <c r="M209" s="9"/>
      <c r="N209" s="4" t="e">
        <f>VLOOKUP(H209,Clientes!B:D,3,)</f>
        <v>#N/A</v>
      </c>
    </row>
    <row r="210" spans="1:14" hidden="1" x14ac:dyDescent="0.25">
      <c r="A210" s="4" t="str">
        <f t="shared" si="3"/>
        <v>DESPESA DE REPRESENTAÇÃO - -- ()</v>
      </c>
      <c r="B210" s="11">
        <v>46143</v>
      </c>
      <c r="C210" s="4">
        <v>817991</v>
      </c>
      <c r="D210" s="1"/>
      <c r="E210" s="14"/>
      <c r="F210" s="5"/>
      <c r="G210" s="2"/>
      <c r="H210" s="9"/>
      <c r="I210" s="4"/>
      <c r="J210" s="4"/>
      <c r="K210" s="7"/>
      <c r="L210" s="1"/>
      <c r="M210" s="9"/>
      <c r="N210" s="4" t="e">
        <f>VLOOKUP(H210,Clientes!B:D,3,)</f>
        <v>#N/A</v>
      </c>
    </row>
    <row r="211" spans="1:14" hidden="1" x14ac:dyDescent="0.25">
      <c r="A211" s="4" t="str">
        <f t="shared" si="3"/>
        <v>DESPESA DE REPRESENTAÇÃO - -- ()</v>
      </c>
      <c r="B211" s="11">
        <v>46143</v>
      </c>
      <c r="C211" s="4">
        <v>817991</v>
      </c>
      <c r="D211" s="1"/>
      <c r="E211" s="14"/>
      <c r="F211" s="5"/>
      <c r="G211" s="2"/>
      <c r="H211" s="9"/>
      <c r="I211" s="4"/>
      <c r="J211" s="4"/>
      <c r="K211" s="7"/>
      <c r="L211" s="1"/>
      <c r="M211" s="9"/>
      <c r="N211" s="4" t="e">
        <f>VLOOKUP(H211,Clientes!B:D,3,)</f>
        <v>#N/A</v>
      </c>
    </row>
    <row r="212" spans="1:14" hidden="1" x14ac:dyDescent="0.25">
      <c r="A212" s="4" t="str">
        <f t="shared" si="3"/>
        <v>DESPESA DE REPRESENTAÇÃO - -- ()</v>
      </c>
      <c r="B212" s="11">
        <v>46143</v>
      </c>
      <c r="C212" s="4">
        <v>817991</v>
      </c>
      <c r="D212" s="1"/>
      <c r="E212" s="14"/>
      <c r="F212" s="5"/>
      <c r="G212" s="2"/>
      <c r="H212" s="9"/>
      <c r="I212" s="4"/>
      <c r="J212" s="4"/>
      <c r="K212" s="7"/>
      <c r="L212" s="1"/>
      <c r="M212" s="9"/>
      <c r="N212" s="4" t="e">
        <f>VLOOKUP(H212,Clientes!B:D,3,)</f>
        <v>#N/A</v>
      </c>
    </row>
    <row r="213" spans="1:14" hidden="1" x14ac:dyDescent="0.25">
      <c r="A213" s="4" t="str">
        <f t="shared" si="3"/>
        <v>DESPESA DE REPRESENTAÇÃO - -- ()</v>
      </c>
      <c r="B213" s="11">
        <v>46143</v>
      </c>
      <c r="C213" s="4">
        <v>817991</v>
      </c>
      <c r="D213" s="1"/>
      <c r="E213" s="14"/>
      <c r="F213" s="5"/>
      <c r="G213" s="2"/>
      <c r="H213" s="9"/>
      <c r="I213" s="4"/>
      <c r="J213" s="4"/>
      <c r="K213" s="7"/>
      <c r="L213" s="1"/>
      <c r="M213" s="9"/>
      <c r="N213" s="4" t="e">
        <f>VLOOKUP(H213,Clientes!B:D,3,)</f>
        <v>#N/A</v>
      </c>
    </row>
    <row r="214" spans="1:14" hidden="1" x14ac:dyDescent="0.25">
      <c r="A214" s="4" t="str">
        <f t="shared" si="3"/>
        <v>DESPESA DE REPRESENTAÇÃO - -- ()</v>
      </c>
      <c r="B214" s="11">
        <v>46143</v>
      </c>
      <c r="C214" s="4">
        <v>817991</v>
      </c>
      <c r="D214" s="1"/>
      <c r="E214" s="14"/>
      <c r="F214" s="5"/>
      <c r="G214" s="2"/>
      <c r="H214" s="9"/>
      <c r="I214" s="4"/>
      <c r="J214" s="4"/>
      <c r="K214" s="7"/>
      <c r="L214" s="1"/>
      <c r="M214" s="9"/>
      <c r="N214" s="4" t="e">
        <f>VLOOKUP(H214,Clientes!B:D,3,)</f>
        <v>#N/A</v>
      </c>
    </row>
    <row r="215" spans="1:14" hidden="1" x14ac:dyDescent="0.25">
      <c r="A215" s="4" t="str">
        <f t="shared" si="3"/>
        <v>DESPESA DE REPRESENTAÇÃO - -- ()</v>
      </c>
      <c r="B215" s="11">
        <v>46143</v>
      </c>
      <c r="C215" s="4">
        <v>817991</v>
      </c>
      <c r="D215" s="1"/>
      <c r="E215" s="14"/>
      <c r="F215" s="5"/>
      <c r="G215" s="2"/>
      <c r="H215" s="9"/>
      <c r="I215" s="4"/>
      <c r="J215" s="4"/>
      <c r="K215" s="7"/>
      <c r="L215" s="1"/>
      <c r="M215" s="9"/>
      <c r="N215" s="4" t="e">
        <f>VLOOKUP(H215,Clientes!B:D,3,)</f>
        <v>#N/A</v>
      </c>
    </row>
    <row r="216" spans="1:14" hidden="1" x14ac:dyDescent="0.25">
      <c r="A216" s="4" t="str">
        <f t="shared" si="3"/>
        <v>DESPESA DE REPRESENTAÇÃO - -- ()</v>
      </c>
      <c r="B216" s="11">
        <v>46143</v>
      </c>
      <c r="C216" s="4">
        <v>817991</v>
      </c>
      <c r="D216" s="1"/>
      <c r="E216" s="14"/>
      <c r="F216" s="5"/>
      <c r="G216" s="2"/>
      <c r="H216" s="9"/>
      <c r="I216" s="4"/>
      <c r="J216" s="4"/>
      <c r="K216" s="7"/>
      <c r="L216" s="1"/>
      <c r="M216" s="9"/>
      <c r="N216" s="4" t="e">
        <f>VLOOKUP(H216,Clientes!B:D,3,)</f>
        <v>#N/A</v>
      </c>
    </row>
    <row r="217" spans="1:14" hidden="1" x14ac:dyDescent="0.25">
      <c r="A217" s="4" t="str">
        <f t="shared" si="3"/>
        <v>DESPESA DE REPRESENTAÇÃO - -- ()</v>
      </c>
      <c r="B217" s="11">
        <v>46143</v>
      </c>
      <c r="C217" s="4">
        <v>817991</v>
      </c>
      <c r="D217" s="1"/>
      <c r="E217" s="14"/>
      <c r="F217" s="5"/>
      <c r="G217" s="2"/>
      <c r="H217" s="9"/>
      <c r="I217" s="4"/>
      <c r="J217" s="4"/>
      <c r="K217" s="7"/>
      <c r="L217" s="1"/>
      <c r="M217" s="9"/>
      <c r="N217" s="4" t="e">
        <f>VLOOKUP(H217,Clientes!B:D,3,)</f>
        <v>#N/A</v>
      </c>
    </row>
    <row r="218" spans="1:14" hidden="1" x14ac:dyDescent="0.25">
      <c r="A218" s="4" t="str">
        <f t="shared" si="3"/>
        <v>DESPESA DE REPRESENTAÇÃO - -- ()</v>
      </c>
      <c r="B218" s="11">
        <v>46143</v>
      </c>
      <c r="C218" s="4">
        <v>817991</v>
      </c>
      <c r="D218" s="1"/>
      <c r="E218" s="14"/>
      <c r="F218" s="5"/>
      <c r="G218" s="2"/>
      <c r="H218" s="9"/>
      <c r="I218" s="4"/>
      <c r="J218" s="4"/>
      <c r="K218" s="7"/>
      <c r="L218" s="1"/>
      <c r="M218" s="9"/>
      <c r="N218" s="4" t="e">
        <f>VLOOKUP(H218,Clientes!B:D,3,)</f>
        <v>#N/A</v>
      </c>
    </row>
    <row r="219" spans="1:14" hidden="1" x14ac:dyDescent="0.25">
      <c r="A219" s="4" t="str">
        <f t="shared" si="3"/>
        <v>DESPESA DE REPRESENTAÇÃO - -- ()</v>
      </c>
      <c r="B219" s="11">
        <v>46143</v>
      </c>
      <c r="C219" s="4">
        <v>817991</v>
      </c>
      <c r="D219" s="1"/>
      <c r="E219" s="14"/>
      <c r="F219" s="5"/>
      <c r="G219" s="2"/>
      <c r="H219" s="9"/>
      <c r="I219" s="4"/>
      <c r="J219" s="4"/>
      <c r="K219" s="7"/>
      <c r="L219" s="1"/>
      <c r="M219" s="9"/>
      <c r="N219" s="4" t="e">
        <f>VLOOKUP(H219,Clientes!B:D,3,)</f>
        <v>#N/A</v>
      </c>
    </row>
    <row r="220" spans="1:14" hidden="1" x14ac:dyDescent="0.25">
      <c r="A220" s="4" t="str">
        <f t="shared" si="3"/>
        <v>DESPESA DE REPRESENTAÇÃO - -- ()</v>
      </c>
      <c r="B220" s="11">
        <v>46143</v>
      </c>
      <c r="C220" s="4">
        <v>817991</v>
      </c>
      <c r="D220" s="1"/>
      <c r="E220" s="14"/>
      <c r="F220" s="5"/>
      <c r="G220" s="2"/>
      <c r="H220" s="9"/>
      <c r="I220" s="4"/>
      <c r="J220" s="4"/>
      <c r="K220" s="7"/>
      <c r="L220" s="1"/>
      <c r="M220" s="9"/>
      <c r="N220" s="4" t="e">
        <f>VLOOKUP(H220,Clientes!B:D,3,)</f>
        <v>#N/A</v>
      </c>
    </row>
    <row r="221" spans="1:14" hidden="1" x14ac:dyDescent="0.25">
      <c r="A221" s="4" t="str">
        <f t="shared" si="3"/>
        <v>DESPESA DE REPRESENTAÇÃO - -- ()</v>
      </c>
      <c r="B221" s="11">
        <v>46143</v>
      </c>
      <c r="C221" s="4">
        <v>817991</v>
      </c>
      <c r="D221" s="1"/>
      <c r="E221" s="14"/>
      <c r="F221" s="5"/>
      <c r="G221" s="2"/>
      <c r="H221" s="9"/>
      <c r="I221" s="4"/>
      <c r="J221" s="4"/>
      <c r="K221" s="7"/>
      <c r="L221" s="1"/>
      <c r="M221" s="9"/>
      <c r="N221" s="4" t="e">
        <f>VLOOKUP(H221,Clientes!B:D,3,)</f>
        <v>#N/A</v>
      </c>
    </row>
    <row r="222" spans="1:14" hidden="1" x14ac:dyDescent="0.25">
      <c r="A222" s="4" t="str">
        <f t="shared" si="3"/>
        <v>DESPESA DE REPRESENTAÇÃO - -- ()</v>
      </c>
      <c r="B222" s="11">
        <v>46143</v>
      </c>
      <c r="C222" s="4">
        <v>817991</v>
      </c>
      <c r="D222" s="1"/>
      <c r="E222" s="14"/>
      <c r="F222" s="5"/>
      <c r="G222" s="2"/>
      <c r="H222" s="9"/>
      <c r="I222" s="4"/>
      <c r="J222" s="4"/>
      <c r="K222" s="7"/>
      <c r="L222" s="1"/>
      <c r="M222" s="9"/>
      <c r="N222" s="4" t="e">
        <f>VLOOKUP(H222,Clientes!B:D,3,)</f>
        <v>#N/A</v>
      </c>
    </row>
    <row r="223" spans="1:14" hidden="1" x14ac:dyDescent="0.25">
      <c r="A223" s="4" t="str">
        <f t="shared" si="3"/>
        <v>DESPESA DE REPRESENTAÇÃO - -- ()</v>
      </c>
      <c r="B223" s="11">
        <v>46143</v>
      </c>
      <c r="C223" s="4">
        <v>817991</v>
      </c>
      <c r="D223" s="1"/>
      <c r="E223" s="14"/>
      <c r="F223" s="5"/>
      <c r="G223" s="2"/>
      <c r="H223" s="9"/>
      <c r="I223" s="4"/>
      <c r="J223" s="4"/>
      <c r="K223" s="7"/>
      <c r="L223" s="1"/>
      <c r="M223" s="9"/>
      <c r="N223" s="4" t="e">
        <f>VLOOKUP(H223,Clientes!B:D,3,)</f>
        <v>#N/A</v>
      </c>
    </row>
    <row r="224" spans="1:14" hidden="1" x14ac:dyDescent="0.25">
      <c r="A224" s="4" t="str">
        <f t="shared" si="3"/>
        <v>DESPESA DE REPRESENTAÇÃO - -- ()</v>
      </c>
      <c r="B224" s="11">
        <v>46143</v>
      </c>
      <c r="C224" s="4">
        <v>817991</v>
      </c>
      <c r="D224" s="1"/>
      <c r="E224" s="14"/>
      <c r="F224" s="5"/>
      <c r="G224" s="2"/>
      <c r="H224" s="9"/>
      <c r="I224" s="4"/>
      <c r="J224" s="4"/>
      <c r="K224" s="7"/>
      <c r="L224" s="1"/>
      <c r="M224" s="9"/>
      <c r="N224" s="4" t="e">
        <f>VLOOKUP(H224,Clientes!B:D,3,)</f>
        <v>#N/A</v>
      </c>
    </row>
    <row r="225" spans="1:14" hidden="1" x14ac:dyDescent="0.25">
      <c r="A225" s="4" t="str">
        <f t="shared" si="3"/>
        <v>DESPESA DE REPRESENTAÇÃO - -- ()</v>
      </c>
      <c r="B225" s="11">
        <v>46143</v>
      </c>
      <c r="C225" s="4">
        <v>817991</v>
      </c>
      <c r="D225" s="1"/>
      <c r="E225" s="14"/>
      <c r="F225" s="5"/>
      <c r="G225" s="2"/>
      <c r="H225" s="9"/>
      <c r="I225" s="4"/>
      <c r="J225" s="4"/>
      <c r="K225" s="7"/>
      <c r="L225" s="1"/>
      <c r="M225" s="9"/>
      <c r="N225" s="4" t="e">
        <f>VLOOKUP(H225,Clientes!B:D,3,)</f>
        <v>#N/A</v>
      </c>
    </row>
    <row r="226" spans="1:14" hidden="1" x14ac:dyDescent="0.25">
      <c r="A226" s="4" t="str">
        <f t="shared" si="3"/>
        <v>DESPESA DE REPRESENTAÇÃO - -- ()</v>
      </c>
      <c r="B226" s="11">
        <v>46143</v>
      </c>
      <c r="C226" s="4">
        <v>817991</v>
      </c>
      <c r="D226" s="1"/>
      <c r="E226" s="14"/>
      <c r="F226" s="5"/>
      <c r="G226" s="2"/>
      <c r="H226" s="9"/>
      <c r="I226" s="4"/>
      <c r="J226" s="4"/>
      <c r="K226" s="7"/>
      <c r="L226" s="1"/>
      <c r="M226" s="9"/>
      <c r="N226" s="4" t="e">
        <f>VLOOKUP(H226,Clientes!B:D,3,)</f>
        <v>#N/A</v>
      </c>
    </row>
    <row r="227" spans="1:14" hidden="1" x14ac:dyDescent="0.25">
      <c r="A227" s="4" t="str">
        <f t="shared" si="3"/>
        <v>DESPESA DE REPRESENTAÇÃO - -- ()</v>
      </c>
      <c r="B227" s="11">
        <v>46143</v>
      </c>
      <c r="C227" s="4">
        <v>817991</v>
      </c>
      <c r="D227" s="1"/>
      <c r="E227" s="14"/>
      <c r="F227" s="5"/>
      <c r="G227" s="2"/>
      <c r="H227" s="9"/>
      <c r="I227" s="4"/>
      <c r="J227" s="4"/>
      <c r="K227" s="7"/>
      <c r="L227" s="1"/>
      <c r="M227" s="9"/>
      <c r="N227" s="4" t="e">
        <f>VLOOKUP(H227,Clientes!B:D,3,)</f>
        <v>#N/A</v>
      </c>
    </row>
    <row r="228" spans="1:14" hidden="1" x14ac:dyDescent="0.25">
      <c r="A228" s="4" t="str">
        <f t="shared" si="3"/>
        <v>DESPESA DE REPRESENTAÇÃO - -- ()</v>
      </c>
      <c r="B228" s="11">
        <v>46143</v>
      </c>
      <c r="C228" s="4">
        <v>817991</v>
      </c>
      <c r="D228" s="1"/>
      <c r="E228" s="14"/>
      <c r="F228" s="5"/>
      <c r="G228" s="2"/>
      <c r="H228" s="9"/>
      <c r="I228" s="4"/>
      <c r="J228" s="4"/>
      <c r="K228" s="7"/>
      <c r="L228" s="1"/>
      <c r="M228" s="9"/>
      <c r="N228" s="4" t="e">
        <f>VLOOKUP(H228,Clientes!B:D,3,)</f>
        <v>#N/A</v>
      </c>
    </row>
    <row r="229" spans="1:14" hidden="1" x14ac:dyDescent="0.25">
      <c r="A229" s="4" t="str">
        <f t="shared" si="3"/>
        <v>DESPESA DE REPRESENTAÇÃO - -- ()</v>
      </c>
      <c r="B229" s="11">
        <v>46143</v>
      </c>
      <c r="C229" s="4">
        <v>817991</v>
      </c>
      <c r="D229" s="1"/>
      <c r="E229" s="14"/>
      <c r="F229" s="5"/>
      <c r="G229" s="2"/>
      <c r="H229" s="9"/>
      <c r="I229" s="4"/>
      <c r="J229" s="4"/>
      <c r="K229" s="7"/>
      <c r="L229" s="1"/>
      <c r="M229" s="9"/>
      <c r="N229" s="4" t="e">
        <f>VLOOKUP(H229,Clientes!B:D,3,)</f>
        <v>#N/A</v>
      </c>
    </row>
    <row r="230" spans="1:14" hidden="1" x14ac:dyDescent="0.25">
      <c r="A230" s="4" t="str">
        <f t="shared" si="3"/>
        <v>DESPESA DE REPRESENTAÇÃO - -- ()</v>
      </c>
      <c r="B230" s="11">
        <v>46143</v>
      </c>
      <c r="C230" s="4">
        <v>817991</v>
      </c>
      <c r="D230" s="1"/>
      <c r="E230" s="14"/>
      <c r="F230" s="5"/>
      <c r="G230" s="2"/>
      <c r="H230" s="9"/>
      <c r="I230" s="4"/>
      <c r="J230" s="4"/>
      <c r="K230" s="7"/>
      <c r="L230" s="1"/>
      <c r="M230" s="9"/>
      <c r="N230" s="4" t="e">
        <f>VLOOKUP(H230,Clientes!B:D,3,)</f>
        <v>#N/A</v>
      </c>
    </row>
    <row r="231" spans="1:14" hidden="1" x14ac:dyDescent="0.25">
      <c r="A231" s="4" t="str">
        <f t="shared" si="3"/>
        <v>DESPESA DE REPRESENTAÇÃO - -- ()</v>
      </c>
      <c r="B231" s="11">
        <v>46143</v>
      </c>
      <c r="C231" s="4">
        <v>817991</v>
      </c>
      <c r="D231" s="1"/>
      <c r="E231" s="14"/>
      <c r="F231" s="5"/>
      <c r="G231" s="2"/>
      <c r="H231" s="9"/>
      <c r="I231" s="4"/>
      <c r="J231" s="4"/>
      <c r="K231" s="7"/>
      <c r="L231" s="1"/>
      <c r="M231" s="9"/>
      <c r="N231" s="4" t="e">
        <f>VLOOKUP(H231,Clientes!B:D,3,)</f>
        <v>#N/A</v>
      </c>
    </row>
    <row r="232" spans="1:14" hidden="1" x14ac:dyDescent="0.25">
      <c r="A232" s="4" t="str">
        <f t="shared" si="3"/>
        <v>DESPESA DE REPRESENTAÇÃO - -- ()</v>
      </c>
      <c r="B232" s="11">
        <v>46143</v>
      </c>
      <c r="C232" s="4">
        <v>817991</v>
      </c>
      <c r="D232" s="1"/>
      <c r="E232" s="14"/>
      <c r="F232" s="5"/>
      <c r="G232" s="2"/>
      <c r="H232" s="9"/>
      <c r="I232" s="4"/>
      <c r="J232" s="4"/>
      <c r="K232" s="7"/>
      <c r="L232" s="1"/>
      <c r="M232" s="9"/>
      <c r="N232" s="4" t="e">
        <f>VLOOKUP(H232,Clientes!B:D,3,)</f>
        <v>#N/A</v>
      </c>
    </row>
    <row r="233" spans="1:14" hidden="1" x14ac:dyDescent="0.25">
      <c r="A233" s="4" t="str">
        <f t="shared" si="3"/>
        <v>DESPESA DE REPRESENTAÇÃO - -- ()</v>
      </c>
      <c r="B233" s="11">
        <v>46143</v>
      </c>
      <c r="C233" s="4">
        <v>817991</v>
      </c>
      <c r="D233" s="1"/>
      <c r="E233" s="14"/>
      <c r="F233" s="5"/>
      <c r="G233" s="2"/>
      <c r="H233" s="9"/>
      <c r="I233" s="4"/>
      <c r="J233" s="4"/>
      <c r="K233" s="7"/>
      <c r="L233" s="1"/>
      <c r="M233" s="9"/>
      <c r="N233" s="4" t="e">
        <f>VLOOKUP(H233,Clientes!B:D,3,)</f>
        <v>#N/A</v>
      </c>
    </row>
    <row r="234" spans="1:14" hidden="1" x14ac:dyDescent="0.25">
      <c r="A234" s="4" t="str">
        <f t="shared" si="3"/>
        <v>DESPESA DE REPRESENTAÇÃO - -- ()</v>
      </c>
      <c r="B234" s="11">
        <v>46143</v>
      </c>
      <c r="C234" s="4">
        <v>817991</v>
      </c>
      <c r="D234" s="1"/>
      <c r="E234" s="14"/>
      <c r="F234" s="5"/>
      <c r="G234" s="2"/>
      <c r="H234" s="9"/>
      <c r="I234" s="4"/>
      <c r="J234" s="4"/>
      <c r="K234" s="7"/>
      <c r="L234" s="1"/>
      <c r="M234" s="9"/>
      <c r="N234" s="4" t="e">
        <f>VLOOKUP(H234,Clientes!B:D,3,)</f>
        <v>#N/A</v>
      </c>
    </row>
    <row r="235" spans="1:14" hidden="1" x14ac:dyDescent="0.25">
      <c r="A235" s="4" t="str">
        <f t="shared" si="3"/>
        <v>DESPESA DE REPRESENTAÇÃO - -- ()</v>
      </c>
      <c r="B235" s="11">
        <v>46143</v>
      </c>
      <c r="C235" s="4">
        <v>817991</v>
      </c>
      <c r="D235" s="1"/>
      <c r="E235" s="14"/>
      <c r="F235" s="5"/>
      <c r="G235" s="2"/>
      <c r="H235" s="9"/>
      <c r="I235" s="4"/>
      <c r="J235" s="4"/>
      <c r="K235" s="7"/>
      <c r="L235" s="1"/>
      <c r="M235" s="9"/>
      <c r="N235" s="4" t="e">
        <f>VLOOKUP(H235,Clientes!B:D,3,)</f>
        <v>#N/A</v>
      </c>
    </row>
    <row r="236" spans="1:14" hidden="1" x14ac:dyDescent="0.25">
      <c r="A236" s="4" t="str">
        <f t="shared" si="3"/>
        <v>DESPESA DE REPRESENTAÇÃO - -- ()</v>
      </c>
      <c r="B236" s="11">
        <v>46143</v>
      </c>
      <c r="C236" s="4">
        <v>817991</v>
      </c>
      <c r="D236" s="1"/>
      <c r="E236" s="14"/>
      <c r="F236" s="5"/>
      <c r="G236" s="2"/>
      <c r="H236" s="9"/>
      <c r="I236" s="4"/>
      <c r="J236" s="4"/>
      <c r="K236" s="7"/>
      <c r="L236" s="1"/>
      <c r="M236" s="9"/>
      <c r="N236" s="4" t="e">
        <f>VLOOKUP(H236,Clientes!B:D,3,)</f>
        <v>#N/A</v>
      </c>
    </row>
    <row r="237" spans="1:14" hidden="1" x14ac:dyDescent="0.25">
      <c r="A237" s="4" t="str">
        <f t="shared" si="3"/>
        <v>DESPESA DE REPRESENTAÇÃO - -- ()</v>
      </c>
      <c r="B237" s="11">
        <v>46143</v>
      </c>
      <c r="C237" s="4">
        <v>817991</v>
      </c>
      <c r="D237" s="1"/>
      <c r="E237" s="14"/>
      <c r="F237" s="5"/>
      <c r="G237" s="2"/>
      <c r="H237" s="9"/>
      <c r="I237" s="4"/>
      <c r="J237" s="4"/>
      <c r="K237" s="7"/>
      <c r="L237" s="1"/>
      <c r="M237" s="9"/>
      <c r="N237" s="4" t="e">
        <f>VLOOKUP(H237,Clientes!B:D,3,)</f>
        <v>#N/A</v>
      </c>
    </row>
    <row r="238" spans="1:14" hidden="1" x14ac:dyDescent="0.25">
      <c r="A238" s="4" t="str">
        <f t="shared" si="3"/>
        <v>DESPESA DE REPRESENTAÇÃO - -- ()</v>
      </c>
      <c r="B238" s="11">
        <v>46143</v>
      </c>
      <c r="C238" s="4">
        <v>817991</v>
      </c>
      <c r="D238" s="1"/>
      <c r="E238" s="14"/>
      <c r="F238" s="5"/>
      <c r="G238" s="2"/>
      <c r="H238" s="9"/>
      <c r="I238" s="4"/>
      <c r="J238" s="4"/>
      <c r="K238" s="7"/>
      <c r="L238" s="1"/>
      <c r="M238" s="9"/>
      <c r="N238" s="4" t="e">
        <f>VLOOKUP(H238,Clientes!B:D,3,)</f>
        <v>#N/A</v>
      </c>
    </row>
    <row r="239" spans="1:14" hidden="1" x14ac:dyDescent="0.25">
      <c r="A239" s="4" t="str">
        <f t="shared" si="3"/>
        <v>DESPESA DE REPRESENTAÇÃO - -- ()</v>
      </c>
      <c r="B239" s="11">
        <v>46143</v>
      </c>
      <c r="C239" s="4">
        <v>817991</v>
      </c>
      <c r="D239" s="1"/>
      <c r="E239" s="14"/>
      <c r="F239" s="5"/>
      <c r="G239" s="2"/>
      <c r="H239" s="9"/>
      <c r="I239" s="4"/>
      <c r="J239" s="4"/>
      <c r="K239" s="7"/>
      <c r="L239" s="1"/>
      <c r="M239" s="9"/>
      <c r="N239" s="4" t="e">
        <f>VLOOKUP(H239,Clientes!B:D,3,)</f>
        <v>#N/A</v>
      </c>
    </row>
    <row r="240" spans="1:14" hidden="1" x14ac:dyDescent="0.25">
      <c r="A240" s="4" t="str">
        <f t="shared" si="3"/>
        <v>DESPESA DE REPRESENTAÇÃO - -- ()</v>
      </c>
      <c r="B240" s="11">
        <v>46143</v>
      </c>
      <c r="C240" s="4">
        <v>817991</v>
      </c>
      <c r="D240" s="1"/>
      <c r="E240" s="14"/>
      <c r="F240" s="5"/>
      <c r="G240" s="2"/>
      <c r="H240" s="9"/>
      <c r="I240" s="4"/>
      <c r="J240" s="4"/>
      <c r="K240" s="7"/>
      <c r="L240" s="1"/>
      <c r="M240" s="9"/>
      <c r="N240" s="4" t="e">
        <f>VLOOKUP(H240,Clientes!B:D,3,)</f>
        <v>#N/A</v>
      </c>
    </row>
  </sheetData>
  <autoFilter ref="A1:R240" xr:uid="{79B92028-2875-4EEA-8408-7ECAF5249A35}">
    <filterColumn colId="3">
      <filters>
        <filter val="CLAUDIA TAVARES FERNANDES"/>
        <filter val="CLAUDIO DE SOUZA PACINI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3B66-F97E-41CA-ABE8-D32EB3AABA52}">
  <sheetPr codeName="Sheet3"/>
  <dimension ref="A1:N213"/>
  <sheetViews>
    <sheetView showGridLines="0" zoomScaleNormal="100" workbookViewId="0">
      <selection activeCell="D28" sqref="D28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x14ac:dyDescent="0.25">
      <c r="A2" s="4" t="str">
        <f t="shared" ref="A2:A65" si="0">CONCATENATE($J$1,J2,$I$3,M2,$I$3,L2,$I$1,K2,$I$2)</f>
        <v>DESPESA DE REPRESENTAÇÃO - VIAGEM NYBROKERPAOLO FRANCA LIDA (143517-3998PI</v>
      </c>
      <c r="B2" s="11">
        <v>46174</v>
      </c>
      <c r="C2" s="4">
        <v>817991</v>
      </c>
      <c r="D2" s="1" t="s">
        <v>772</v>
      </c>
      <c r="E2" s="14">
        <v>-19480.560000000001</v>
      </c>
      <c r="F2" s="5" t="s">
        <v>389</v>
      </c>
      <c r="G2" s="2">
        <v>46184</v>
      </c>
      <c r="H2" s="9">
        <v>1170</v>
      </c>
      <c r="I2" s="4"/>
      <c r="J2" s="4" t="s">
        <v>1631</v>
      </c>
      <c r="K2" s="7" t="s">
        <v>1632</v>
      </c>
      <c r="L2" s="1" t="s">
        <v>772</v>
      </c>
      <c r="M2" s="9" t="s">
        <v>2</v>
      </c>
      <c r="N2" s="4" t="str">
        <f>VLOOKUP(H2,Clientes!B:D,3,)</f>
        <v>BGC LIQUIDEZ DTVM LTDA</v>
      </c>
    </row>
    <row r="3" spans="1:14" x14ac:dyDescent="0.25">
      <c r="A3" s="4" t="str">
        <f t="shared" si="0"/>
        <v>DESPESA DE REPRESENTAÇÃO - UBERSALESMARCELLE DA SILVEIRA GIL CADILHE (E-MAIL 01/07/2026</v>
      </c>
      <c r="B3" s="11">
        <v>46174</v>
      </c>
      <c r="C3" s="4">
        <v>817991</v>
      </c>
      <c r="D3" s="1" t="s">
        <v>428</v>
      </c>
      <c r="E3" s="14">
        <v>-873.25</v>
      </c>
      <c r="F3" s="5" t="s">
        <v>388</v>
      </c>
      <c r="G3" s="2">
        <v>46203</v>
      </c>
      <c r="H3" s="9">
        <v>1170</v>
      </c>
      <c r="I3" s="4"/>
      <c r="J3" s="4" t="s">
        <v>659</v>
      </c>
      <c r="K3" s="7" t="s">
        <v>1791</v>
      </c>
      <c r="L3" s="1" t="s">
        <v>658</v>
      </c>
      <c r="M3" s="9" t="s">
        <v>468</v>
      </c>
      <c r="N3" s="4" t="str">
        <f>VLOOKUP(H3,Clientes!B:D,3,)</f>
        <v>BGC LIQUIDEZ DTVM LTDA</v>
      </c>
    </row>
    <row r="4" spans="1:14" x14ac:dyDescent="0.25">
      <c r="A4" s="4" t="str">
        <f t="shared" si="0"/>
        <v>DESPESA DE REPRESENTAÇÃO - UBERSALESMELISSA LEITE FIGUEIREDO ROCHA (E-MAIL 01/07/2026</v>
      </c>
      <c r="B4" s="11">
        <v>46174</v>
      </c>
      <c r="C4" s="4">
        <v>817991</v>
      </c>
      <c r="D4" s="1" t="s">
        <v>428</v>
      </c>
      <c r="E4" s="14">
        <v>-162.85</v>
      </c>
      <c r="F4" s="5" t="s">
        <v>388</v>
      </c>
      <c r="G4" s="2">
        <v>46196</v>
      </c>
      <c r="H4" s="9">
        <v>1170</v>
      </c>
      <c r="I4" s="4"/>
      <c r="J4" s="4" t="s">
        <v>659</v>
      </c>
      <c r="K4" s="7" t="s">
        <v>1791</v>
      </c>
      <c r="L4" s="1" t="s">
        <v>663</v>
      </c>
      <c r="M4" s="9" t="s">
        <v>468</v>
      </c>
      <c r="N4" s="4" t="str">
        <f>VLOOKUP(H4,Clientes!B:D,3,)</f>
        <v>BGC LIQUIDEZ DTVM LTDA</v>
      </c>
    </row>
    <row r="5" spans="1:14" x14ac:dyDescent="0.25">
      <c r="A5" s="4" t="str">
        <f t="shared" si="0"/>
        <v>DESPESA DE REPRESENTAÇÃO - UBERECONOMISTAFELIPE DE SA TAVARES (E-MAIL 01/07/2026</v>
      </c>
      <c r="B5" s="11">
        <v>46174</v>
      </c>
      <c r="C5" s="4">
        <v>817991</v>
      </c>
      <c r="D5" s="1" t="s">
        <v>768</v>
      </c>
      <c r="E5" s="14">
        <v>-114.91</v>
      </c>
      <c r="F5" s="5" t="s">
        <v>388</v>
      </c>
      <c r="G5" s="2">
        <v>46184</v>
      </c>
      <c r="H5" s="9">
        <v>1170</v>
      </c>
      <c r="I5" s="4"/>
      <c r="J5" s="4" t="s">
        <v>659</v>
      </c>
      <c r="K5" s="7" t="s">
        <v>1791</v>
      </c>
      <c r="L5" s="1" t="s">
        <v>768</v>
      </c>
      <c r="M5" s="9" t="s">
        <v>551</v>
      </c>
      <c r="N5" s="4" t="str">
        <f>VLOOKUP(H5,Clientes!B:D,3,)</f>
        <v>BGC LIQUIDEZ DTVM LTDA</v>
      </c>
    </row>
    <row r="6" spans="1:14" x14ac:dyDescent="0.25">
      <c r="A6" s="4" t="str">
        <f t="shared" si="0"/>
        <v>DESPESA DE REPRESENTAÇÃO - TRANSPORTE EXECUTIVO MENSAL DE MAIO CEOERMINIO OLIVI LUCCI (AGENDA 42453</v>
      </c>
      <c r="B6" s="11">
        <v>46174</v>
      </c>
      <c r="C6" s="4">
        <v>817991</v>
      </c>
      <c r="D6" s="1" t="s">
        <v>650</v>
      </c>
      <c r="E6" s="14">
        <v>-2940</v>
      </c>
      <c r="F6" s="5" t="s">
        <v>388</v>
      </c>
      <c r="G6" s="2">
        <v>46183</v>
      </c>
      <c r="H6" s="9">
        <v>1170</v>
      </c>
      <c r="I6" s="4"/>
      <c r="J6" s="4" t="s">
        <v>1621</v>
      </c>
      <c r="K6" s="7" t="s">
        <v>1622</v>
      </c>
      <c r="L6" s="1" t="s">
        <v>650</v>
      </c>
      <c r="M6" s="9" t="s">
        <v>490</v>
      </c>
      <c r="N6" s="4" t="str">
        <f>VLOOKUP(H6,Clientes!B:D,3,)</f>
        <v>BGC LIQUIDEZ DTVM LTDA</v>
      </c>
    </row>
    <row r="7" spans="1:14" x14ac:dyDescent="0.25">
      <c r="A7" s="4" t="str">
        <f t="shared" si="0"/>
        <v>DESPESA DE REPRESENTAÇÃO - TAXI VOLTA AEROPORTO GRUCEOERMINIO OLIVI LUCCI (AGENDA 42453</v>
      </c>
      <c r="B7" s="11">
        <v>46174</v>
      </c>
      <c r="C7" s="4">
        <v>817991</v>
      </c>
      <c r="D7" s="1" t="s">
        <v>650</v>
      </c>
      <c r="E7" s="14">
        <v>-350</v>
      </c>
      <c r="F7" s="5" t="s">
        <v>388</v>
      </c>
      <c r="G7" s="2">
        <v>46183</v>
      </c>
      <c r="H7" s="9">
        <v>1170</v>
      </c>
      <c r="I7" s="4"/>
      <c r="J7" s="4" t="s">
        <v>1620</v>
      </c>
      <c r="K7" s="7" t="s">
        <v>1622</v>
      </c>
      <c r="L7" s="1" t="s">
        <v>650</v>
      </c>
      <c r="M7" s="9" t="s">
        <v>490</v>
      </c>
      <c r="N7" s="4" t="str">
        <f>VLOOKUP(H7,Clientes!B:D,3,)</f>
        <v>BGC LIQUIDEZ DTVM LTDA</v>
      </c>
    </row>
    <row r="8" spans="1:14" x14ac:dyDescent="0.25">
      <c r="A8" s="4" t="str">
        <f t="shared" si="0"/>
        <v>DESPESA DE REPRESENTAÇÃO - TAXI VIAGEM NOVA YORKBROKERPAOLO FRANCA LIDA (172230-3998PI</v>
      </c>
      <c r="B8" s="11">
        <v>46174</v>
      </c>
      <c r="C8" s="4">
        <v>817991</v>
      </c>
      <c r="D8" s="1" t="s">
        <v>772</v>
      </c>
      <c r="E8" s="14">
        <v>-573.87</v>
      </c>
      <c r="F8" s="5" t="s">
        <v>388</v>
      </c>
      <c r="G8" s="2">
        <v>46198</v>
      </c>
      <c r="H8" s="9">
        <v>1170</v>
      </c>
      <c r="I8" s="4"/>
      <c r="J8" s="4" t="s">
        <v>1709</v>
      </c>
      <c r="K8" s="7" t="s">
        <v>1710</v>
      </c>
      <c r="L8" s="1" t="s">
        <v>772</v>
      </c>
      <c r="M8" s="9" t="s">
        <v>2</v>
      </c>
      <c r="N8" s="4" t="str">
        <f>VLOOKUP(H8,Clientes!B:D,3,)</f>
        <v>BGC LIQUIDEZ DTVM LTDA</v>
      </c>
    </row>
    <row r="9" spans="1:14" x14ac:dyDescent="0.25">
      <c r="A9" s="4" t="str">
        <f t="shared" si="0"/>
        <v>DESPESA DE REPRESENTAÇÃO - TAXI VIAGEM NOVA YORKBROKERPAOLO FRANCA LIDA (172606-3998PI</v>
      </c>
      <c r="B9" s="11">
        <v>46174</v>
      </c>
      <c r="C9" s="4">
        <v>817991</v>
      </c>
      <c r="D9" s="1" t="s">
        <v>772</v>
      </c>
      <c r="E9" s="14">
        <v>-651.41999999999996</v>
      </c>
      <c r="F9" s="5" t="s">
        <v>388</v>
      </c>
      <c r="G9" s="2">
        <v>46198</v>
      </c>
      <c r="H9" s="9">
        <v>1170</v>
      </c>
      <c r="I9" s="4"/>
      <c r="J9" s="4" t="s">
        <v>1709</v>
      </c>
      <c r="K9" s="7" t="s">
        <v>1713</v>
      </c>
      <c r="L9" s="1" t="s">
        <v>772</v>
      </c>
      <c r="M9" s="9" t="s">
        <v>2</v>
      </c>
      <c r="N9" s="4" t="str">
        <f>VLOOKUP(H9,Clientes!B:D,3,)</f>
        <v>BGC LIQUIDEZ DTVM LTDA</v>
      </c>
    </row>
    <row r="10" spans="1:14" x14ac:dyDescent="0.25">
      <c r="A10" s="4" t="str">
        <f t="shared" si="0"/>
        <v>DESPESA DE REPRESENTAÇÃO - TAXI REUNIÃO NO RIO DE JANEIROSALESJOSE ANTONIO DEZENE JUNIOR (102810-3688JD</v>
      </c>
      <c r="B10" s="11">
        <v>46174</v>
      </c>
      <c r="C10" s="4">
        <v>817991</v>
      </c>
      <c r="D10" s="1" t="s">
        <v>428</v>
      </c>
      <c r="E10" s="14">
        <v>-260</v>
      </c>
      <c r="F10" s="2" t="s">
        <v>388</v>
      </c>
      <c r="G10" s="2">
        <v>46176</v>
      </c>
      <c r="H10" s="9">
        <v>12413</v>
      </c>
      <c r="I10" s="4"/>
      <c r="J10" s="4" t="s">
        <v>1546</v>
      </c>
      <c r="K10" s="7" t="s">
        <v>1547</v>
      </c>
      <c r="L10" s="9" t="s">
        <v>428</v>
      </c>
      <c r="M10" s="9" t="s">
        <v>468</v>
      </c>
      <c r="N10" s="4" t="str">
        <f>VLOOKUP(H10,Clientes!B:D,3,)</f>
        <v>KAPITALO INVESTIMENTOS LTDA</v>
      </c>
    </row>
    <row r="11" spans="1:14" x14ac:dyDescent="0.25">
      <c r="A11" s="4" t="str">
        <f t="shared" si="0"/>
        <v>DESPESA DE REPRESENTAÇÃO - TAXI NY AEROPORTO X HOTELECONOMISTAFELIPE DE SA TAVARES (171750-3688FT</v>
      </c>
      <c r="B11" s="11">
        <v>46174</v>
      </c>
      <c r="C11" s="4">
        <v>817991</v>
      </c>
      <c r="D11" s="1" t="s">
        <v>768</v>
      </c>
      <c r="E11" s="14">
        <v>-632.5</v>
      </c>
      <c r="F11" s="5" t="s">
        <v>388</v>
      </c>
      <c r="G11" s="2">
        <v>46184</v>
      </c>
      <c r="H11" s="9">
        <v>1170</v>
      </c>
      <c r="I11" s="4"/>
      <c r="J11" s="4" t="s">
        <v>1582</v>
      </c>
      <c r="K11" s="7" t="s">
        <v>1583</v>
      </c>
      <c r="L11" s="1" t="s">
        <v>768</v>
      </c>
      <c r="M11" s="9" t="s">
        <v>551</v>
      </c>
      <c r="N11" s="4" t="str">
        <f>VLOOKUP(H11,Clientes!B:D,3,)</f>
        <v>BGC LIQUIDEZ DTVM LTDA</v>
      </c>
    </row>
    <row r="12" spans="1:14" x14ac:dyDescent="0.25">
      <c r="A12" s="4" t="str">
        <f t="shared" si="0"/>
        <v>DESPESA DE REPRESENTAÇÃO - TAXI NYBROKERPAOLO FRANCA LIDA (145623-3998PI</v>
      </c>
      <c r="B12" s="11">
        <v>46174</v>
      </c>
      <c r="C12" s="4">
        <v>817991</v>
      </c>
      <c r="D12" s="1" t="s">
        <v>772</v>
      </c>
      <c r="E12" s="14">
        <v>-217.14</v>
      </c>
      <c r="F12" s="5" t="s">
        <v>388</v>
      </c>
      <c r="G12" s="2">
        <v>46184</v>
      </c>
      <c r="H12" s="9">
        <v>1170</v>
      </c>
      <c r="I12" s="4"/>
      <c r="J12" s="4" t="s">
        <v>1610</v>
      </c>
      <c r="K12" s="7" t="s">
        <v>1602</v>
      </c>
      <c r="L12" s="1" t="s">
        <v>772</v>
      </c>
      <c r="M12" s="9" t="s">
        <v>2</v>
      </c>
      <c r="N12" s="4" t="str">
        <f>VLOOKUP(H12,Clientes!B:D,3,)</f>
        <v>BGC LIQUIDEZ DTVM LTDA</v>
      </c>
    </row>
    <row r="13" spans="1:14" x14ac:dyDescent="0.25">
      <c r="A13" s="4" t="str">
        <f t="shared" si="0"/>
        <v>DESPESA DE REPRESENTAÇÃO - TAXI IDA AEROPORTO GRU CEOERMINIO OLIVI LUCCI (AGENDA 42453</v>
      </c>
      <c r="B13" s="11">
        <v>46174</v>
      </c>
      <c r="C13" s="4">
        <v>817991</v>
      </c>
      <c r="D13" s="1" t="s">
        <v>650</v>
      </c>
      <c r="E13" s="14">
        <v>-350</v>
      </c>
      <c r="F13" s="5" t="s">
        <v>388</v>
      </c>
      <c r="G13" s="2">
        <v>46183</v>
      </c>
      <c r="H13" s="9">
        <v>1170</v>
      </c>
      <c r="I13" s="4"/>
      <c r="J13" s="4" t="s">
        <v>1619</v>
      </c>
      <c r="K13" s="7" t="s">
        <v>1622</v>
      </c>
      <c r="L13" s="1" t="s">
        <v>650</v>
      </c>
      <c r="M13" s="9" t="s">
        <v>490</v>
      </c>
      <c r="N13" s="4" t="str">
        <f>VLOOKUP(H13,Clientes!B:D,3,)</f>
        <v>BGC LIQUIDEZ DTVM LTDA</v>
      </c>
    </row>
    <row r="14" spans="1:14" x14ac:dyDescent="0.25">
      <c r="A14" s="4" t="str">
        <f t="shared" si="0"/>
        <v>DESPESA DE REPRESENTAÇÃO - TAXI IDA AEROPORTO GRU CEOERMINIO OLIVI LUCCI (AGENDA 42453</v>
      </c>
      <c r="B14" s="11">
        <v>46174</v>
      </c>
      <c r="C14" s="4">
        <v>817991</v>
      </c>
      <c r="D14" s="1" t="s">
        <v>650</v>
      </c>
      <c r="E14" s="14">
        <v>-350</v>
      </c>
      <c r="F14" s="5" t="s">
        <v>388</v>
      </c>
      <c r="G14" s="2">
        <v>46183</v>
      </c>
      <c r="H14" s="9">
        <v>1170</v>
      </c>
      <c r="I14" s="4"/>
      <c r="J14" s="4" t="s">
        <v>1619</v>
      </c>
      <c r="K14" s="7" t="s">
        <v>1622</v>
      </c>
      <c r="L14" s="1" t="s">
        <v>650</v>
      </c>
      <c r="M14" s="9" t="s">
        <v>490</v>
      </c>
      <c r="N14" s="4" t="str">
        <f>VLOOKUP(H14,Clientes!B:D,3,)</f>
        <v>BGC LIQUIDEZ DTVM LTDA</v>
      </c>
    </row>
    <row r="15" spans="1:14" x14ac:dyDescent="0.25">
      <c r="A15" s="4" t="str">
        <f t="shared" si="0"/>
        <v>DESPESA DE REPRESENTAÇÃO - TAXI AEROPORTO NYECONOMISTAFELIPE DE SA TAVARES (171355-3688FT</v>
      </c>
      <c r="B15" s="11">
        <v>46174</v>
      </c>
      <c r="C15" s="4">
        <v>817991</v>
      </c>
      <c r="D15" s="1" t="s">
        <v>768</v>
      </c>
      <c r="E15" s="14">
        <v>-914.38</v>
      </c>
      <c r="F15" s="5" t="s">
        <v>388</v>
      </c>
      <c r="G15" s="2">
        <v>46184</v>
      </c>
      <c r="H15" s="9">
        <v>1170</v>
      </c>
      <c r="I15" s="4"/>
      <c r="J15" s="4" t="s">
        <v>1584</v>
      </c>
      <c r="K15" s="7" t="s">
        <v>1585</v>
      </c>
      <c r="L15" s="1" t="s">
        <v>768</v>
      </c>
      <c r="M15" s="9" t="s">
        <v>551</v>
      </c>
      <c r="N15" s="4" t="str">
        <f>VLOOKUP(H15,Clientes!B:D,3,)</f>
        <v>BGC LIQUIDEZ DTVM LTDA</v>
      </c>
    </row>
    <row r="16" spans="1:14" x14ac:dyDescent="0.25">
      <c r="A16" s="4" t="str">
        <f t="shared" si="0"/>
        <v>DESPESA DE REPRESENTAÇÃO - TAXI AEROPORTOECONOMISTAFELIPE DE SA TAVARES (171909-3688FT</v>
      </c>
      <c r="B16" s="11">
        <v>46174</v>
      </c>
      <c r="C16" s="4">
        <v>817991</v>
      </c>
      <c r="D16" s="1" t="s">
        <v>768</v>
      </c>
      <c r="E16" s="14">
        <v>-228</v>
      </c>
      <c r="F16" s="5" t="s">
        <v>388</v>
      </c>
      <c r="G16" s="2">
        <v>46184</v>
      </c>
      <c r="H16" s="9">
        <v>1170</v>
      </c>
      <c r="I16" s="4"/>
      <c r="J16" s="4" t="s">
        <v>1571</v>
      </c>
      <c r="K16" s="7" t="s">
        <v>1572</v>
      </c>
      <c r="L16" s="1" t="s">
        <v>768</v>
      </c>
      <c r="M16" s="9" t="s">
        <v>551</v>
      </c>
      <c r="N16" s="4" t="str">
        <f>VLOOKUP(H16,Clientes!B:D,3,)</f>
        <v>BGC LIQUIDEZ DTVM LTDA</v>
      </c>
    </row>
    <row r="17" spans="1:14" x14ac:dyDescent="0.25">
      <c r="A17" s="4" t="str">
        <f t="shared" si="0"/>
        <v>DESPESA DE REPRESENTAÇÃO - TAXI AEROPORTOBROKERPAOLO FRANCA LIDA (144605-3998PI</v>
      </c>
      <c r="B17" s="11">
        <v>46174</v>
      </c>
      <c r="C17" s="4">
        <v>817991</v>
      </c>
      <c r="D17" s="1" t="s">
        <v>772</v>
      </c>
      <c r="E17" s="14">
        <v>-672.1</v>
      </c>
      <c r="F17" s="5" t="s">
        <v>388</v>
      </c>
      <c r="G17" s="2">
        <v>46184</v>
      </c>
      <c r="H17" s="9">
        <v>1170</v>
      </c>
      <c r="I17" s="4"/>
      <c r="J17" s="4" t="s">
        <v>1571</v>
      </c>
      <c r="K17" s="7" t="s">
        <v>1604</v>
      </c>
      <c r="L17" s="1" t="s">
        <v>772</v>
      </c>
      <c r="M17" s="9" t="s">
        <v>2</v>
      </c>
      <c r="N17" s="4" t="str">
        <f>VLOOKUP(H17,Clientes!B:D,3,)</f>
        <v>BGC LIQUIDEZ DTVM LTDA</v>
      </c>
    </row>
    <row r="18" spans="1:14" x14ac:dyDescent="0.25">
      <c r="A18" s="4" t="str">
        <f t="shared" si="0"/>
        <v>DESPESA DE REPRESENTAÇÃO - TAXA DE CANCELAMENTO DE HOSPEDAGEM QUALITY HOTELBROKERGUSTAVO D ELBOUX FERRIELLO (AGENDA 42153</v>
      </c>
      <c r="B18" s="11">
        <v>46174</v>
      </c>
      <c r="C18" s="4">
        <v>817991</v>
      </c>
      <c r="D18" s="16" t="s">
        <v>615</v>
      </c>
      <c r="E18" s="14">
        <v>-10</v>
      </c>
      <c r="F18" s="2" t="s">
        <v>667</v>
      </c>
      <c r="G18" s="2">
        <v>46174</v>
      </c>
      <c r="H18" s="9">
        <v>1170</v>
      </c>
      <c r="I18" s="4" t="s">
        <v>333</v>
      </c>
      <c r="J18" s="4" t="s">
        <v>1531</v>
      </c>
      <c r="K18" s="7" t="s">
        <v>1532</v>
      </c>
      <c r="L18" s="16" t="s">
        <v>615</v>
      </c>
      <c r="M18" s="9" t="s">
        <v>2</v>
      </c>
      <c r="N18" s="4" t="str">
        <f>VLOOKUP(H18,Clientes!B:D,3,)</f>
        <v>BGC LIQUIDEZ DTVM LTDA</v>
      </c>
    </row>
    <row r="19" spans="1:14" x14ac:dyDescent="0.25">
      <c r="A19" s="4" t="str">
        <f t="shared" si="0"/>
        <v>DESPESA DE REPRESENTAÇÃO - TARIFA HOTEL ATLANTICO COPACABANA SALESMELISSA LEITE FIGUEIREDO ROCHA (AGENDA 42512</v>
      </c>
      <c r="B19" s="11">
        <v>46174</v>
      </c>
      <c r="C19" s="4">
        <v>817991</v>
      </c>
      <c r="D19" s="1" t="s">
        <v>428</v>
      </c>
      <c r="E19" s="14">
        <v>-120.79</v>
      </c>
      <c r="F19" s="5" t="s">
        <v>422</v>
      </c>
      <c r="G19" s="2">
        <v>46195</v>
      </c>
      <c r="H19" s="9">
        <v>1170</v>
      </c>
      <c r="I19" s="4"/>
      <c r="J19" s="4" t="s">
        <v>1720</v>
      </c>
      <c r="K19" s="7" t="s">
        <v>1721</v>
      </c>
      <c r="L19" s="1" t="s">
        <v>663</v>
      </c>
      <c r="M19" s="9" t="s">
        <v>468</v>
      </c>
      <c r="N19" s="4" t="str">
        <f>VLOOKUP(H19,Clientes!B:D,3,)</f>
        <v>BGC LIQUIDEZ DTVM LTDA</v>
      </c>
    </row>
    <row r="20" spans="1:14" x14ac:dyDescent="0.25">
      <c r="A20" s="4" t="str">
        <f t="shared" si="0"/>
        <v>DESPESA DE REPRESENTAÇÃO - REEMBOLSO REFERENTE AOS DOLARES COMPRADOS NO CARTÃO CORPORATIVOCEOERMINIO OLIVI LUCCI (AGENDA 42594</v>
      </c>
      <c r="B20" s="11">
        <v>46174</v>
      </c>
      <c r="C20" s="4">
        <v>817991</v>
      </c>
      <c r="D20" s="1" t="s">
        <v>650</v>
      </c>
      <c r="E20" s="14">
        <v>451.02</v>
      </c>
      <c r="F20" s="36" t="s">
        <v>389</v>
      </c>
      <c r="G20" s="2">
        <v>46190</v>
      </c>
      <c r="H20" s="9">
        <v>1170</v>
      </c>
      <c r="J20" s="4" t="s">
        <v>1788</v>
      </c>
      <c r="K20" s="7" t="s">
        <v>1789</v>
      </c>
      <c r="L20" s="1" t="s">
        <v>650</v>
      </c>
      <c r="M20" s="9" t="s">
        <v>490</v>
      </c>
      <c r="N20" s="4" t="str">
        <f>VLOOKUP(H20,Clientes!B:D,3,)</f>
        <v>BGC LIQUIDEZ DTVM LTDA</v>
      </c>
    </row>
    <row r="21" spans="1:14" x14ac:dyDescent="0.25">
      <c r="A21" s="4" t="str">
        <f t="shared" si="0"/>
        <v>DESPESA DE REPRESENTAÇÃO - REEMBOLSO INGRESSO WIMBLEDON DE 2025CEOERMINIO OLIVI LUCCI (AGENDA 42620</v>
      </c>
      <c r="B21" s="11">
        <v>46174</v>
      </c>
      <c r="C21" s="4">
        <v>817991</v>
      </c>
      <c r="D21" s="1" t="s">
        <v>650</v>
      </c>
      <c r="E21" s="14">
        <v>26391.96</v>
      </c>
      <c r="F21" s="5" t="s">
        <v>387</v>
      </c>
      <c r="G21" s="2">
        <v>46192</v>
      </c>
      <c r="H21" s="9">
        <v>1170</v>
      </c>
      <c r="I21" s="4"/>
      <c r="J21" s="4" t="s">
        <v>2704</v>
      </c>
      <c r="K21" s="7" t="s">
        <v>1770</v>
      </c>
      <c r="L21" s="1" t="s">
        <v>650</v>
      </c>
      <c r="M21" s="9" t="s">
        <v>490</v>
      </c>
      <c r="N21" s="4" t="str">
        <f>VLOOKUP(H21,Clientes!B:D,3,)</f>
        <v>BGC LIQUIDEZ DTVM LTDA</v>
      </c>
    </row>
    <row r="22" spans="1:14" x14ac:dyDescent="0.25">
      <c r="A22" s="4" t="str">
        <f t="shared" si="0"/>
        <v>DESPESA DE REPRESENTAÇÃO - PASSAGEM SÃO PAULO X RIO DE JANEIROSALESMELISSA LEITE FIGUEIREDO ROCHA (AGENDA 42303</v>
      </c>
      <c r="B22" s="11">
        <v>46174</v>
      </c>
      <c r="C22" s="4">
        <v>817991</v>
      </c>
      <c r="D22" s="1" t="s">
        <v>428</v>
      </c>
      <c r="E22" s="14">
        <v>-2118.67</v>
      </c>
      <c r="F22" s="5" t="s">
        <v>388</v>
      </c>
      <c r="G22" s="2">
        <v>46188</v>
      </c>
      <c r="H22" s="9">
        <v>1170</v>
      </c>
      <c r="I22" s="4"/>
      <c r="J22" s="4" t="s">
        <v>756</v>
      </c>
      <c r="K22" s="7" t="s">
        <v>1566</v>
      </c>
      <c r="L22" s="1" t="s">
        <v>663</v>
      </c>
      <c r="M22" s="9" t="s">
        <v>468</v>
      </c>
      <c r="N22" s="4" t="str">
        <f>VLOOKUP(H22,Clientes!B:D,3,)</f>
        <v>BGC LIQUIDEZ DTVM LTDA</v>
      </c>
    </row>
    <row r="23" spans="1:14" x14ac:dyDescent="0.25">
      <c r="A23" s="4" t="str">
        <f t="shared" si="0"/>
        <v>DESPESA DE REPRESENTAÇÃO - PASSAGEM SÃO PAULO X RIO DE JANEIROSALESMARCELLE DA SILVEIRA GIL CADILHE (AGENDA 42570</v>
      </c>
      <c r="B23" s="11">
        <v>46174</v>
      </c>
      <c r="C23" s="4">
        <v>817991</v>
      </c>
      <c r="D23" s="1" t="s">
        <v>428</v>
      </c>
      <c r="E23" s="14">
        <v>-909.3</v>
      </c>
      <c r="F23" s="5" t="s">
        <v>388</v>
      </c>
      <c r="G23" s="2">
        <v>46188</v>
      </c>
      <c r="H23" s="9">
        <v>1170</v>
      </c>
      <c r="I23" s="4"/>
      <c r="J23" s="4" t="s">
        <v>756</v>
      </c>
      <c r="K23" s="7" t="s">
        <v>1763</v>
      </c>
      <c r="L23" s="1" t="s">
        <v>658</v>
      </c>
      <c r="M23" s="9" t="s">
        <v>468</v>
      </c>
      <c r="N23" s="4" t="str">
        <f>VLOOKUP(H23,Clientes!B:D,3,)</f>
        <v>BGC LIQUIDEZ DTVM LTDA</v>
      </c>
    </row>
    <row r="24" spans="1:14" x14ac:dyDescent="0.25">
      <c r="A24" s="4" t="str">
        <f t="shared" si="0"/>
        <v>DESPESA DE REPRESENTAÇÃO - PASSAGEM SÃO PAULO X RIO DE JANEIROBROKERANDRE WATT VIANNA (AGENDA 42570</v>
      </c>
      <c r="B24" s="11">
        <v>46174</v>
      </c>
      <c r="C24" s="4">
        <v>817991</v>
      </c>
      <c r="D24" s="1" t="s">
        <v>23</v>
      </c>
      <c r="E24" s="14">
        <v>-485.84</v>
      </c>
      <c r="F24" s="5" t="s">
        <v>388</v>
      </c>
      <c r="G24" s="2">
        <v>46188</v>
      </c>
      <c r="H24" s="9">
        <v>1170</v>
      </c>
      <c r="I24" s="4"/>
      <c r="J24" s="4" t="s">
        <v>756</v>
      </c>
      <c r="K24" s="7" t="s">
        <v>1763</v>
      </c>
      <c r="L24" s="1" t="s">
        <v>670</v>
      </c>
      <c r="M24" s="9" t="s">
        <v>2</v>
      </c>
      <c r="N24" s="4" t="str">
        <f>VLOOKUP(H24,Clientes!B:D,3,)</f>
        <v>BGC LIQUIDEZ DTVM LTDA</v>
      </c>
    </row>
    <row r="25" spans="1:14" x14ac:dyDescent="0.25">
      <c r="A25" s="4" t="str">
        <f t="shared" si="0"/>
        <v>DESPESA DE REPRESENTAÇÃO - PASSAGEM SÃO PAULO X NY IDABROKERPAOLO FRANCA LIDA (144249-3998PI</v>
      </c>
      <c r="B25" s="11">
        <v>46174</v>
      </c>
      <c r="C25" s="4">
        <v>817991</v>
      </c>
      <c r="D25" s="1" t="s">
        <v>772</v>
      </c>
      <c r="E25" s="14">
        <v>-9031.99</v>
      </c>
      <c r="F25" s="5" t="s">
        <v>388</v>
      </c>
      <c r="G25" s="2">
        <v>46184</v>
      </c>
      <c r="H25" s="9">
        <v>1170</v>
      </c>
      <c r="I25" s="4"/>
      <c r="J25" s="4" t="s">
        <v>1608</v>
      </c>
      <c r="K25" s="7" t="s">
        <v>1607</v>
      </c>
      <c r="L25" s="1" t="s">
        <v>772</v>
      </c>
      <c r="M25" s="9" t="s">
        <v>2</v>
      </c>
      <c r="N25" s="4" t="str">
        <f>VLOOKUP(H25,Clientes!B:D,3,)</f>
        <v>BGC LIQUIDEZ DTVM LTDA</v>
      </c>
    </row>
    <row r="26" spans="1:14" x14ac:dyDescent="0.25">
      <c r="A26" s="4" t="str">
        <f t="shared" si="0"/>
        <v>DESPESA DE REPRESENTAÇÃO - PASSAGEM SÃO PAULO X NYBROKERRAFAEL TENORIO CAVALCANTI (105805-3688RC</v>
      </c>
      <c r="B26" s="11">
        <v>46174</v>
      </c>
      <c r="C26" s="4">
        <v>817991</v>
      </c>
      <c r="D26" s="1" t="s">
        <v>646</v>
      </c>
      <c r="E26" s="14">
        <v>-7447</v>
      </c>
      <c r="F26" s="5" t="s">
        <v>388</v>
      </c>
      <c r="G26" s="2">
        <v>46176</v>
      </c>
      <c r="H26" s="9">
        <v>1170</v>
      </c>
      <c r="I26" s="4"/>
      <c r="J26" s="4" t="s">
        <v>1481</v>
      </c>
      <c r="K26" s="7" t="s">
        <v>1565</v>
      </c>
      <c r="L26" s="1" t="s">
        <v>646</v>
      </c>
      <c r="M26" s="9" t="s">
        <v>2</v>
      </c>
      <c r="N26" s="4" t="str">
        <f>VLOOKUP(H26,Clientes!B:D,3,)</f>
        <v>BGC LIQUIDEZ DTVM LTDA</v>
      </c>
    </row>
    <row r="27" spans="1:14" x14ac:dyDescent="0.25">
      <c r="A27" s="4" t="str">
        <f t="shared" si="0"/>
        <v>DESPESA DE REPRESENTAÇÃO - PASSAGEM SÃO PAULO X NYBROKERPAOLO FRANCA LIDA (150817-3998PI</v>
      </c>
      <c r="B27" s="11">
        <v>46174</v>
      </c>
      <c r="C27" s="4">
        <v>817991</v>
      </c>
      <c r="D27" s="1" t="s">
        <v>772</v>
      </c>
      <c r="E27" s="14">
        <v>-8447</v>
      </c>
      <c r="F27" s="5" t="s">
        <v>388</v>
      </c>
      <c r="G27" s="2">
        <v>46184</v>
      </c>
      <c r="H27" s="9">
        <v>1170</v>
      </c>
      <c r="I27" s="4"/>
      <c r="J27" s="4" t="s">
        <v>1481</v>
      </c>
      <c r="K27" s="7" t="s">
        <v>1598</v>
      </c>
      <c r="L27" s="1" t="s">
        <v>772</v>
      </c>
      <c r="M27" s="9" t="s">
        <v>2</v>
      </c>
      <c r="N27" s="4" t="str">
        <f>VLOOKUP(H27,Clientes!B:D,3,)</f>
        <v>BGC LIQUIDEZ DTVM LTDA</v>
      </c>
    </row>
    <row r="28" spans="1:14" x14ac:dyDescent="0.25">
      <c r="A28" s="4" t="str">
        <f t="shared" si="0"/>
        <v>DESPESA DE REPRESENTAÇÃO - PASSAGEM SÃO PAULO X BRASÍLIACONSULTORIACLAUDIA TAVARES FERNANDES (AGENDA 42315</v>
      </c>
      <c r="B28" s="11">
        <v>46174</v>
      </c>
      <c r="C28" s="4">
        <v>817991</v>
      </c>
      <c r="D28" s="1" t="s">
        <v>539</v>
      </c>
      <c r="E28" s="14">
        <v>-2838.08</v>
      </c>
      <c r="F28" s="5" t="s">
        <v>388</v>
      </c>
      <c r="G28" s="2">
        <v>46183</v>
      </c>
      <c r="H28" s="9">
        <v>1170</v>
      </c>
      <c r="I28" s="4"/>
      <c r="J28" s="4" t="s">
        <v>1065</v>
      </c>
      <c r="K28" s="7" t="s">
        <v>1567</v>
      </c>
      <c r="L28" s="1" t="s">
        <v>539</v>
      </c>
      <c r="M28" s="9" t="s">
        <v>1479</v>
      </c>
      <c r="N28" s="4" t="str">
        <f>VLOOKUP(H28,Clientes!B:D,3,)</f>
        <v>BGC LIQUIDEZ DTVM LTDA</v>
      </c>
    </row>
    <row r="29" spans="1:14" x14ac:dyDescent="0.25">
      <c r="A29" s="4" t="str">
        <f t="shared" si="0"/>
        <v>DESPESA DE REPRESENTAÇÃO - MENSALIDADE DA ASSOCIAÇÃO AO WTC BUSSINESS CLUBCEOERMINIO OLIVI LUCCI (AGENDA 42293</v>
      </c>
      <c r="B29" s="11">
        <v>46174</v>
      </c>
      <c r="C29" s="4">
        <v>817991</v>
      </c>
      <c r="D29" s="1" t="s">
        <v>650</v>
      </c>
      <c r="E29" s="14">
        <v>-2000</v>
      </c>
      <c r="F29" s="5" t="s">
        <v>389</v>
      </c>
      <c r="G29" s="2">
        <v>46192</v>
      </c>
      <c r="H29" s="9">
        <v>1170</v>
      </c>
      <c r="I29" s="4"/>
      <c r="J29" s="4" t="s">
        <v>507</v>
      </c>
      <c r="K29" s="7" t="s">
        <v>1762</v>
      </c>
      <c r="L29" s="1" t="s">
        <v>650</v>
      </c>
      <c r="M29" s="9" t="s">
        <v>490</v>
      </c>
      <c r="N29" s="4" t="str">
        <f>VLOOKUP(H29,Clientes!B:D,3,)</f>
        <v>BGC LIQUIDEZ DTVM LTDA</v>
      </c>
    </row>
    <row r="30" spans="1:14" x14ac:dyDescent="0.25">
      <c r="A30" s="4" t="str">
        <f t="shared" si="0"/>
        <v>DESPESA DE REPRESENTAÇÃO - JOGO DE CAMA - FLATBROKERCHRISTIANO MARCONDES DE BARROS LIMA (AGENDA 42648</v>
      </c>
      <c r="B30" s="11">
        <v>46174</v>
      </c>
      <c r="C30" s="4">
        <v>817991</v>
      </c>
      <c r="D30" s="1" t="s">
        <v>60</v>
      </c>
      <c r="E30" s="14">
        <v>-103.47499999999999</v>
      </c>
      <c r="F30" s="5" t="s">
        <v>422</v>
      </c>
      <c r="G30" s="2">
        <v>46199</v>
      </c>
      <c r="H30" s="9">
        <v>1170</v>
      </c>
      <c r="I30" s="4"/>
      <c r="J30" s="4" t="s">
        <v>1764</v>
      </c>
      <c r="K30" s="7" t="s">
        <v>1765</v>
      </c>
      <c r="L30" s="1" t="s">
        <v>60</v>
      </c>
      <c r="M30" s="9" t="s">
        <v>2</v>
      </c>
      <c r="N30" s="4" t="str">
        <f>VLOOKUP(H30,Clientes!B:D,3,)</f>
        <v>BGC LIQUIDEZ DTVM LTDA</v>
      </c>
    </row>
    <row r="31" spans="1:14" x14ac:dyDescent="0.25">
      <c r="A31" s="4" t="str">
        <f t="shared" si="0"/>
        <v>DESPESA DE REPRESENTAÇÃO - JOGO DE CAMA - FLATBROKERJOSE MAURICIO GOMES TEIXEIRA (AGENDA 42648</v>
      </c>
      <c r="B31" s="11">
        <v>46174</v>
      </c>
      <c r="C31" s="4">
        <v>817991</v>
      </c>
      <c r="D31" s="1" t="s">
        <v>23</v>
      </c>
      <c r="E31" s="14">
        <v>-103.47499999999999</v>
      </c>
      <c r="F31" s="5" t="s">
        <v>422</v>
      </c>
      <c r="G31" s="2">
        <v>46199</v>
      </c>
      <c r="H31" s="9">
        <v>1170</v>
      </c>
      <c r="I31" s="4"/>
      <c r="J31" s="4" t="s">
        <v>1764</v>
      </c>
      <c r="K31" s="7" t="s">
        <v>1765</v>
      </c>
      <c r="L31" s="1" t="s">
        <v>23</v>
      </c>
      <c r="M31" s="9" t="s">
        <v>2</v>
      </c>
      <c r="N31" s="4" t="str">
        <f>VLOOKUP(H31,Clientes!B:D,3,)</f>
        <v>BGC LIQUIDEZ DTVM LTDA</v>
      </c>
    </row>
    <row r="32" spans="1:14" x14ac:dyDescent="0.25">
      <c r="A32" s="4" t="str">
        <f t="shared" si="0"/>
        <v>DESPESA DE REPRESENTAÇÃO - JOGO DE CAMA - FLATGESTORANDRE HALL ACCIOLY (AGENDA 42648</v>
      </c>
      <c r="B32" s="11">
        <v>46174</v>
      </c>
      <c r="C32" s="4">
        <v>817991</v>
      </c>
      <c r="D32" s="1" t="s">
        <v>423</v>
      </c>
      <c r="E32" s="14">
        <v>-206.95</v>
      </c>
      <c r="F32" s="5" t="s">
        <v>422</v>
      </c>
      <c r="G32" s="2">
        <v>46199</v>
      </c>
      <c r="H32" s="9">
        <v>1170</v>
      </c>
      <c r="I32" s="4"/>
      <c r="J32" s="4" t="s">
        <v>1764</v>
      </c>
      <c r="K32" s="7" t="s">
        <v>1765</v>
      </c>
      <c r="L32" s="1" t="s">
        <v>742</v>
      </c>
      <c r="M32" s="9" t="s">
        <v>598</v>
      </c>
      <c r="N32" s="4" t="str">
        <f>VLOOKUP(H32,Clientes!B:D,3,)</f>
        <v>BGC LIQUIDEZ DTVM LTDA</v>
      </c>
    </row>
    <row r="33" spans="1:14" x14ac:dyDescent="0.25">
      <c r="A33" s="4" t="str">
        <f t="shared" si="0"/>
        <v>DESPESA DE REPRESENTAÇÃO - JOGO DE CAMA - FLATBROKERCHRISTIANO MARCONDES DE BARROS LIMA (AGENDA 42649</v>
      </c>
      <c r="B33" s="11">
        <v>46174</v>
      </c>
      <c r="C33" s="4">
        <v>817991</v>
      </c>
      <c r="D33" s="1" t="s">
        <v>60</v>
      </c>
      <c r="E33" s="14">
        <v>-103.47499999999999</v>
      </c>
      <c r="F33" s="5" t="s">
        <v>422</v>
      </c>
      <c r="G33" s="2">
        <v>46199</v>
      </c>
      <c r="H33" s="9">
        <v>1170</v>
      </c>
      <c r="I33" s="4"/>
      <c r="J33" s="4" t="s">
        <v>1764</v>
      </c>
      <c r="K33" s="7" t="s">
        <v>1766</v>
      </c>
      <c r="L33" s="1" t="s">
        <v>60</v>
      </c>
      <c r="M33" s="9" t="s">
        <v>2</v>
      </c>
      <c r="N33" s="4" t="str">
        <f>VLOOKUP(H33,Clientes!B:D,3,)</f>
        <v>BGC LIQUIDEZ DTVM LTDA</v>
      </c>
    </row>
    <row r="34" spans="1:14" x14ac:dyDescent="0.25">
      <c r="A34" s="4" t="str">
        <f t="shared" si="0"/>
        <v>DESPESA DE REPRESENTAÇÃO - JOGO DE CAMA - FLATBROKERJOSE MAURICIO GOMES TEIXEIRA (AGENDA 42649</v>
      </c>
      <c r="B34" s="11">
        <v>46174</v>
      </c>
      <c r="C34" s="4">
        <v>817991</v>
      </c>
      <c r="D34" s="1" t="s">
        <v>23</v>
      </c>
      <c r="E34" s="14">
        <v>-103.47499999999999</v>
      </c>
      <c r="F34" s="5" t="s">
        <v>422</v>
      </c>
      <c r="G34" s="2">
        <v>46199</v>
      </c>
      <c r="H34" s="9">
        <v>1170</v>
      </c>
      <c r="I34" s="4"/>
      <c r="J34" s="4" t="s">
        <v>1764</v>
      </c>
      <c r="K34" s="7" t="s">
        <v>1766</v>
      </c>
      <c r="L34" s="1" t="s">
        <v>23</v>
      </c>
      <c r="M34" s="9" t="s">
        <v>2</v>
      </c>
      <c r="N34" s="4" t="str">
        <f>VLOOKUP(H34,Clientes!B:D,3,)</f>
        <v>BGC LIQUIDEZ DTVM LTDA</v>
      </c>
    </row>
    <row r="35" spans="1:14" x14ac:dyDescent="0.25">
      <c r="A35" s="4" t="str">
        <f t="shared" si="0"/>
        <v>DESPESA DE REPRESENTAÇÃO - JOGO DE CAMA - FLATGESTORANDRE HALL ACCIOLY (AGENDA 42649</v>
      </c>
      <c r="B35" s="11">
        <v>46174</v>
      </c>
      <c r="C35" s="4">
        <v>817991</v>
      </c>
      <c r="D35" s="1" t="s">
        <v>423</v>
      </c>
      <c r="E35" s="14">
        <v>-206.95</v>
      </c>
      <c r="F35" s="5" t="s">
        <v>422</v>
      </c>
      <c r="G35" s="2">
        <v>46199</v>
      </c>
      <c r="H35" s="9">
        <v>1170</v>
      </c>
      <c r="I35" s="4"/>
      <c r="J35" s="4" t="s">
        <v>1764</v>
      </c>
      <c r="K35" s="7" t="s">
        <v>1766</v>
      </c>
      <c r="L35" s="1" t="s">
        <v>742</v>
      </c>
      <c r="M35" s="9" t="s">
        <v>598</v>
      </c>
      <c r="N35" s="4" t="str">
        <f>VLOOKUP(H35,Clientes!B:D,3,)</f>
        <v>BGC LIQUIDEZ DTVM LTDA</v>
      </c>
    </row>
    <row r="36" spans="1:14" x14ac:dyDescent="0.25">
      <c r="A36" s="4" t="str">
        <f t="shared" si="0"/>
        <v>DESPESA DE REPRESENTAÇÃO - JANTAR NY BROKERPAOLO FRANCA LIDA (150658-3998PI</v>
      </c>
      <c r="B36" s="11">
        <v>46174</v>
      </c>
      <c r="C36" s="4">
        <v>817991</v>
      </c>
      <c r="D36" s="1" t="s">
        <v>772</v>
      </c>
      <c r="E36" s="14">
        <v>-635.91</v>
      </c>
      <c r="F36" s="5" t="s">
        <v>380</v>
      </c>
      <c r="G36" s="2">
        <v>46184</v>
      </c>
      <c r="H36" s="9">
        <v>1170</v>
      </c>
      <c r="I36" s="4"/>
      <c r="J36" s="4" t="s">
        <v>1611</v>
      </c>
      <c r="K36" s="7" t="s">
        <v>1603</v>
      </c>
      <c r="L36" s="1" t="s">
        <v>772</v>
      </c>
      <c r="M36" s="9" t="s">
        <v>2</v>
      </c>
      <c r="N36" s="4" t="str">
        <f>VLOOKUP(H36,Clientes!B:D,3,)</f>
        <v>BGC LIQUIDEZ DTVM LTDA</v>
      </c>
    </row>
    <row r="37" spans="1:14" x14ac:dyDescent="0.25">
      <c r="A37" s="4" t="str">
        <f t="shared" si="0"/>
        <v>DESPESA DE REPRESENTAÇÃO - JANTAR ING BANK NYTRADEREDUARDO CASTRO (070135-3998PI</v>
      </c>
      <c r="B37" s="11">
        <v>46174</v>
      </c>
      <c r="C37" s="4">
        <v>817991</v>
      </c>
      <c r="D37" s="1" t="s">
        <v>772</v>
      </c>
      <c r="E37" s="14">
        <v>-2382.21</v>
      </c>
      <c r="F37" s="5" t="s">
        <v>380</v>
      </c>
      <c r="G37" s="2">
        <v>46184</v>
      </c>
      <c r="H37" s="9">
        <v>1170</v>
      </c>
      <c r="I37" s="4"/>
      <c r="J37" s="4" t="s">
        <v>1609</v>
      </c>
      <c r="K37" s="7" t="s">
        <v>1601</v>
      </c>
      <c r="L37" s="1" t="s">
        <v>791</v>
      </c>
      <c r="M37" s="9" t="s">
        <v>335</v>
      </c>
      <c r="N37" s="4" t="str">
        <f>VLOOKUP(H37,Clientes!B:D,3,)</f>
        <v>BGC LIQUIDEZ DTVM LTDA</v>
      </c>
    </row>
    <row r="38" spans="1:14" x14ac:dyDescent="0.25">
      <c r="A38" s="4" t="str">
        <f t="shared" si="0"/>
        <v>DESPESA DE REPRESENTAÇÃO - JANTAR COM NATIXISTRADERBOSCO PULIDO (113516-3998RC</v>
      </c>
      <c r="B38" s="11">
        <v>46174</v>
      </c>
      <c r="C38" s="4">
        <v>817991</v>
      </c>
      <c r="D38" s="1" t="s">
        <v>646</v>
      </c>
      <c r="E38" s="14">
        <v>-1422</v>
      </c>
      <c r="F38" s="5" t="s">
        <v>380</v>
      </c>
      <c r="G38" s="2">
        <v>46198</v>
      </c>
      <c r="H38" s="9">
        <v>80234</v>
      </c>
      <c r="I38" s="4"/>
      <c r="J38" s="5" t="s">
        <v>1703</v>
      </c>
      <c r="K38" s="7" t="s">
        <v>1698</v>
      </c>
      <c r="L38" s="1" t="s">
        <v>1704</v>
      </c>
      <c r="M38" s="9" t="s">
        <v>335</v>
      </c>
      <c r="N38" s="4" t="e">
        <f>VLOOKUP(H38,Clientes!B:D,3,)</f>
        <v>#N/A</v>
      </c>
    </row>
    <row r="39" spans="1:14" x14ac:dyDescent="0.25">
      <c r="A39" s="4" t="str">
        <f t="shared" si="0"/>
        <v>DESPESA DE REPRESENTAÇÃO - JANTARTRADERBRUNO FORTUNA (124336-3688MP</v>
      </c>
      <c r="B39" s="11">
        <v>46174</v>
      </c>
      <c r="C39" s="4">
        <v>817991</v>
      </c>
      <c r="D39" s="16" t="s">
        <v>477</v>
      </c>
      <c r="E39" s="14">
        <v>-2026.09</v>
      </c>
      <c r="F39" s="2" t="s">
        <v>380</v>
      </c>
      <c r="G39" s="2">
        <v>46176</v>
      </c>
      <c r="H39" s="9">
        <v>95007</v>
      </c>
      <c r="I39" s="4"/>
      <c r="J39" s="4" t="s">
        <v>380</v>
      </c>
      <c r="K39" s="7" t="s">
        <v>1537</v>
      </c>
      <c r="L39" s="16" t="s">
        <v>1538</v>
      </c>
      <c r="M39" s="9" t="s">
        <v>335</v>
      </c>
      <c r="N39" s="4" t="str">
        <f>VLOOKUP(H39,Clientes!B:D,3,)</f>
        <v>BANCO BNP PARIBAS BRASIL S/A</v>
      </c>
    </row>
    <row r="40" spans="1:14" x14ac:dyDescent="0.25">
      <c r="A40" s="4" t="str">
        <f t="shared" si="0"/>
        <v>DESPESA DE REPRESENTAÇÃO - JANTARTRADERLEONARDO BREDER (173514-3688AV</v>
      </c>
      <c r="B40" s="11">
        <v>46174</v>
      </c>
      <c r="C40" s="4">
        <v>817991</v>
      </c>
      <c r="D40" s="1" t="s">
        <v>23</v>
      </c>
      <c r="E40" s="14">
        <v>-875</v>
      </c>
      <c r="F40" s="2" t="s">
        <v>380</v>
      </c>
      <c r="G40" s="2">
        <v>46176</v>
      </c>
      <c r="H40" s="9">
        <v>144548</v>
      </c>
      <c r="I40" s="4"/>
      <c r="J40" s="4" t="s">
        <v>380</v>
      </c>
      <c r="K40" s="7" t="s">
        <v>1558</v>
      </c>
      <c r="L40" s="9" t="s">
        <v>1169</v>
      </c>
      <c r="M40" s="9" t="s">
        <v>335</v>
      </c>
      <c r="N40" s="4" t="str">
        <f>VLOOKUP(H40,Clientes!B:D,3,)</f>
        <v>ABSOLUTE GESTAO DE INVESTIMENTOS LTDA</v>
      </c>
    </row>
    <row r="41" spans="1:14" x14ac:dyDescent="0.25">
      <c r="A41" s="4" t="str">
        <f t="shared" si="0"/>
        <v>DESPESA DE REPRESENTAÇÃO - JANTARTRADERLEONARDO LOCATELLI (113801-3688GF</v>
      </c>
      <c r="B41" s="11">
        <v>46174</v>
      </c>
      <c r="C41" s="4">
        <v>817991</v>
      </c>
      <c r="D41" s="16" t="s">
        <v>615</v>
      </c>
      <c r="E41" s="14">
        <v>-1535.3066666666666</v>
      </c>
      <c r="F41" s="5" t="s">
        <v>380</v>
      </c>
      <c r="G41" s="2">
        <v>46176</v>
      </c>
      <c r="H41" s="9">
        <v>16705</v>
      </c>
      <c r="I41" s="4"/>
      <c r="J41" s="4" t="s">
        <v>380</v>
      </c>
      <c r="K41" s="7" t="s">
        <v>1563</v>
      </c>
      <c r="L41" s="1" t="s">
        <v>696</v>
      </c>
      <c r="M41" s="9" t="s">
        <v>335</v>
      </c>
      <c r="N41" s="4" t="str">
        <f>VLOOKUP(H41,Clientes!B:D,3,)</f>
        <v>BANCO BRADESCO S/A</v>
      </c>
    </row>
    <row r="42" spans="1:14" x14ac:dyDescent="0.25">
      <c r="A42" s="4" t="str">
        <f t="shared" si="0"/>
        <v>DESPESA DE REPRESENTAÇÃO - JANTARTRADERLEONARDO LOCATELLI (113801-3688GF</v>
      </c>
      <c r="B42" s="11">
        <v>46174</v>
      </c>
      <c r="C42" s="4">
        <v>817991</v>
      </c>
      <c r="D42" s="16" t="s">
        <v>665</v>
      </c>
      <c r="E42" s="14">
        <v>-1535.3066666666666</v>
      </c>
      <c r="F42" s="5" t="s">
        <v>380</v>
      </c>
      <c r="G42" s="2">
        <v>46176</v>
      </c>
      <c r="H42" s="9">
        <v>16705</v>
      </c>
      <c r="I42" s="4"/>
      <c r="J42" s="4" t="s">
        <v>380</v>
      </c>
      <c r="K42" s="7" t="s">
        <v>1563</v>
      </c>
      <c r="L42" s="1" t="s">
        <v>696</v>
      </c>
      <c r="M42" s="9" t="s">
        <v>335</v>
      </c>
      <c r="N42" s="4" t="str">
        <f>VLOOKUP(H42,Clientes!B:D,3,)</f>
        <v>BANCO BRADESCO S/A</v>
      </c>
    </row>
    <row r="43" spans="1:14" x14ac:dyDescent="0.25">
      <c r="A43" s="4" t="str">
        <f t="shared" si="0"/>
        <v>DESPESA DE REPRESENTAÇÃO - JANTARTRADERLEONARDO LOCATELLI (113801-3688GF</v>
      </c>
      <c r="B43" s="11">
        <v>46174</v>
      </c>
      <c r="C43" s="4">
        <v>817991</v>
      </c>
      <c r="D43" s="16" t="s">
        <v>626</v>
      </c>
      <c r="E43" s="14">
        <v>-1535.3066666666666</v>
      </c>
      <c r="F43" s="5" t="s">
        <v>380</v>
      </c>
      <c r="G43" s="2">
        <v>46176</v>
      </c>
      <c r="H43" s="9">
        <v>16705</v>
      </c>
      <c r="I43" s="4"/>
      <c r="J43" s="4" t="s">
        <v>380</v>
      </c>
      <c r="K43" s="7" t="s">
        <v>1563</v>
      </c>
      <c r="L43" s="1" t="s">
        <v>696</v>
      </c>
      <c r="M43" s="9" t="s">
        <v>335</v>
      </c>
      <c r="N43" s="4" t="str">
        <f>VLOOKUP(H43,Clientes!B:D,3,)</f>
        <v>BANCO BRADESCO S/A</v>
      </c>
    </row>
    <row r="44" spans="1:14" x14ac:dyDescent="0.25">
      <c r="A44" s="4" t="str">
        <f t="shared" si="0"/>
        <v>DESPESA DE REPRESENTAÇÃO - JANTARTRADERVICTOR QUINTAL (105249-3688RC</v>
      </c>
      <c r="B44" s="11">
        <v>46174</v>
      </c>
      <c r="C44" s="4">
        <v>817991</v>
      </c>
      <c r="D44" s="1" t="s">
        <v>646</v>
      </c>
      <c r="E44" s="14">
        <v>-1481</v>
      </c>
      <c r="F44" s="5" t="s">
        <v>380</v>
      </c>
      <c r="G44" s="2">
        <v>46184</v>
      </c>
      <c r="H44" s="9">
        <v>83007</v>
      </c>
      <c r="I44" s="4"/>
      <c r="J44" s="4" t="s">
        <v>380</v>
      </c>
      <c r="K44" s="7" t="s">
        <v>1590</v>
      </c>
      <c r="L44" s="1" t="s">
        <v>1192</v>
      </c>
      <c r="M44" s="9" t="s">
        <v>335</v>
      </c>
      <c r="N44" s="4" t="str">
        <f>VLOOKUP(H44,Clientes!B:D,3,)</f>
        <v>BANCO DE INVESTIMENTOS UBS (BRASIL) S.A.</v>
      </c>
    </row>
    <row r="45" spans="1:14" x14ac:dyDescent="0.25">
      <c r="A45" s="4" t="str">
        <f t="shared" si="0"/>
        <v>DESPESA DE REPRESENTAÇÃO - JANTARTRADERVINICIUS SA (142859-3998PI</v>
      </c>
      <c r="B45" s="11">
        <v>46174</v>
      </c>
      <c r="C45" s="4">
        <v>817991</v>
      </c>
      <c r="D45" s="1" t="s">
        <v>772</v>
      </c>
      <c r="E45" s="14">
        <v>-2585</v>
      </c>
      <c r="F45" s="5" t="s">
        <v>380</v>
      </c>
      <c r="G45" s="2">
        <v>46184</v>
      </c>
      <c r="H45" s="9">
        <v>79924</v>
      </c>
      <c r="I45" s="4"/>
      <c r="J45" s="5" t="s">
        <v>380</v>
      </c>
      <c r="K45" s="7" t="s">
        <v>1605</v>
      </c>
      <c r="L45" s="1" t="s">
        <v>1612</v>
      </c>
      <c r="M45" s="9" t="s">
        <v>335</v>
      </c>
      <c r="N45" s="4" t="str">
        <f>VLOOKUP(H45,Clientes!B:D,3,)</f>
        <v>STANDARD CHARTERED BANK (LONDRES)</v>
      </c>
    </row>
    <row r="46" spans="1:14" x14ac:dyDescent="0.25">
      <c r="A46" s="4" t="str">
        <f t="shared" si="0"/>
        <v>DESPESA DE REPRESENTAÇÃO - JANTARTRADERVICENTE PAGLIARO P DE MELLO (143242-3998PI</v>
      </c>
      <c r="B46" s="11">
        <v>46174</v>
      </c>
      <c r="C46" s="4">
        <v>817991</v>
      </c>
      <c r="D46" s="1" t="s">
        <v>772</v>
      </c>
      <c r="E46" s="14">
        <v>-2641.87</v>
      </c>
      <c r="F46" s="5" t="s">
        <v>380</v>
      </c>
      <c r="G46" s="2">
        <v>46184</v>
      </c>
      <c r="H46" s="9">
        <v>80026</v>
      </c>
      <c r="I46" s="4"/>
      <c r="J46" s="5" t="s">
        <v>380</v>
      </c>
      <c r="K46" s="7" t="s">
        <v>1606</v>
      </c>
      <c r="L46" s="1" t="s">
        <v>208</v>
      </c>
      <c r="M46" s="9" t="s">
        <v>335</v>
      </c>
      <c r="N46" s="4" t="str">
        <f>VLOOKUP(H46,Clientes!B:D,3,)</f>
        <v>BARCLAYS BANK PLC</v>
      </c>
    </row>
    <row r="47" spans="1:14" x14ac:dyDescent="0.25">
      <c r="A47" s="4" t="str">
        <f t="shared" si="0"/>
        <v>DESPESA DE REPRESENTAÇÃO - JANTARTRADERJOAO FELIPE SANTIAGO GOMES (102715-3998MP</v>
      </c>
      <c r="B47" s="11">
        <v>46174</v>
      </c>
      <c r="C47" s="4">
        <v>817991</v>
      </c>
      <c r="D47" s="1" t="s">
        <v>477</v>
      </c>
      <c r="E47" s="14">
        <v>-2749.7</v>
      </c>
      <c r="F47" s="5" t="s">
        <v>380</v>
      </c>
      <c r="G47" s="2">
        <v>46198</v>
      </c>
      <c r="H47" s="9">
        <v>82426</v>
      </c>
      <c r="I47" s="4"/>
      <c r="J47" s="4" t="s">
        <v>380</v>
      </c>
      <c r="K47" s="7" t="s">
        <v>1690</v>
      </c>
      <c r="L47" s="1" t="s">
        <v>1691</v>
      </c>
      <c r="M47" s="9" t="s">
        <v>335</v>
      </c>
      <c r="N47" s="4" t="str">
        <f>VLOOKUP(H47,Clientes!B:D,3,)</f>
        <v>BANCO JP MORGAN S/A</v>
      </c>
    </row>
    <row r="48" spans="1:14" x14ac:dyDescent="0.25">
      <c r="A48" s="4" t="str">
        <f t="shared" si="0"/>
        <v>DESPESA DE REPRESENTAÇÃO - JANTARTRADEREDUARDO CASTRO (113132-3998RC</v>
      </c>
      <c r="B48" s="11">
        <v>46174</v>
      </c>
      <c r="C48" s="4">
        <v>817991</v>
      </c>
      <c r="D48" s="1" t="s">
        <v>646</v>
      </c>
      <c r="E48" s="14">
        <v>-1569</v>
      </c>
      <c r="F48" s="5" t="s">
        <v>380</v>
      </c>
      <c r="G48" s="2">
        <v>46198</v>
      </c>
      <c r="H48" s="9">
        <v>1170</v>
      </c>
      <c r="I48" s="4"/>
      <c r="J48" s="4" t="s">
        <v>380</v>
      </c>
      <c r="K48" s="7" t="s">
        <v>1700</v>
      </c>
      <c r="L48" s="1" t="s">
        <v>791</v>
      </c>
      <c r="M48" s="9" t="s">
        <v>335</v>
      </c>
      <c r="N48" s="4" t="str">
        <f>VLOOKUP(H48,Clientes!B:D,3,)</f>
        <v>BGC LIQUIDEZ DTVM LTDA</v>
      </c>
    </row>
    <row r="49" spans="1:14" x14ac:dyDescent="0.25">
      <c r="A49" s="4" t="str">
        <f t="shared" si="0"/>
        <v>DESPESA DE REPRESENTAÇÃO - JANTARTRADERANIT PRADHAN (113328-3998RC</v>
      </c>
      <c r="B49" s="11">
        <v>46174</v>
      </c>
      <c r="C49" s="4">
        <v>817991</v>
      </c>
      <c r="D49" s="1" t="s">
        <v>646</v>
      </c>
      <c r="E49" s="14">
        <v>-3111</v>
      </c>
      <c r="F49" s="5" t="s">
        <v>380</v>
      </c>
      <c r="G49" s="2">
        <v>46198</v>
      </c>
      <c r="H49" s="9">
        <v>79695</v>
      </c>
      <c r="I49" s="4"/>
      <c r="J49" s="4" t="s">
        <v>380</v>
      </c>
      <c r="K49" s="7" t="s">
        <v>1697</v>
      </c>
      <c r="L49" s="1" t="s">
        <v>1702</v>
      </c>
      <c r="M49" s="9" t="s">
        <v>335</v>
      </c>
      <c r="N49" s="4" t="e">
        <f>VLOOKUP(H49,Clientes!B:D,3,)</f>
        <v>#N/A</v>
      </c>
    </row>
    <row r="50" spans="1:14" x14ac:dyDescent="0.25">
      <c r="A50" s="4" t="str">
        <f t="shared" si="0"/>
        <v>DESPESA DE REPRESENTAÇÃO - JANTARTRADERARTHUR CHANG NOGUEIRA (144704-3998CB</v>
      </c>
      <c r="B50" s="11">
        <v>46174</v>
      </c>
      <c r="C50" s="4">
        <v>817991</v>
      </c>
      <c r="D50" s="1" t="s">
        <v>1692</v>
      </c>
      <c r="E50" s="14">
        <v>-1008</v>
      </c>
      <c r="F50" s="5" t="s">
        <v>380</v>
      </c>
      <c r="G50" s="2">
        <v>46191</v>
      </c>
      <c r="H50" s="9">
        <v>79460</v>
      </c>
      <c r="I50" s="4"/>
      <c r="J50" s="5" t="s">
        <v>380</v>
      </c>
      <c r="K50" s="7" t="s">
        <v>1733</v>
      </c>
      <c r="L50" s="1" t="s">
        <v>1694</v>
      </c>
      <c r="M50" s="9" t="s">
        <v>335</v>
      </c>
      <c r="N50" s="4" t="str">
        <f>VLOOKUP(H50,Clientes!B:D,3,)</f>
        <v>ITAU UNIBANCO S/A</v>
      </c>
    </row>
    <row r="51" spans="1:14" x14ac:dyDescent="0.25">
      <c r="A51" s="4" t="str">
        <f t="shared" si="0"/>
        <v>DESPESA DE REPRESENTAÇÃO - JANTARTRADERMANOEL MENEZES (092132-3998JJ</v>
      </c>
      <c r="B51" s="11">
        <v>46174</v>
      </c>
      <c r="C51" s="4">
        <v>817991</v>
      </c>
      <c r="D51" s="1" t="s">
        <v>624</v>
      </c>
      <c r="E51" s="14">
        <v>-2383</v>
      </c>
      <c r="F51" s="5" t="s">
        <v>380</v>
      </c>
      <c r="G51" s="2">
        <v>46191</v>
      </c>
      <c r="H51" s="9">
        <v>80574</v>
      </c>
      <c r="I51" s="4"/>
      <c r="J51" s="4" t="s">
        <v>380</v>
      </c>
      <c r="K51" s="7" t="s">
        <v>1743</v>
      </c>
      <c r="L51" s="1" t="s">
        <v>225</v>
      </c>
      <c r="M51" s="9" t="s">
        <v>335</v>
      </c>
      <c r="N51" s="4" t="str">
        <f>VLOOKUP(H51,Clientes!B:D,3,)</f>
        <v>BANCO JP MORGAN S/A</v>
      </c>
    </row>
    <row r="52" spans="1:14" x14ac:dyDescent="0.25">
      <c r="A52" s="4" t="str">
        <f t="shared" si="0"/>
        <v>DESPESA DE REPRESENTAÇÃO - JANTARTRADERANDRE ELIAS VAZQUEZ FADUL (135355-3998JT</v>
      </c>
      <c r="B52" s="11">
        <v>46174</v>
      </c>
      <c r="C52" s="4">
        <v>817991</v>
      </c>
      <c r="D52" s="1" t="s">
        <v>23</v>
      </c>
      <c r="E52" s="14">
        <v>-805</v>
      </c>
      <c r="F52" s="5" t="s">
        <v>380</v>
      </c>
      <c r="G52" s="2">
        <v>46191</v>
      </c>
      <c r="H52" s="9">
        <v>81767</v>
      </c>
      <c r="I52" s="4"/>
      <c r="J52" s="5" t="s">
        <v>380</v>
      </c>
      <c r="K52" s="7" t="s">
        <v>1747</v>
      </c>
      <c r="L52" s="1" t="s">
        <v>264</v>
      </c>
      <c r="M52" s="9" t="s">
        <v>335</v>
      </c>
      <c r="N52" s="4" t="str">
        <f>VLOOKUP(H52,Clientes!B:D,3,)</f>
        <v>SAFRA DISTRIBUIDORA DE TITULOS E VALORES MOBILIARIOS LTDA.</v>
      </c>
    </row>
    <row r="53" spans="1:14" x14ac:dyDescent="0.25">
      <c r="A53" s="4" t="str">
        <f t="shared" si="0"/>
        <v>DESPESA DE REPRESENTAÇÃO - JANTARTRADERMARCELO BRAGA COVO (112003-3998CL</v>
      </c>
      <c r="B53" s="11">
        <v>46174</v>
      </c>
      <c r="C53" s="4">
        <v>817991</v>
      </c>
      <c r="D53" s="1" t="s">
        <v>60</v>
      </c>
      <c r="E53" s="14">
        <v>-805</v>
      </c>
      <c r="F53" s="5" t="s">
        <v>380</v>
      </c>
      <c r="G53" s="2">
        <v>46191</v>
      </c>
      <c r="H53" s="9">
        <v>80111</v>
      </c>
      <c r="I53" s="4"/>
      <c r="J53" s="4" t="s">
        <v>380</v>
      </c>
      <c r="K53" s="7" t="s">
        <v>1752</v>
      </c>
      <c r="L53" s="1" t="s">
        <v>153</v>
      </c>
      <c r="M53" s="9" t="s">
        <v>335</v>
      </c>
      <c r="N53" s="4" t="str">
        <f>VLOOKUP(H53,Clientes!B:D,3,)</f>
        <v>IBIUNA GESTAO DE RECURSOS LTDA</v>
      </c>
    </row>
    <row r="54" spans="1:14" x14ac:dyDescent="0.25">
      <c r="A54" s="4" t="str">
        <f t="shared" si="0"/>
        <v>DESPESA DE REPRESENTAÇÃO - JANTARTRADERFELIPE NOVAIS GARCIA (102817-3998AV</v>
      </c>
      <c r="B54" s="11">
        <v>46174</v>
      </c>
      <c r="C54" s="4">
        <v>817991</v>
      </c>
      <c r="D54" s="1" t="s">
        <v>23</v>
      </c>
      <c r="E54" s="14">
        <v>-600</v>
      </c>
      <c r="F54" s="5" t="s">
        <v>380</v>
      </c>
      <c r="G54" s="2">
        <v>46191</v>
      </c>
      <c r="H54" s="9">
        <v>80573</v>
      </c>
      <c r="I54" s="4"/>
      <c r="J54" s="4" t="s">
        <v>380</v>
      </c>
      <c r="K54" s="7" t="s">
        <v>1756</v>
      </c>
      <c r="L54" s="1" t="s">
        <v>611</v>
      </c>
      <c r="M54" s="9" t="s">
        <v>335</v>
      </c>
      <c r="N54" s="4" t="str">
        <f>VLOOKUP(H54,Clientes!B:D,3,)</f>
        <v>BANCO C6 S/A</v>
      </c>
    </row>
    <row r="55" spans="1:14" x14ac:dyDescent="0.25">
      <c r="A55" s="4" t="str">
        <f t="shared" si="0"/>
        <v>DESPESA DE REPRESENTAÇÃO - JANTARTRADERFELIPE NOVAIS GARCIA (102817-3998AV</v>
      </c>
      <c r="B55" s="11">
        <v>46174</v>
      </c>
      <c r="C55" s="4">
        <v>817991</v>
      </c>
      <c r="D55" s="1" t="s">
        <v>424</v>
      </c>
      <c r="E55" s="14">
        <v>-600</v>
      </c>
      <c r="F55" s="5" t="s">
        <v>380</v>
      </c>
      <c r="G55" s="2">
        <v>46191</v>
      </c>
      <c r="H55" s="9">
        <v>80573</v>
      </c>
      <c r="I55" s="4"/>
      <c r="J55" s="4" t="s">
        <v>380</v>
      </c>
      <c r="K55" s="7" t="s">
        <v>1756</v>
      </c>
      <c r="L55" s="1" t="s">
        <v>611</v>
      </c>
      <c r="M55" s="9" t="s">
        <v>335</v>
      </c>
      <c r="N55" s="4" t="str">
        <f>VLOOKUP(H55,Clientes!B:D,3,)</f>
        <v>BANCO C6 S/A</v>
      </c>
    </row>
    <row r="56" spans="1:14" x14ac:dyDescent="0.25">
      <c r="A56" s="4" t="str">
        <f t="shared" si="0"/>
        <v>DESPESA DE REPRESENTAÇÃO - INGRESSOS SHOW DO RUSH TRADERWELLINGTON DIAS PEREIRA (AGENDA 42481</v>
      </c>
      <c r="B56" s="11">
        <v>46174</v>
      </c>
      <c r="C56" s="4">
        <v>817991</v>
      </c>
      <c r="D56" s="1" t="s">
        <v>452</v>
      </c>
      <c r="E56" s="14">
        <v>-2487.8000000000002</v>
      </c>
      <c r="F56" s="36" t="s">
        <v>387</v>
      </c>
      <c r="G56" s="2">
        <v>46188</v>
      </c>
      <c r="H56" s="9">
        <v>15501</v>
      </c>
      <c r="I56" s="4"/>
      <c r="J56" s="4" t="s">
        <v>1786</v>
      </c>
      <c r="K56" s="7" t="s">
        <v>1633</v>
      </c>
      <c r="L56" s="1" t="s">
        <v>1787</v>
      </c>
      <c r="M56" s="9" t="s">
        <v>335</v>
      </c>
      <c r="N56" s="4" t="str">
        <f>VLOOKUP(H56,Clientes!B:D,3,)</f>
        <v>BANCO BTG PACTUAL S/A</v>
      </c>
    </row>
    <row r="57" spans="1:14" x14ac:dyDescent="0.25">
      <c r="A57" s="4" t="str">
        <f t="shared" si="0"/>
        <v>DESPESA DE REPRESENTAÇÃO - INGRESSOS PARA O JOGO DA COPA COM CLIENTE ING BANKTRADEREDUARDO CASTRO (095419-3688RC</v>
      </c>
      <c r="B57" s="11">
        <v>46174</v>
      </c>
      <c r="C57" s="4">
        <v>817991</v>
      </c>
      <c r="D57" s="1" t="s">
        <v>646</v>
      </c>
      <c r="E57" s="14">
        <v>-3839</v>
      </c>
      <c r="F57" s="2" t="s">
        <v>387</v>
      </c>
      <c r="G57" s="2">
        <v>46176</v>
      </c>
      <c r="H57" s="9">
        <v>1170</v>
      </c>
      <c r="I57" s="4"/>
      <c r="J57" s="4" t="s">
        <v>2698</v>
      </c>
      <c r="K57" s="7" t="s">
        <v>1555</v>
      </c>
      <c r="L57" s="9" t="s">
        <v>791</v>
      </c>
      <c r="M57" s="9" t="s">
        <v>335</v>
      </c>
      <c r="N57" s="4" t="str">
        <f>VLOOKUP(H57,Clientes!B:D,3,)</f>
        <v>BGC LIQUIDEZ DTVM LTDA</v>
      </c>
    </row>
    <row r="58" spans="1:14" x14ac:dyDescent="0.25">
      <c r="A58" s="4" t="str">
        <f t="shared" si="0"/>
        <v>DESPESA DE REPRESENTAÇÃO - INGRESSOS PARA O JOGO DA COPA TRADERIGNACIO ALDUNATE (094814-3688RC</v>
      </c>
      <c r="B58" s="11">
        <v>46174</v>
      </c>
      <c r="C58" s="4">
        <v>817991</v>
      </c>
      <c r="D58" s="1" t="s">
        <v>646</v>
      </c>
      <c r="E58" s="14">
        <v>-8402</v>
      </c>
      <c r="F58" s="2" t="s">
        <v>387</v>
      </c>
      <c r="G58" s="2">
        <v>46176</v>
      </c>
      <c r="H58" s="9">
        <v>441000</v>
      </c>
      <c r="I58" s="4"/>
      <c r="J58" s="4" t="s">
        <v>1557</v>
      </c>
      <c r="K58" s="7" t="s">
        <v>1556</v>
      </c>
      <c r="L58" s="9" t="s">
        <v>787</v>
      </c>
      <c r="M58" s="9" t="s">
        <v>335</v>
      </c>
      <c r="N58" s="4" t="str">
        <f>VLOOKUP(H58,Clientes!B:D,3,)</f>
        <v>BANCO RABOBANK INTERNATIONAL BRASIL S/A</v>
      </c>
    </row>
    <row r="59" spans="1:14" x14ac:dyDescent="0.25">
      <c r="A59" s="4" t="str">
        <f t="shared" si="0"/>
        <v>DESPESA DE REPRESENTAÇÃO - INGRESSO EVENTO EXPERT EM SÃO PAULO DIA 23/07BROKERJUAREZ JOAQUIM DE LACERDA (144642-3998JL</v>
      </c>
      <c r="B59" s="11">
        <v>46174</v>
      </c>
      <c r="C59" s="4">
        <v>817991</v>
      </c>
      <c r="D59" s="1" t="s">
        <v>614</v>
      </c>
      <c r="E59" s="14">
        <v>-1771</v>
      </c>
      <c r="F59" s="5" t="s">
        <v>387</v>
      </c>
      <c r="G59" s="2">
        <v>46191</v>
      </c>
      <c r="H59" s="9">
        <v>1170</v>
      </c>
      <c r="I59" s="4"/>
      <c r="J59" s="4" t="s">
        <v>1744</v>
      </c>
      <c r="K59" s="7" t="s">
        <v>1745</v>
      </c>
      <c r="L59" s="1" t="s">
        <v>614</v>
      </c>
      <c r="M59" s="9" t="s">
        <v>2</v>
      </c>
      <c r="N59" s="4" t="str">
        <f>VLOOKUP(H59,Clientes!B:D,3,)</f>
        <v>BGC LIQUIDEZ DTVM LTDA</v>
      </c>
    </row>
    <row r="60" spans="1:14" x14ac:dyDescent="0.25">
      <c r="A60" s="4" t="str">
        <f t="shared" si="0"/>
        <v>DESPESA DE REPRESENTAÇÃO - HOTEL NA FILADELFIATRADERRAFAEL TENORIO CAVALCANTI (170608-3998RC</v>
      </c>
      <c r="B60" s="11">
        <v>46174</v>
      </c>
      <c r="C60" s="4">
        <v>817991</v>
      </c>
      <c r="D60" s="1" t="s">
        <v>646</v>
      </c>
      <c r="E60" s="14">
        <v>-2126</v>
      </c>
      <c r="F60" s="5" t="s">
        <v>422</v>
      </c>
      <c r="G60" s="2">
        <v>46198</v>
      </c>
      <c r="H60" s="9">
        <v>1170</v>
      </c>
      <c r="I60" s="4"/>
      <c r="J60" s="4" t="s">
        <v>1716</v>
      </c>
      <c r="K60" s="7" t="s">
        <v>1717</v>
      </c>
      <c r="L60" s="1" t="s">
        <v>646</v>
      </c>
      <c r="M60" s="9" t="s">
        <v>335</v>
      </c>
      <c r="N60" s="4" t="str">
        <f>VLOOKUP(H60,Clientes!B:D,3,)</f>
        <v>BGC LIQUIDEZ DTVM LTDA</v>
      </c>
    </row>
    <row r="61" spans="1:14" x14ac:dyDescent="0.25">
      <c r="A61" s="4" t="str">
        <f t="shared" si="0"/>
        <v>DESPESA DE REPRESENTAÇÃO - HOTEL EM NOVA YORK BROKERRAFAEL TENORIO CAVALCANTI (134208-3688RC</v>
      </c>
      <c r="B61" s="11">
        <v>46174</v>
      </c>
      <c r="C61" s="4">
        <v>817991</v>
      </c>
      <c r="D61" s="1" t="s">
        <v>646</v>
      </c>
      <c r="E61" s="14">
        <v>-11679</v>
      </c>
      <c r="F61" s="5" t="s">
        <v>422</v>
      </c>
      <c r="G61" s="2">
        <v>46184</v>
      </c>
      <c r="H61" s="9">
        <v>1170</v>
      </c>
      <c r="I61" s="4"/>
      <c r="J61" s="4" t="s">
        <v>1594</v>
      </c>
      <c r="K61" s="7" t="s">
        <v>1595</v>
      </c>
      <c r="L61" s="1" t="s">
        <v>646</v>
      </c>
      <c r="M61" s="9" t="s">
        <v>2</v>
      </c>
      <c r="N61" s="4" t="str">
        <f>VLOOKUP(H61,Clientes!B:D,3,)</f>
        <v>BGC LIQUIDEZ DTVM LTDA</v>
      </c>
    </row>
    <row r="62" spans="1:14" x14ac:dyDescent="0.25">
      <c r="A62" s="4" t="str">
        <f t="shared" si="0"/>
        <v>DESPESA DE REPRESENTAÇÃO - HOTEL EM NOVA YORK BROKERPAOLO FRANCA LIDA (172939-3998PI</v>
      </c>
      <c r="B62" s="11">
        <v>46174</v>
      </c>
      <c r="C62" s="4">
        <v>817991</v>
      </c>
      <c r="D62" s="1" t="s">
        <v>772</v>
      </c>
      <c r="E62" s="14">
        <v>-2238.61</v>
      </c>
      <c r="F62" s="5" t="s">
        <v>422</v>
      </c>
      <c r="G62" s="2">
        <v>46198</v>
      </c>
      <c r="H62" s="9">
        <v>1170</v>
      </c>
      <c r="I62" s="4"/>
      <c r="J62" s="4" t="s">
        <v>1594</v>
      </c>
      <c r="K62" s="7" t="s">
        <v>1711</v>
      </c>
      <c r="L62" s="1" t="s">
        <v>772</v>
      </c>
      <c r="M62" s="9" t="s">
        <v>2</v>
      </c>
      <c r="N62" s="4" t="str">
        <f>VLOOKUP(H62,Clientes!B:D,3,)</f>
        <v>BGC LIQUIDEZ DTVM LTDA</v>
      </c>
    </row>
    <row r="63" spans="1:14" x14ac:dyDescent="0.25">
      <c r="A63" s="4" t="str">
        <f t="shared" si="0"/>
        <v>DESPESA DE REPRESENTAÇÃO - HOTEL EM NOVA YORK BROKERPAOLO FRANCA LIDA (172733-3998PI</v>
      </c>
      <c r="B63" s="11">
        <v>46174</v>
      </c>
      <c r="C63" s="4">
        <v>817991</v>
      </c>
      <c r="D63" s="1" t="s">
        <v>772</v>
      </c>
      <c r="E63" s="14">
        <v>-644</v>
      </c>
      <c r="F63" s="5" t="s">
        <v>422</v>
      </c>
      <c r="G63" s="2">
        <v>46198</v>
      </c>
      <c r="H63" s="9">
        <v>1170</v>
      </c>
      <c r="I63" s="4"/>
      <c r="J63" s="4" t="s">
        <v>1594</v>
      </c>
      <c r="K63" s="7" t="s">
        <v>1712</v>
      </c>
      <c r="L63" s="1" t="s">
        <v>772</v>
      </c>
      <c r="M63" s="9" t="s">
        <v>2</v>
      </c>
      <c r="N63" s="4" t="str">
        <f>VLOOKUP(H63,Clientes!B:D,3,)</f>
        <v>BGC LIQUIDEZ DTVM LTDA</v>
      </c>
    </row>
    <row r="64" spans="1:14" x14ac:dyDescent="0.25">
      <c r="A64" s="4" t="str">
        <f t="shared" si="0"/>
        <v>DESPESA DE REPRESENTAÇÃO - HAPPY HOUR   TRADERMAURO OKUMA LACERDA (104438-3688RR</v>
      </c>
      <c r="B64" s="11">
        <v>46174</v>
      </c>
      <c r="C64" s="4">
        <v>817991</v>
      </c>
      <c r="D64" s="1" t="s">
        <v>604</v>
      </c>
      <c r="E64" s="14">
        <v>-6226.32</v>
      </c>
      <c r="F64" s="2" t="s">
        <v>387</v>
      </c>
      <c r="G64" s="2">
        <v>46176</v>
      </c>
      <c r="H64" s="9">
        <v>12413</v>
      </c>
      <c r="I64" s="4"/>
      <c r="J64" s="4" t="s">
        <v>1548</v>
      </c>
      <c r="K64" s="7" t="s">
        <v>1549</v>
      </c>
      <c r="L64" s="9" t="s">
        <v>780</v>
      </c>
      <c r="M64" s="9" t="s">
        <v>335</v>
      </c>
      <c r="N64" s="4" t="str">
        <f>VLOOKUP(H64,Clientes!B:D,3,)</f>
        <v>KAPITALO INVESTIMENTOS LTDA</v>
      </c>
    </row>
    <row r="65" spans="1:14" x14ac:dyDescent="0.25">
      <c r="A65" s="4" t="str">
        <f t="shared" si="0"/>
        <v>DESPESA DE REPRESENTAÇÃO - HAPPY HOUR TRADERBRUNO CINELLI (142222-3998RC</v>
      </c>
      <c r="B65" s="11">
        <v>46174</v>
      </c>
      <c r="C65" s="4">
        <v>817991</v>
      </c>
      <c r="D65" s="1" t="s">
        <v>646</v>
      </c>
      <c r="E65" s="14">
        <v>-898</v>
      </c>
      <c r="F65" s="5" t="s">
        <v>387</v>
      </c>
      <c r="G65" s="2">
        <v>46191</v>
      </c>
      <c r="H65" s="9">
        <v>79460</v>
      </c>
      <c r="I65" s="4"/>
      <c r="J65" s="4" t="s">
        <v>1335</v>
      </c>
      <c r="K65" s="7" t="s">
        <v>1734</v>
      </c>
      <c r="L65" s="1" t="s">
        <v>1735</v>
      </c>
      <c r="M65" s="9" t="s">
        <v>335</v>
      </c>
      <c r="N65" s="4" t="str">
        <f>VLOOKUP(H65,Clientes!B:D,3,)</f>
        <v>ITAU UNIBANCO S/A</v>
      </c>
    </row>
    <row r="66" spans="1:14" x14ac:dyDescent="0.25">
      <c r="A66" s="4" t="str">
        <f t="shared" ref="A66:A129" si="1">CONCATENATE($J$1,J66,$I$3,M66,$I$3,L66,$I$1,K66,$I$2)</f>
        <v>DESPESA DE REPRESENTAÇÃO - HAPPY HOURTRADEREDUARDO ROSSI MELLO NOGUEIRA (173509-3688CL</v>
      </c>
      <c r="B66" s="11">
        <v>46174</v>
      </c>
      <c r="C66" s="4">
        <v>817991</v>
      </c>
      <c r="D66" s="1" t="s">
        <v>60</v>
      </c>
      <c r="E66" s="14">
        <v>-1114.5</v>
      </c>
      <c r="F66" s="5" t="s">
        <v>387</v>
      </c>
      <c r="G66" s="2">
        <v>46176</v>
      </c>
      <c r="H66" s="9">
        <v>80834</v>
      </c>
      <c r="I66" s="4"/>
      <c r="J66" s="4" t="s">
        <v>485</v>
      </c>
      <c r="K66" s="7" t="s">
        <v>1564</v>
      </c>
      <c r="L66" s="1" t="s">
        <v>688</v>
      </c>
      <c r="M66" s="9" t="s">
        <v>335</v>
      </c>
      <c r="N66" s="4" t="str">
        <f>VLOOKUP(H66,Clientes!B:D,3,)</f>
        <v>ASSET1 INVESTIMENTOS S.A.</v>
      </c>
    </row>
    <row r="67" spans="1:14" x14ac:dyDescent="0.25">
      <c r="A67" s="4" t="str">
        <f t="shared" si="1"/>
        <v>DESPESA DE REPRESENTAÇÃO - HAPPY HOURTRADEREDUARDO ROSSI MELLO NOGUEIRA (173509-3688CL</v>
      </c>
      <c r="B67" s="11">
        <v>46174</v>
      </c>
      <c r="C67" s="4">
        <v>817991</v>
      </c>
      <c r="D67" s="1" t="s">
        <v>993</v>
      </c>
      <c r="E67" s="14">
        <v>-1114.5</v>
      </c>
      <c r="F67" s="5" t="s">
        <v>387</v>
      </c>
      <c r="G67" s="2">
        <v>46176</v>
      </c>
      <c r="H67" s="9">
        <v>80834</v>
      </c>
      <c r="I67" s="4"/>
      <c r="J67" s="4" t="s">
        <v>485</v>
      </c>
      <c r="K67" s="7" t="s">
        <v>1564</v>
      </c>
      <c r="L67" s="1" t="s">
        <v>688</v>
      </c>
      <c r="M67" s="9" t="s">
        <v>335</v>
      </c>
      <c r="N67" s="4" t="str">
        <f>VLOOKUP(H67,Clientes!B:D,3,)</f>
        <v>ASSET1 INVESTIMENTOS S.A.</v>
      </c>
    </row>
    <row r="68" spans="1:14" x14ac:dyDescent="0.25">
      <c r="A68" s="4" t="str">
        <f t="shared" si="1"/>
        <v>DESPESA DE REPRESENTAÇÃO - HAPPY HOURTRADERVICTOR QUINTAL (110157-3688RC</v>
      </c>
      <c r="B68" s="11">
        <v>46174</v>
      </c>
      <c r="C68" s="4">
        <v>817991</v>
      </c>
      <c r="D68" s="1" t="s">
        <v>646</v>
      </c>
      <c r="E68" s="14">
        <v>-1666</v>
      </c>
      <c r="F68" s="5" t="s">
        <v>387</v>
      </c>
      <c r="G68" s="2">
        <v>46184</v>
      </c>
      <c r="H68" s="9">
        <v>83007</v>
      </c>
      <c r="I68" s="4"/>
      <c r="J68" s="4" t="s">
        <v>485</v>
      </c>
      <c r="K68" s="7" t="s">
        <v>1591</v>
      </c>
      <c r="L68" s="1" t="s">
        <v>1192</v>
      </c>
      <c r="M68" s="9" t="s">
        <v>335</v>
      </c>
      <c r="N68" s="4" t="str">
        <f>VLOOKUP(H68,Clientes!B:D,3,)</f>
        <v>BANCO DE INVESTIMENTOS UBS (BRASIL) S.A.</v>
      </c>
    </row>
    <row r="69" spans="1:14" x14ac:dyDescent="0.25">
      <c r="A69" s="4" t="str">
        <f t="shared" si="1"/>
        <v>DESPESA DE REPRESENTAÇÃO - HAPPY HOURTRADERFREDERICO MASSOTE TRIZZI ALVES (133546-3688MN</v>
      </c>
      <c r="B69" s="11">
        <v>46174</v>
      </c>
      <c r="C69" s="4">
        <v>817991</v>
      </c>
      <c r="D69" s="1" t="s">
        <v>60</v>
      </c>
      <c r="E69" s="14">
        <v>-322.05</v>
      </c>
      <c r="F69" s="5" t="s">
        <v>387</v>
      </c>
      <c r="G69" s="2">
        <v>46184</v>
      </c>
      <c r="H69" s="9">
        <v>80233</v>
      </c>
      <c r="I69" s="4"/>
      <c r="J69" s="4" t="s">
        <v>485</v>
      </c>
      <c r="K69" s="7" t="s">
        <v>1596</v>
      </c>
      <c r="L69" s="1" t="s">
        <v>1597</v>
      </c>
      <c r="M69" s="9" t="s">
        <v>335</v>
      </c>
      <c r="N69" s="4" t="str">
        <f>VLOOKUP(H69,Clientes!B:D,3,)</f>
        <v>BANCO ABC BRASIL S/A</v>
      </c>
    </row>
    <row r="70" spans="1:14" x14ac:dyDescent="0.25">
      <c r="A70" s="4" t="str">
        <f t="shared" si="1"/>
        <v>DESPESA DE REPRESENTAÇÃO - HAPPY HOURTRADERMARCELO SCHOLZ ISSA (165813-3998CB</v>
      </c>
      <c r="B70" s="11">
        <v>46174</v>
      </c>
      <c r="C70" s="4">
        <v>817991</v>
      </c>
      <c r="D70" s="1" t="s">
        <v>574</v>
      </c>
      <c r="E70" s="14">
        <v>-966.56</v>
      </c>
      <c r="F70" s="5" t="s">
        <v>387</v>
      </c>
      <c r="G70" s="2">
        <v>46184</v>
      </c>
      <c r="H70" s="9">
        <v>81259</v>
      </c>
      <c r="I70" s="4"/>
      <c r="J70" s="4" t="s">
        <v>485</v>
      </c>
      <c r="K70" s="7" t="s">
        <v>1616</v>
      </c>
      <c r="L70" s="1" t="s">
        <v>681</v>
      </c>
      <c r="M70" s="9" t="s">
        <v>335</v>
      </c>
      <c r="N70" s="4" t="str">
        <f>VLOOKUP(H70,Clientes!B:D,3,)</f>
        <v>GOLDMAN SACHS DO BRASIL BANCO MULTIPLO S/A</v>
      </c>
    </row>
    <row r="71" spans="1:14" x14ac:dyDescent="0.25">
      <c r="A71" s="4" t="str">
        <f t="shared" si="1"/>
        <v>DESPESA DE REPRESENTAÇÃO - HAPPY HOURTRADERIGNACIO ALDUNATE (112729-3998RC</v>
      </c>
      <c r="B71" s="11">
        <v>46174</v>
      </c>
      <c r="C71" s="4">
        <v>817991</v>
      </c>
      <c r="D71" s="1" t="s">
        <v>646</v>
      </c>
      <c r="E71" s="14">
        <v>-1560</v>
      </c>
      <c r="F71" s="5" t="s">
        <v>387</v>
      </c>
      <c r="G71" s="2">
        <v>46198</v>
      </c>
      <c r="H71" s="9">
        <v>441000</v>
      </c>
      <c r="I71" s="4"/>
      <c r="J71" s="4" t="s">
        <v>485</v>
      </c>
      <c r="K71" s="7" t="s">
        <v>1699</v>
      </c>
      <c r="L71" s="1" t="s">
        <v>787</v>
      </c>
      <c r="M71" s="9" t="s">
        <v>335</v>
      </c>
      <c r="N71" s="4" t="str">
        <f>VLOOKUP(H71,Clientes!B:D,3,)</f>
        <v>BANCO RABOBANK INTERNATIONAL BRASIL S/A</v>
      </c>
    </row>
    <row r="72" spans="1:14" x14ac:dyDescent="0.25">
      <c r="A72" s="4" t="str">
        <f t="shared" si="1"/>
        <v>DESPESA DE REPRESENTAÇÃO - GARRAFAS EVENTO THE MACALLANTRADERRODRIGO SOARES TAKASAKI (AGENDA 42481</v>
      </c>
      <c r="B72" s="11">
        <v>46174</v>
      </c>
      <c r="C72" s="4">
        <v>817991</v>
      </c>
      <c r="D72" s="1" t="s">
        <v>39</v>
      </c>
      <c r="E72" s="14">
        <v>-784.28571428571399</v>
      </c>
      <c r="F72" s="36" t="s">
        <v>387</v>
      </c>
      <c r="G72" s="2">
        <v>46188</v>
      </c>
      <c r="H72" s="9">
        <v>15781</v>
      </c>
      <c r="I72" s="4"/>
      <c r="J72" s="4" t="s">
        <v>1782</v>
      </c>
      <c r="K72" s="7" t="s">
        <v>1633</v>
      </c>
      <c r="L72" s="1" t="s">
        <v>1783</v>
      </c>
      <c r="M72" s="9" t="s">
        <v>335</v>
      </c>
      <c r="N72" s="4" t="str">
        <f>VLOOKUP(H72,Clientes!B:D,3,)</f>
        <v>BANCO SAFRA S/A</v>
      </c>
    </row>
    <row r="73" spans="1:14" x14ac:dyDescent="0.25">
      <c r="A73" s="4" t="str">
        <f t="shared" si="1"/>
        <v>DESPESA DE REPRESENTAÇÃO - GARRAFAS EVENTO THE MACALLANTRADERRODRIGO SOARES TAKASAKI (AGENDA 42481</v>
      </c>
      <c r="B73" s="11">
        <v>46174</v>
      </c>
      <c r="C73" s="4">
        <v>817991</v>
      </c>
      <c r="D73" s="1" t="s">
        <v>379</v>
      </c>
      <c r="E73" s="14">
        <v>-784.28571428571399</v>
      </c>
      <c r="F73" s="36" t="s">
        <v>387</v>
      </c>
      <c r="G73" s="2">
        <v>46188</v>
      </c>
      <c r="H73" s="9">
        <v>15781</v>
      </c>
      <c r="I73" s="4"/>
      <c r="J73" s="4" t="s">
        <v>1782</v>
      </c>
      <c r="K73" s="7" t="s">
        <v>1633</v>
      </c>
      <c r="L73" s="1" t="s">
        <v>1783</v>
      </c>
      <c r="M73" s="9" t="s">
        <v>335</v>
      </c>
      <c r="N73" s="4" t="str">
        <f>VLOOKUP(H73,Clientes!B:D,3,)</f>
        <v>BANCO SAFRA S/A</v>
      </c>
    </row>
    <row r="74" spans="1:14" x14ac:dyDescent="0.25">
      <c r="A74" s="4" t="str">
        <f t="shared" si="1"/>
        <v>DESPESA DE REPRESENTAÇÃO - GARRAFAS EVENTO THE MACALLANTRADERRODRIGO SOARES TAKASAKI (AGENDA 42481</v>
      </c>
      <c r="B74" s="11">
        <v>46174</v>
      </c>
      <c r="C74" s="4">
        <v>817991</v>
      </c>
      <c r="D74" s="1" t="s">
        <v>331</v>
      </c>
      <c r="E74" s="14">
        <v>-784.28571428571399</v>
      </c>
      <c r="F74" s="36" t="s">
        <v>387</v>
      </c>
      <c r="G74" s="2">
        <v>46188</v>
      </c>
      <c r="H74" s="9">
        <v>15781</v>
      </c>
      <c r="I74" s="4"/>
      <c r="J74" s="4" t="s">
        <v>1782</v>
      </c>
      <c r="K74" s="7" t="s">
        <v>1633</v>
      </c>
      <c r="L74" s="1" t="s">
        <v>1783</v>
      </c>
      <c r="M74" s="9" t="s">
        <v>335</v>
      </c>
      <c r="N74" s="4" t="str">
        <f>VLOOKUP(H74,Clientes!B:D,3,)</f>
        <v>BANCO SAFRA S/A</v>
      </c>
    </row>
    <row r="75" spans="1:14" x14ac:dyDescent="0.25">
      <c r="A75" s="4" t="str">
        <f t="shared" si="1"/>
        <v>DESPESA DE REPRESENTAÇÃO - GARRAFAS EVENTO THE MACALLANTRADERRODRIGO SOARES TAKASAKI (AGENDA 42481</v>
      </c>
      <c r="B75" s="11">
        <v>46174</v>
      </c>
      <c r="C75" s="4">
        <v>817991</v>
      </c>
      <c r="D75" s="1" t="s">
        <v>1397</v>
      </c>
      <c r="E75" s="14">
        <v>-784.28571428571399</v>
      </c>
      <c r="F75" s="36" t="s">
        <v>387</v>
      </c>
      <c r="G75" s="2">
        <v>46188</v>
      </c>
      <c r="H75" s="9">
        <v>15781</v>
      </c>
      <c r="I75" s="4"/>
      <c r="J75" s="4" t="s">
        <v>1782</v>
      </c>
      <c r="K75" s="7" t="s">
        <v>1633</v>
      </c>
      <c r="L75" s="1" t="s">
        <v>1783</v>
      </c>
      <c r="M75" s="9" t="s">
        <v>335</v>
      </c>
      <c r="N75" s="4" t="str">
        <f>VLOOKUP(H75,Clientes!B:D,3,)</f>
        <v>BANCO SAFRA S/A</v>
      </c>
    </row>
    <row r="76" spans="1:14" x14ac:dyDescent="0.25">
      <c r="A76" s="4" t="str">
        <f t="shared" si="1"/>
        <v>DESPESA DE REPRESENTAÇÃO - GARRAFAS EVENTO THE MACALLANTRADERRODRIGO SOARES TAKASAKI (AGENDA 42481</v>
      </c>
      <c r="B76" s="11">
        <v>46174</v>
      </c>
      <c r="C76" s="4">
        <v>817991</v>
      </c>
      <c r="D76" s="1" t="s">
        <v>378</v>
      </c>
      <c r="E76" s="14">
        <v>-784.28571428571399</v>
      </c>
      <c r="F76" s="36" t="s">
        <v>387</v>
      </c>
      <c r="G76" s="2">
        <v>46188</v>
      </c>
      <c r="H76" s="9">
        <v>15781</v>
      </c>
      <c r="I76" s="4"/>
      <c r="J76" s="4" t="s">
        <v>1782</v>
      </c>
      <c r="K76" s="7" t="s">
        <v>1633</v>
      </c>
      <c r="L76" s="1" t="s">
        <v>1783</v>
      </c>
      <c r="M76" s="9" t="s">
        <v>335</v>
      </c>
      <c r="N76" s="4" t="str">
        <f>VLOOKUP(H76,Clientes!B:D,3,)</f>
        <v>BANCO SAFRA S/A</v>
      </c>
    </row>
    <row r="77" spans="1:14" x14ac:dyDescent="0.25">
      <c r="A77" s="4" t="str">
        <f t="shared" si="1"/>
        <v>DESPESA DE REPRESENTAÇÃO - GARRAFAS EVENTO THE MACALLANTRADERRODRIGO SOARES TAKASAKI (AGENDA 42481</v>
      </c>
      <c r="B77" s="11">
        <v>46174</v>
      </c>
      <c r="C77" s="4">
        <v>817991</v>
      </c>
      <c r="D77" s="1" t="s">
        <v>459</v>
      </c>
      <c r="E77" s="14">
        <v>-784.28571428571399</v>
      </c>
      <c r="F77" s="36" t="s">
        <v>387</v>
      </c>
      <c r="G77" s="2">
        <v>46188</v>
      </c>
      <c r="H77" s="9">
        <v>15781</v>
      </c>
      <c r="I77" s="4"/>
      <c r="J77" s="4" t="s">
        <v>1782</v>
      </c>
      <c r="K77" s="7" t="s">
        <v>1633</v>
      </c>
      <c r="L77" s="1" t="s">
        <v>1783</v>
      </c>
      <c r="M77" s="9" t="s">
        <v>335</v>
      </c>
      <c r="N77" s="4" t="str">
        <f>VLOOKUP(H77,Clientes!B:D,3,)</f>
        <v>BANCO SAFRA S/A</v>
      </c>
    </row>
    <row r="78" spans="1:14" x14ac:dyDescent="0.25">
      <c r="A78" s="4" t="str">
        <f t="shared" si="1"/>
        <v>DESPESA DE REPRESENTAÇÃO - GARRAFAS EVENTO THE MACALLANTRADERRODRIGO SOARES TAKASAKI (AGENDA 42481</v>
      </c>
      <c r="B78" s="11">
        <v>46174</v>
      </c>
      <c r="C78" s="4">
        <v>817991</v>
      </c>
      <c r="D78" s="1" t="s">
        <v>31</v>
      </c>
      <c r="E78" s="14">
        <v>-784.28571428571399</v>
      </c>
      <c r="F78" s="36" t="s">
        <v>387</v>
      </c>
      <c r="G78" s="2">
        <v>46188</v>
      </c>
      <c r="H78" s="9">
        <v>15781</v>
      </c>
      <c r="I78" s="4"/>
      <c r="J78" s="4" t="s">
        <v>1782</v>
      </c>
      <c r="K78" s="7" t="s">
        <v>1633</v>
      </c>
      <c r="L78" s="1" t="s">
        <v>1783</v>
      </c>
      <c r="M78" s="9" t="s">
        <v>335</v>
      </c>
      <c r="N78" s="4" t="str">
        <f>VLOOKUP(H78,Clientes!B:D,3,)</f>
        <v>BANCO SAFRA S/A</v>
      </c>
    </row>
    <row r="79" spans="1:14" x14ac:dyDescent="0.25">
      <c r="A79" s="4" t="str">
        <f t="shared" si="1"/>
        <v>DESPESA DE REPRESENTAÇÃO - GARRAFAS EVENTO THE MACALLANTRADERSEAN MADISON GREGORY (AGENDA 42481</v>
      </c>
      <c r="B79" s="11">
        <v>46174</v>
      </c>
      <c r="C79" s="4">
        <v>817991</v>
      </c>
      <c r="D79" s="1" t="s">
        <v>624</v>
      </c>
      <c r="E79" s="14">
        <v>-4300</v>
      </c>
      <c r="F79" s="36" t="s">
        <v>387</v>
      </c>
      <c r="G79" s="2">
        <v>46188</v>
      </c>
      <c r="H79" s="9">
        <v>81609</v>
      </c>
      <c r="I79" s="4"/>
      <c r="J79" s="4" t="s">
        <v>1782</v>
      </c>
      <c r="K79" s="7" t="s">
        <v>1633</v>
      </c>
      <c r="L79" s="1" t="s">
        <v>392</v>
      </c>
      <c r="M79" s="9" t="s">
        <v>335</v>
      </c>
      <c r="N79" s="4" t="str">
        <f>VLOOKUP(H79,Clientes!B:D,3,)</f>
        <v>BANCO CITIBANK S/A</v>
      </c>
    </row>
    <row r="80" spans="1:14" x14ac:dyDescent="0.25">
      <c r="A80" s="4" t="str">
        <f t="shared" si="1"/>
        <v>DESPESA DE REPRESENTAÇÃO - GARRAFAS EVENTO THE MACALLANTRADERSEAN MADISON GREGORY (AGENDA 42481</v>
      </c>
      <c r="B80" s="11">
        <v>46174</v>
      </c>
      <c r="C80" s="4">
        <v>817991</v>
      </c>
      <c r="D80" s="1" t="s">
        <v>1053</v>
      </c>
      <c r="E80" s="14">
        <v>-4300</v>
      </c>
      <c r="F80" s="36" t="s">
        <v>387</v>
      </c>
      <c r="G80" s="2">
        <v>46188</v>
      </c>
      <c r="H80" s="9">
        <v>81609</v>
      </c>
      <c r="I80" s="4"/>
      <c r="J80" s="4" t="s">
        <v>1782</v>
      </c>
      <c r="K80" s="7" t="s">
        <v>1633</v>
      </c>
      <c r="L80" s="1" t="s">
        <v>392</v>
      </c>
      <c r="M80" s="9" t="s">
        <v>335</v>
      </c>
      <c r="N80" s="4" t="str">
        <f>VLOOKUP(H80,Clientes!B:D,3,)</f>
        <v>BANCO CITIBANK S/A</v>
      </c>
    </row>
    <row r="81" spans="1:14" x14ac:dyDescent="0.25">
      <c r="A81" s="4" t="str">
        <f t="shared" si="1"/>
        <v>DESPESA DE REPRESENTAÇÃO - GARRAFAS EVENTO THE MACALLANTRADERGIOVANNE TELES (AGENDA 42481</v>
      </c>
      <c r="B81" s="11">
        <v>46174</v>
      </c>
      <c r="C81" s="4">
        <v>817991</v>
      </c>
      <c r="D81" s="1" t="s">
        <v>516</v>
      </c>
      <c r="E81" s="14">
        <v>-990</v>
      </c>
      <c r="F81" s="36" t="s">
        <v>387</v>
      </c>
      <c r="G81" s="2">
        <v>46188</v>
      </c>
      <c r="H81" s="9">
        <v>80195</v>
      </c>
      <c r="I81" s="4"/>
      <c r="J81" s="4" t="s">
        <v>1782</v>
      </c>
      <c r="K81" s="7" t="s">
        <v>1633</v>
      </c>
      <c r="L81" s="1" t="s">
        <v>583</v>
      </c>
      <c r="M81" s="9" t="s">
        <v>335</v>
      </c>
      <c r="N81" s="4" t="str">
        <f>VLOOKUP(H81,Clientes!B:D,3,)</f>
        <v>BANCO SANTANDER S/A (HISPANO)</v>
      </c>
    </row>
    <row r="82" spans="1:14" x14ac:dyDescent="0.25">
      <c r="A82" s="4" t="str">
        <f t="shared" si="1"/>
        <v>DESPESA DE REPRESENTAÇÃO - GARRAFAS EVENTO THE MACALLANTRADERCRISTIANO SOARES (AGENDA 42481</v>
      </c>
      <c r="B82" s="11">
        <v>46174</v>
      </c>
      <c r="C82" s="4">
        <v>817991</v>
      </c>
      <c r="D82" s="1" t="s">
        <v>482</v>
      </c>
      <c r="E82" s="14">
        <v>-990</v>
      </c>
      <c r="F82" s="36" t="s">
        <v>387</v>
      </c>
      <c r="G82" s="2">
        <v>46188</v>
      </c>
      <c r="H82" s="9">
        <v>81765</v>
      </c>
      <c r="I82" s="4"/>
      <c r="J82" s="4" t="s">
        <v>1782</v>
      </c>
      <c r="K82" s="7" t="s">
        <v>1633</v>
      </c>
      <c r="L82" s="1" t="s">
        <v>1509</v>
      </c>
      <c r="M82" s="9" t="s">
        <v>335</v>
      </c>
      <c r="N82" s="4" t="str">
        <f>VLOOKUP(H82,Clientes!B:D,3,)</f>
        <v>UBS AG, LONDON BRANCH NOVO</v>
      </c>
    </row>
    <row r="83" spans="1:14" x14ac:dyDescent="0.25">
      <c r="A83" s="4" t="str">
        <f t="shared" si="1"/>
        <v>DESPESA DE REPRESENTAÇÃO - GARRAFAS EVENTO THE MACALLANTRADERTOMAS FORTES SOARES QUIEZI (AGENDA 42481</v>
      </c>
      <c r="B83" s="11">
        <v>46174</v>
      </c>
      <c r="C83" s="4">
        <v>817991</v>
      </c>
      <c r="D83" s="1" t="s">
        <v>1784</v>
      </c>
      <c r="E83" s="14">
        <f>E82/3</f>
        <v>-330</v>
      </c>
      <c r="F83" s="36" t="s">
        <v>387</v>
      </c>
      <c r="G83" s="2">
        <v>46188</v>
      </c>
      <c r="H83" s="9">
        <v>16702</v>
      </c>
      <c r="I83" s="4"/>
      <c r="J83" s="4" t="s">
        <v>1782</v>
      </c>
      <c r="K83" s="7" t="s">
        <v>1633</v>
      </c>
      <c r="L83" s="1" t="s">
        <v>1785</v>
      </c>
      <c r="M83" s="9" t="s">
        <v>335</v>
      </c>
      <c r="N83" s="4" t="str">
        <f>VLOOKUP(H83,Clientes!B:D,3,)</f>
        <v>BANCO BRADESCO S/A</v>
      </c>
    </row>
    <row r="84" spans="1:14" x14ac:dyDescent="0.25">
      <c r="A84" s="4" t="str">
        <f t="shared" si="1"/>
        <v>DESPESA DE REPRESENTAÇÃO - GARRAFAS EVENTO THE MACALLANTRADERTOMAS FORTES SOARES QUIEZI (AGENDA 42481</v>
      </c>
      <c r="B84" s="11">
        <v>46174</v>
      </c>
      <c r="C84" s="4">
        <v>817991</v>
      </c>
      <c r="D84" s="1" t="s">
        <v>480</v>
      </c>
      <c r="E84" s="14">
        <v>-660</v>
      </c>
      <c r="F84" s="36" t="s">
        <v>387</v>
      </c>
      <c r="G84" s="2">
        <v>46188</v>
      </c>
      <c r="H84" s="9">
        <v>16702</v>
      </c>
      <c r="I84" s="4"/>
      <c r="J84" s="4" t="s">
        <v>1782</v>
      </c>
      <c r="K84" s="7" t="s">
        <v>1633</v>
      </c>
      <c r="L84" s="1" t="s">
        <v>1785</v>
      </c>
      <c r="M84" s="9" t="s">
        <v>335</v>
      </c>
      <c r="N84" s="4" t="str">
        <f>VLOOKUP(H84,Clientes!B:D,3,)</f>
        <v>BANCO BRADESCO S/A</v>
      </c>
    </row>
    <row r="85" spans="1:14" x14ac:dyDescent="0.25">
      <c r="A85" s="4" t="str">
        <f t="shared" si="1"/>
        <v>DESPESA DE REPRESENTAÇÃO - FUTEBOLTRADERMICHEL TECLA MICHELUTTI (145946-3998FC</v>
      </c>
      <c r="B85" s="11">
        <v>46174</v>
      </c>
      <c r="C85" s="4">
        <v>817991</v>
      </c>
      <c r="D85" s="1" t="s">
        <v>480</v>
      </c>
      <c r="E85" s="14">
        <v>-942.8</v>
      </c>
      <c r="F85" s="5" t="s">
        <v>387</v>
      </c>
      <c r="G85" s="2">
        <v>46191</v>
      </c>
      <c r="H85" s="9">
        <v>82597</v>
      </c>
      <c r="I85" s="4"/>
      <c r="J85" s="4" t="s">
        <v>1731</v>
      </c>
      <c r="K85" s="7" t="s">
        <v>1732</v>
      </c>
      <c r="L85" s="1" t="s">
        <v>1728</v>
      </c>
      <c r="M85" s="9" t="s">
        <v>335</v>
      </c>
      <c r="N85" s="4" t="str">
        <f>VLOOKUP(H85,Clientes!B:D,3,)</f>
        <v>PORTO SEGURO INVESTIMENTOS LTDA</v>
      </c>
    </row>
    <row r="86" spans="1:14" ht="13.5" customHeight="1" x14ac:dyDescent="0.25">
      <c r="A86" s="4" t="str">
        <f t="shared" si="1"/>
        <v>DESPESA DE REPRESENTAÇÃO - FUTEBOLTRADERMICHEL TECLA MICHELUTTI (145946-3998FC</v>
      </c>
      <c r="B86" s="11">
        <v>46174</v>
      </c>
      <c r="C86" s="4">
        <v>817991</v>
      </c>
      <c r="D86" s="1" t="s">
        <v>378</v>
      </c>
      <c r="E86" s="14">
        <v>-942.8</v>
      </c>
      <c r="F86" s="5" t="s">
        <v>387</v>
      </c>
      <c r="G86" s="2">
        <v>46191</v>
      </c>
      <c r="H86" s="9">
        <v>82597</v>
      </c>
      <c r="I86" s="4"/>
      <c r="J86" s="4" t="s">
        <v>1731</v>
      </c>
      <c r="K86" s="7" t="s">
        <v>1732</v>
      </c>
      <c r="L86" s="1" t="s">
        <v>1728</v>
      </c>
      <c r="M86" s="9" t="s">
        <v>335</v>
      </c>
      <c r="N86" s="4" t="str">
        <f>VLOOKUP(H86,Clientes!B:D,3,)</f>
        <v>PORTO SEGURO INVESTIMENTOS LTDA</v>
      </c>
    </row>
    <row r="87" spans="1:14" x14ac:dyDescent="0.25">
      <c r="A87" s="4" t="str">
        <f t="shared" si="1"/>
        <v>DESPESA DE REPRESENTAÇÃO - FUTEBOLTRADERMICHEL TECLA MICHELUTTI (145946-3998FC</v>
      </c>
      <c r="B87" s="11">
        <v>46174</v>
      </c>
      <c r="C87" s="4">
        <v>817991</v>
      </c>
      <c r="D87" s="1" t="s">
        <v>516</v>
      </c>
      <c r="E87" s="14">
        <v>-942.8</v>
      </c>
      <c r="F87" s="5" t="s">
        <v>387</v>
      </c>
      <c r="G87" s="2">
        <v>46191</v>
      </c>
      <c r="H87" s="9">
        <v>82597</v>
      </c>
      <c r="I87" s="4"/>
      <c r="J87" s="4" t="s">
        <v>1731</v>
      </c>
      <c r="K87" s="7" t="s">
        <v>1732</v>
      </c>
      <c r="L87" s="1" t="s">
        <v>1728</v>
      </c>
      <c r="M87" s="9" t="s">
        <v>335</v>
      </c>
      <c r="N87" s="4" t="str">
        <f>VLOOKUP(H87,Clientes!B:D,3,)</f>
        <v>PORTO SEGURO INVESTIMENTOS LTDA</v>
      </c>
    </row>
    <row r="88" spans="1:14" x14ac:dyDescent="0.25">
      <c r="A88" s="4" t="str">
        <f t="shared" si="1"/>
        <v>DESPESA DE REPRESENTAÇÃO - FUTEBOLTRADERMICHEL TECLA MICHELUTTI (145946-3998FC</v>
      </c>
      <c r="B88" s="11">
        <v>46174</v>
      </c>
      <c r="C88" s="4">
        <v>817991</v>
      </c>
      <c r="D88" s="1" t="s">
        <v>1692</v>
      </c>
      <c r="E88" s="14">
        <v>-942.8</v>
      </c>
      <c r="F88" s="5" t="s">
        <v>387</v>
      </c>
      <c r="G88" s="2">
        <v>46191</v>
      </c>
      <c r="H88" s="9">
        <v>82597</v>
      </c>
      <c r="I88" s="4"/>
      <c r="J88" s="4" t="s">
        <v>1731</v>
      </c>
      <c r="K88" s="7" t="s">
        <v>1732</v>
      </c>
      <c r="L88" s="1" t="s">
        <v>1728</v>
      </c>
      <c r="M88" s="9" t="s">
        <v>335</v>
      </c>
      <c r="N88" s="4" t="str">
        <f>VLOOKUP(H88,Clientes!B:D,3,)</f>
        <v>PORTO SEGURO INVESTIMENTOS LTDA</v>
      </c>
    </row>
    <row r="89" spans="1:14" x14ac:dyDescent="0.25">
      <c r="A89" s="4" t="str">
        <f t="shared" si="1"/>
        <v>DESPESA DE REPRESENTAÇÃO - FUTEBOLTRADERMICHEL TECLA MICHELUTTI (145946-3998FC</v>
      </c>
      <c r="B89" s="11">
        <v>46174</v>
      </c>
      <c r="C89" s="4">
        <v>817991</v>
      </c>
      <c r="D89" s="1" t="s">
        <v>652</v>
      </c>
      <c r="E89" s="14">
        <v>-942.8</v>
      </c>
      <c r="F89" s="5" t="s">
        <v>387</v>
      </c>
      <c r="G89" s="2">
        <v>46191</v>
      </c>
      <c r="H89" s="9">
        <v>82597</v>
      </c>
      <c r="I89" s="4"/>
      <c r="J89" s="4" t="s">
        <v>1731</v>
      </c>
      <c r="K89" s="7" t="s">
        <v>1732</v>
      </c>
      <c r="L89" s="1" t="s">
        <v>1728</v>
      </c>
      <c r="M89" s="9" t="s">
        <v>335</v>
      </c>
      <c r="N89" s="4" t="str">
        <f>VLOOKUP(H89,Clientes!B:D,3,)</f>
        <v>PORTO SEGURO INVESTIMENTOS LTDA</v>
      </c>
    </row>
    <row r="90" spans="1:14" x14ac:dyDescent="0.25">
      <c r="A90" s="4" t="str">
        <f t="shared" si="1"/>
        <v>DESPESA DE REPRESENTAÇÃO - FRETE DOCUMENTAÇÃOBROKERPAOLO FRANCA LIDA (EMAIL 03/07/2026</v>
      </c>
      <c r="B90" s="11">
        <v>46174</v>
      </c>
      <c r="C90" s="4">
        <v>817991</v>
      </c>
      <c r="D90" s="1" t="s">
        <v>652</v>
      </c>
      <c r="E90" s="14">
        <v>-48.27</v>
      </c>
      <c r="F90" s="5" t="s">
        <v>389</v>
      </c>
      <c r="G90" s="2">
        <v>46203</v>
      </c>
      <c r="H90" s="9">
        <v>1170</v>
      </c>
      <c r="I90" s="4"/>
      <c r="J90" s="4" t="s">
        <v>660</v>
      </c>
      <c r="K90" s="7" t="s">
        <v>1792</v>
      </c>
      <c r="L90" s="1" t="s">
        <v>772</v>
      </c>
      <c r="M90" s="9" t="s">
        <v>2</v>
      </c>
      <c r="N90" s="4" t="str">
        <f>VLOOKUP(H90,Clientes!B:D,3,)</f>
        <v>BGC LIQUIDEZ DTVM LTDA</v>
      </c>
    </row>
    <row r="91" spans="1:14" x14ac:dyDescent="0.25">
      <c r="A91" s="4" t="str">
        <f t="shared" si="1"/>
        <v>DESPESA DE REPRESENTAÇÃO - EVENTO B HOTEL BRASÍLIABROKERANTÔNIO MARTINS NETO (AGENDA 42481</v>
      </c>
      <c r="B91" s="11">
        <v>46174</v>
      </c>
      <c r="C91" s="4">
        <v>817991</v>
      </c>
      <c r="D91" s="1" t="s">
        <v>626</v>
      </c>
      <c r="E91" s="14">
        <v>-2035.6666666666667</v>
      </c>
      <c r="F91" s="5" t="s">
        <v>387</v>
      </c>
      <c r="G91" s="2">
        <v>46188</v>
      </c>
      <c r="H91" s="9">
        <v>1170</v>
      </c>
      <c r="I91" s="4"/>
      <c r="J91" s="4" t="s">
        <v>1771</v>
      </c>
      <c r="K91" s="7" t="s">
        <v>1633</v>
      </c>
      <c r="L91" s="1" t="s">
        <v>626</v>
      </c>
      <c r="M91" s="9" t="s">
        <v>2</v>
      </c>
      <c r="N91" s="4" t="str">
        <f>VLOOKUP(H91,Clientes!B:D,3,)</f>
        <v>BGC LIQUIDEZ DTVM LTDA</v>
      </c>
    </row>
    <row r="92" spans="1:14" x14ac:dyDescent="0.25">
      <c r="A92" s="4" t="str">
        <f t="shared" si="1"/>
        <v>DESPESA DE REPRESENTAÇÃO - EVENTO B HOTEL BRASÍLIABROKERBRENO MELLO DOS SANTOS (AGENDA 42481</v>
      </c>
      <c r="B92" s="11">
        <v>46174</v>
      </c>
      <c r="C92" s="4">
        <v>817991</v>
      </c>
      <c r="D92" s="1" t="s">
        <v>993</v>
      </c>
      <c r="E92" s="14">
        <v>-2035.6666666666667</v>
      </c>
      <c r="F92" s="5" t="s">
        <v>387</v>
      </c>
      <c r="G92" s="2">
        <v>46188</v>
      </c>
      <c r="H92" s="9">
        <v>1170</v>
      </c>
      <c r="I92" s="4"/>
      <c r="J92" s="4" t="s">
        <v>1771</v>
      </c>
      <c r="K92" s="7" t="s">
        <v>1633</v>
      </c>
      <c r="L92" s="1" t="s">
        <v>993</v>
      </c>
      <c r="M92" s="9" t="s">
        <v>2</v>
      </c>
      <c r="N92" s="4" t="str">
        <f>VLOOKUP(H92,Clientes!B:D,3,)</f>
        <v>BGC LIQUIDEZ DTVM LTDA</v>
      </c>
    </row>
    <row r="93" spans="1:14" x14ac:dyDescent="0.25">
      <c r="A93" s="4" t="str">
        <f t="shared" si="1"/>
        <v>DESPESA DE REPRESENTAÇÃO - EVENTO B HOTEL BRASÍLIABROKERFABIO SOARES PFAENDER (AGENDA 42481</v>
      </c>
      <c r="B93" s="11">
        <v>46174</v>
      </c>
      <c r="C93" s="4">
        <v>817991</v>
      </c>
      <c r="D93" s="1" t="s">
        <v>503</v>
      </c>
      <c r="E93" s="14">
        <v>-2035.6666666666667</v>
      </c>
      <c r="F93" s="5" t="s">
        <v>387</v>
      </c>
      <c r="G93" s="2">
        <v>46188</v>
      </c>
      <c r="H93" s="9">
        <v>1170</v>
      </c>
      <c r="I93" s="4"/>
      <c r="J93" s="4" t="s">
        <v>1771</v>
      </c>
      <c r="K93" s="7" t="s">
        <v>1633</v>
      </c>
      <c r="L93" s="1" t="s">
        <v>503</v>
      </c>
      <c r="M93" s="9" t="s">
        <v>2</v>
      </c>
      <c r="N93" s="4" t="str">
        <f>VLOOKUP(H93,Clientes!B:D,3,)</f>
        <v>BGC LIQUIDEZ DTVM LTDA</v>
      </c>
    </row>
    <row r="94" spans="1:14" x14ac:dyDescent="0.25">
      <c r="A94" s="4" t="str">
        <f t="shared" si="1"/>
        <v>DESPESA DE REPRESENTAÇÃO - EVENTO B HOTEL BRASÍLIABROKERGUSTAVO D ELBOUX FERRIELLO (AGENDA 42481</v>
      </c>
      <c r="B94" s="11">
        <v>46174</v>
      </c>
      <c r="C94" s="4">
        <v>817991</v>
      </c>
      <c r="D94" s="1" t="s">
        <v>615</v>
      </c>
      <c r="E94" s="14">
        <v>-2035.6666666666667</v>
      </c>
      <c r="F94" s="5" t="s">
        <v>387</v>
      </c>
      <c r="G94" s="2">
        <v>46188</v>
      </c>
      <c r="H94" s="9">
        <v>1170</v>
      </c>
      <c r="I94" s="4"/>
      <c r="J94" s="4" t="s">
        <v>1771</v>
      </c>
      <c r="K94" s="7" t="s">
        <v>1633</v>
      </c>
      <c r="L94" s="1" t="s">
        <v>615</v>
      </c>
      <c r="M94" s="9" t="s">
        <v>2</v>
      </c>
      <c r="N94" s="4" t="str">
        <f>VLOOKUP(H94,Clientes!B:D,3,)</f>
        <v>BGC LIQUIDEZ DTVM LTDA</v>
      </c>
    </row>
    <row r="95" spans="1:14" x14ac:dyDescent="0.25">
      <c r="A95" s="4" t="str">
        <f t="shared" si="1"/>
        <v>DESPESA DE REPRESENTAÇÃO - EVENTO B HOTEL BRASÍLIABROKERRICARDO ANDRE VASCONCELOS RAMOS (AGENDA 42481</v>
      </c>
      <c r="B95" s="11">
        <v>46174</v>
      </c>
      <c r="C95" s="4">
        <v>817991</v>
      </c>
      <c r="D95" s="1" t="s">
        <v>604</v>
      </c>
      <c r="E95" s="14">
        <v>-2035.6666666666667</v>
      </c>
      <c r="F95" s="5" t="s">
        <v>387</v>
      </c>
      <c r="G95" s="2">
        <v>46188</v>
      </c>
      <c r="H95" s="9">
        <v>1170</v>
      </c>
      <c r="I95" s="4"/>
      <c r="J95" s="4" t="s">
        <v>1771</v>
      </c>
      <c r="K95" s="7" t="s">
        <v>1633</v>
      </c>
      <c r="L95" s="1" t="s">
        <v>604</v>
      </c>
      <c r="M95" s="9" t="s">
        <v>2</v>
      </c>
      <c r="N95" s="4" t="str">
        <f>VLOOKUP(H95,Clientes!B:D,3,)</f>
        <v>BGC LIQUIDEZ DTVM LTDA</v>
      </c>
    </row>
    <row r="96" spans="1:14" x14ac:dyDescent="0.25">
      <c r="A96" s="4" t="str">
        <f t="shared" si="1"/>
        <v>DESPESA DE REPRESENTAÇÃO - EVENTO B HOTEL BRASÍLIABROKERWESLEY MARQUES DA SILVA (AGENDA 42481</v>
      </c>
      <c r="B96" s="11">
        <v>46174</v>
      </c>
      <c r="C96" s="4">
        <v>817991</v>
      </c>
      <c r="D96" s="1" t="s">
        <v>1310</v>
      </c>
      <c r="E96" s="14">
        <v>-2035.6666666666667</v>
      </c>
      <c r="F96" s="5" t="s">
        <v>387</v>
      </c>
      <c r="G96" s="2">
        <v>46188</v>
      </c>
      <c r="H96" s="9">
        <v>1170</v>
      </c>
      <c r="I96" s="4"/>
      <c r="J96" s="4" t="s">
        <v>1771</v>
      </c>
      <c r="K96" s="7" t="s">
        <v>1633</v>
      </c>
      <c r="L96" s="1" t="s">
        <v>1310</v>
      </c>
      <c r="M96" s="9" t="s">
        <v>2</v>
      </c>
      <c r="N96" s="4" t="str">
        <f>VLOOKUP(H96,Clientes!B:D,3,)</f>
        <v>BGC LIQUIDEZ DTVM LTDA</v>
      </c>
    </row>
    <row r="97" spans="1:14" x14ac:dyDescent="0.25">
      <c r="A97" s="4" t="str">
        <f t="shared" si="1"/>
        <v>DESPESA DE REPRESENTAÇÃO - EVENTO B HOTEL BRASÍLIABROKERENRICO BORTPLUZO CASSIANO (AGENDA 42481</v>
      </c>
      <c r="B97" s="11">
        <v>46174</v>
      </c>
      <c r="C97" s="4">
        <v>817991</v>
      </c>
      <c r="D97" s="1" t="s">
        <v>647</v>
      </c>
      <c r="E97" s="14">
        <v>-6104</v>
      </c>
      <c r="F97" s="5" t="s">
        <v>387</v>
      </c>
      <c r="G97" s="2">
        <v>46188</v>
      </c>
      <c r="H97" s="9">
        <v>1170</v>
      </c>
      <c r="I97" s="4"/>
      <c r="J97" s="4" t="s">
        <v>1771</v>
      </c>
      <c r="K97" s="7" t="s">
        <v>1633</v>
      </c>
      <c r="L97" s="1" t="s">
        <v>647</v>
      </c>
      <c r="M97" s="9" t="s">
        <v>2</v>
      </c>
      <c r="N97" s="4" t="str">
        <f>VLOOKUP(H97,Clientes!B:D,3,)</f>
        <v>BGC LIQUIDEZ DTVM LTDA</v>
      </c>
    </row>
    <row r="98" spans="1:14" x14ac:dyDescent="0.25">
      <c r="A98" s="4" t="str">
        <f t="shared" si="1"/>
        <v>DESPESA DE REPRESENTAÇÃO - ESTACIONAMENTO AEROPORTO DE CONGONHAS  SALESJOSE ANTONIO DEZENE JUNIOR (104251-3688JD</v>
      </c>
      <c r="B98" s="11">
        <v>46174</v>
      </c>
      <c r="C98" s="4">
        <v>817991</v>
      </c>
      <c r="D98" s="16" t="s">
        <v>428</v>
      </c>
      <c r="E98" s="14">
        <v>-120</v>
      </c>
      <c r="F98" s="2" t="s">
        <v>388</v>
      </c>
      <c r="G98" s="2">
        <v>46176</v>
      </c>
      <c r="H98" s="9">
        <v>79475</v>
      </c>
      <c r="I98" s="4" t="s">
        <v>336</v>
      </c>
      <c r="J98" s="4" t="s">
        <v>1533</v>
      </c>
      <c r="K98" s="7" t="s">
        <v>1534</v>
      </c>
      <c r="L98" s="9" t="s">
        <v>428</v>
      </c>
      <c r="M98" s="9" t="s">
        <v>468</v>
      </c>
      <c r="N98" s="4" t="str">
        <f>VLOOKUP(H98,Clientes!B:D,3,)</f>
        <v>CAIXA ECONOMICA FEDERAL</v>
      </c>
    </row>
    <row r="99" spans="1:14" x14ac:dyDescent="0.25">
      <c r="A99" s="4" t="str">
        <f t="shared" si="1"/>
        <v>DESPESA DE REPRESENTAÇÃO - CONDOMINIO E IPTU - FLATBROKERCHRISTIANO MARCONDES DE BARROS LIMA (AGENDA 42275</v>
      </c>
      <c r="B99" s="11">
        <v>46174</v>
      </c>
      <c r="C99" s="4">
        <v>817991</v>
      </c>
      <c r="D99" s="1" t="s">
        <v>60</v>
      </c>
      <c r="E99" s="14">
        <v>-788</v>
      </c>
      <c r="F99" s="2" t="s">
        <v>422</v>
      </c>
      <c r="G99" s="2">
        <v>46176</v>
      </c>
      <c r="H99" s="9">
        <v>1170</v>
      </c>
      <c r="I99" s="4"/>
      <c r="J99" s="4" t="s">
        <v>429</v>
      </c>
      <c r="K99" s="7" t="s">
        <v>1554</v>
      </c>
      <c r="L99" s="9" t="s">
        <v>60</v>
      </c>
      <c r="M99" s="9" t="s">
        <v>2</v>
      </c>
      <c r="N99" s="4" t="str">
        <f>VLOOKUP(H99,Clientes!B:D,3,)</f>
        <v>BGC LIQUIDEZ DTVM LTDA</v>
      </c>
    </row>
    <row r="100" spans="1:14" x14ac:dyDescent="0.25">
      <c r="A100" s="4" t="str">
        <f t="shared" si="1"/>
        <v>DESPESA DE REPRESENTAÇÃO - CONDOMINIO E IPTU - FLATBROKERJOSE MAURICIO GOMES TEIXEIRA (AGENDA 42275</v>
      </c>
      <c r="B100" s="11">
        <v>46174</v>
      </c>
      <c r="C100" s="4">
        <v>817991</v>
      </c>
      <c r="D100" s="1" t="s">
        <v>23</v>
      </c>
      <c r="E100" s="14">
        <v>-788</v>
      </c>
      <c r="F100" s="2" t="s">
        <v>422</v>
      </c>
      <c r="G100" s="2">
        <v>46176</v>
      </c>
      <c r="H100" s="9">
        <v>1170</v>
      </c>
      <c r="I100" s="4"/>
      <c r="J100" s="4" t="s">
        <v>429</v>
      </c>
      <c r="K100" s="7" t="s">
        <v>1554</v>
      </c>
      <c r="L100" s="9" t="s">
        <v>23</v>
      </c>
      <c r="M100" s="9" t="s">
        <v>2</v>
      </c>
      <c r="N100" s="4" t="str">
        <f>VLOOKUP(H100,Clientes!B:D,3,)</f>
        <v>BGC LIQUIDEZ DTVM LTDA</v>
      </c>
    </row>
    <row r="101" spans="1:14" x14ac:dyDescent="0.25">
      <c r="A101" s="4" t="str">
        <f t="shared" si="1"/>
        <v>DESPESA DE REPRESENTAÇÃO - CONDOMINIO E IPTU - FLATGESTORANDRE HALL ACCIOLY (AGENDA 42275</v>
      </c>
      <c r="B101" s="11">
        <v>46174</v>
      </c>
      <c r="C101" s="4">
        <v>817991</v>
      </c>
      <c r="D101" s="1" t="s">
        <v>423</v>
      </c>
      <c r="E101" s="14">
        <v>-1576</v>
      </c>
      <c r="F101" s="2" t="s">
        <v>422</v>
      </c>
      <c r="G101" s="2">
        <v>46176</v>
      </c>
      <c r="H101" s="9">
        <v>1170</v>
      </c>
      <c r="I101" s="4"/>
      <c r="J101" s="4" t="s">
        <v>429</v>
      </c>
      <c r="K101" s="7" t="s">
        <v>1554</v>
      </c>
      <c r="L101" s="9" t="s">
        <v>742</v>
      </c>
      <c r="M101" s="9" t="s">
        <v>598</v>
      </c>
      <c r="N101" s="4" t="str">
        <f>VLOOKUP(H101,Clientes!B:D,3,)</f>
        <v>BGC LIQUIDEZ DTVM LTDA</v>
      </c>
    </row>
    <row r="102" spans="1:14" x14ac:dyDescent="0.25">
      <c r="A102" s="4" t="str">
        <f t="shared" si="1"/>
        <v>DESPESA DE REPRESENTAÇÃO - CONDOMINIO E IPTU - FLATBROKERPAULO GUILHERME MENEZES FELIX (AGENDA 42282</v>
      </c>
      <c r="B102" s="11">
        <v>46174</v>
      </c>
      <c r="C102" s="4">
        <v>817991</v>
      </c>
      <c r="D102" s="1" t="s">
        <v>424</v>
      </c>
      <c r="E102" s="14">
        <v>-977.17</v>
      </c>
      <c r="F102" s="5" t="s">
        <v>422</v>
      </c>
      <c r="G102" s="2">
        <v>46197</v>
      </c>
      <c r="H102" s="9">
        <v>1170</v>
      </c>
      <c r="I102" s="4"/>
      <c r="J102" s="4" t="s">
        <v>429</v>
      </c>
      <c r="K102" s="7" t="s">
        <v>1722</v>
      </c>
      <c r="L102" s="1" t="s">
        <v>424</v>
      </c>
      <c r="M102" s="9" t="s">
        <v>2</v>
      </c>
      <c r="N102" s="4" t="str">
        <f>VLOOKUP(H102,Clientes!B:D,3,)</f>
        <v>BGC LIQUIDEZ DTVM LTDA</v>
      </c>
    </row>
    <row r="103" spans="1:14" x14ac:dyDescent="0.25">
      <c r="A103" s="4" t="str">
        <f t="shared" si="1"/>
        <v>DESPESA DE REPRESENTAÇÃO - CARTÃO CORPORATIVO NACIONALCEOERMINIO OLIVI LUCCI (AGENDA 42481</v>
      </c>
      <c r="B103" s="11">
        <v>46174</v>
      </c>
      <c r="C103" s="4">
        <v>817991</v>
      </c>
      <c r="D103" s="1" t="s">
        <v>650</v>
      </c>
      <c r="E103" s="27">
        <v>-45379.839999999997</v>
      </c>
      <c r="F103" s="5" t="s">
        <v>389</v>
      </c>
      <c r="G103" s="2">
        <v>46188</v>
      </c>
      <c r="H103" s="9">
        <v>1170</v>
      </c>
      <c r="I103" s="4"/>
      <c r="J103" s="4" t="s">
        <v>984</v>
      </c>
      <c r="K103" s="7" t="s">
        <v>1633</v>
      </c>
      <c r="L103" s="1" t="s">
        <v>650</v>
      </c>
      <c r="M103" s="9" t="s">
        <v>490</v>
      </c>
      <c r="N103" s="4" t="str">
        <f>VLOOKUP(H103,Clientes!B:D,3,)</f>
        <v>BGC LIQUIDEZ DTVM LTDA</v>
      </c>
    </row>
    <row r="104" spans="1:14" x14ac:dyDescent="0.25">
      <c r="A104" s="4" t="str">
        <f t="shared" si="1"/>
        <v>DESPESA DE REPRESENTAÇÃO - CARTÃO CORPORATIVO INTERNACIONALCEOERMINIO OLIVI LUCCI (AGENDA 42481</v>
      </c>
      <c r="B104" s="11">
        <v>46174</v>
      </c>
      <c r="C104" s="4">
        <v>817991</v>
      </c>
      <c r="D104" s="1" t="s">
        <v>650</v>
      </c>
      <c r="E104" s="14">
        <v>-14447.580000000002</v>
      </c>
      <c r="F104" s="5" t="s">
        <v>389</v>
      </c>
      <c r="G104" s="2">
        <v>46188</v>
      </c>
      <c r="H104" s="9">
        <v>1170</v>
      </c>
      <c r="I104" s="4"/>
      <c r="J104" s="4" t="s">
        <v>983</v>
      </c>
      <c r="K104" s="7" t="s">
        <v>1633</v>
      </c>
      <c r="L104" s="1" t="s">
        <v>650</v>
      </c>
      <c r="M104" s="9" t="s">
        <v>490</v>
      </c>
      <c r="N104" s="4" t="str">
        <f>VLOOKUP(H104,Clientes!B:D,3,)</f>
        <v>BGC LIQUIDEZ DTVM LTDA</v>
      </c>
    </row>
    <row r="105" spans="1:14" x14ac:dyDescent="0.25">
      <c r="A105" s="4" t="str">
        <f t="shared" si="1"/>
        <v>DESPESA DE REPRESENTAÇÃO - CAFÉ DA MANHÃPOLÍTICOROMEU ZEMA (AGENDA 42481</v>
      </c>
      <c r="B105" s="11">
        <v>46174</v>
      </c>
      <c r="C105" s="4">
        <v>817991</v>
      </c>
      <c r="D105" s="1" t="s">
        <v>624</v>
      </c>
      <c r="E105" s="14">
        <v>-2158.87</v>
      </c>
      <c r="F105" s="5" t="s">
        <v>771</v>
      </c>
      <c r="G105" s="2">
        <v>46188</v>
      </c>
      <c r="H105" s="9">
        <v>80240</v>
      </c>
      <c r="I105" s="4"/>
      <c r="J105" s="4" t="s">
        <v>771</v>
      </c>
      <c r="K105" s="7" t="s">
        <v>1633</v>
      </c>
      <c r="L105" s="1" t="s">
        <v>1773</v>
      </c>
      <c r="M105" s="9" t="s">
        <v>1774</v>
      </c>
      <c r="N105" s="4" t="str">
        <f>VLOOKUP(H105,Clientes!B:D,3,)</f>
        <v>KINEA INVESTIMENTOS LTDA</v>
      </c>
    </row>
    <row r="106" spans="1:14" x14ac:dyDescent="0.25">
      <c r="A106" s="4" t="str">
        <f t="shared" si="1"/>
        <v>DESPESA DE REPRESENTAÇÃO - ALUGUEL FLAT BROKERCHRISTIANO MARCONDES DE BARROS LIMA (AGENDA 42273</v>
      </c>
      <c r="B106" s="11">
        <v>46174</v>
      </c>
      <c r="C106" s="4">
        <v>817991</v>
      </c>
      <c r="D106" s="1" t="s">
        <v>60</v>
      </c>
      <c r="E106" s="14">
        <v>-1287.1324999999999</v>
      </c>
      <c r="F106" s="2" t="s">
        <v>422</v>
      </c>
      <c r="G106" s="2">
        <v>46176</v>
      </c>
      <c r="H106" s="9">
        <v>1170</v>
      </c>
      <c r="I106" s="4"/>
      <c r="J106" s="4" t="s">
        <v>425</v>
      </c>
      <c r="K106" s="7" t="s">
        <v>1553</v>
      </c>
      <c r="L106" s="9" t="s">
        <v>60</v>
      </c>
      <c r="M106" s="9" t="s">
        <v>2</v>
      </c>
      <c r="N106" s="4" t="str">
        <f>VLOOKUP(H106,Clientes!B:D,3,)</f>
        <v>BGC LIQUIDEZ DTVM LTDA</v>
      </c>
    </row>
    <row r="107" spans="1:14" x14ac:dyDescent="0.25">
      <c r="A107" s="4" t="str">
        <f t="shared" si="1"/>
        <v>DESPESA DE REPRESENTAÇÃO - ALUGUEL FLAT BROKERJOSE MAURICIO GOMES TEIXEIRA (AGENDA 42273</v>
      </c>
      <c r="B107" s="11">
        <v>46174</v>
      </c>
      <c r="C107" s="4">
        <v>817991</v>
      </c>
      <c r="D107" s="1" t="s">
        <v>23</v>
      </c>
      <c r="E107" s="14">
        <v>-1287.1324999999999</v>
      </c>
      <c r="F107" s="2" t="s">
        <v>422</v>
      </c>
      <c r="G107" s="2">
        <v>46176</v>
      </c>
      <c r="H107" s="9">
        <v>1170</v>
      </c>
      <c r="I107" s="4"/>
      <c r="J107" s="4" t="s">
        <v>425</v>
      </c>
      <c r="K107" s="7" t="s">
        <v>1553</v>
      </c>
      <c r="L107" s="9" t="s">
        <v>23</v>
      </c>
      <c r="M107" s="9" t="s">
        <v>2</v>
      </c>
      <c r="N107" s="4" t="str">
        <f>VLOOKUP(H107,Clientes!B:D,3,)</f>
        <v>BGC LIQUIDEZ DTVM LTDA</v>
      </c>
    </row>
    <row r="108" spans="1:14" x14ac:dyDescent="0.25">
      <c r="A108" s="4" t="str">
        <f t="shared" si="1"/>
        <v>DESPESA DE REPRESENTAÇÃO - ALUGUEL FLAT GESTORANDRE HALL ACCIOLY (AGENDA 42273</v>
      </c>
      <c r="B108" s="11">
        <v>46174</v>
      </c>
      <c r="C108" s="4">
        <v>817991</v>
      </c>
      <c r="D108" s="1" t="s">
        <v>423</v>
      </c>
      <c r="E108" s="14">
        <v>-2574.2649999999999</v>
      </c>
      <c r="F108" s="2" t="s">
        <v>422</v>
      </c>
      <c r="G108" s="2">
        <v>46176</v>
      </c>
      <c r="H108" s="9">
        <v>1170</v>
      </c>
      <c r="I108" s="4"/>
      <c r="J108" s="4" t="s">
        <v>425</v>
      </c>
      <c r="K108" s="7" t="s">
        <v>1553</v>
      </c>
      <c r="L108" s="9" t="s">
        <v>742</v>
      </c>
      <c r="M108" s="9" t="s">
        <v>598</v>
      </c>
      <c r="N108" s="4" t="str">
        <f>VLOOKUP(H108,Clientes!B:D,3,)</f>
        <v>BGC LIQUIDEZ DTVM LTDA</v>
      </c>
    </row>
    <row r="109" spans="1:14" x14ac:dyDescent="0.25">
      <c r="A109" s="4" t="str">
        <f t="shared" si="1"/>
        <v>DESPESA DE REPRESENTAÇÃO - ALUGUEL FLAT BROKERPAULO GUILHERME MENEZES FELIX (AGENDA 42279</v>
      </c>
      <c r="B109" s="11">
        <v>46174</v>
      </c>
      <c r="C109" s="4">
        <v>817991</v>
      </c>
      <c r="D109" s="1" t="s">
        <v>424</v>
      </c>
      <c r="E109" s="14">
        <v>-4244.83</v>
      </c>
      <c r="F109" s="5" t="s">
        <v>422</v>
      </c>
      <c r="G109" s="2">
        <v>46197</v>
      </c>
      <c r="H109" s="9">
        <v>1170</v>
      </c>
      <c r="I109" s="4"/>
      <c r="J109" s="4" t="s">
        <v>425</v>
      </c>
      <c r="K109" s="7" t="s">
        <v>1723</v>
      </c>
      <c r="L109" s="1" t="s">
        <v>424</v>
      </c>
      <c r="M109" s="9" t="s">
        <v>2</v>
      </c>
      <c r="N109" s="4" t="str">
        <f>VLOOKUP(H109,Clientes!B:D,3,)</f>
        <v>BGC LIQUIDEZ DTVM LTDA</v>
      </c>
    </row>
    <row r="110" spans="1:14" x14ac:dyDescent="0.25">
      <c r="A110" s="4" t="str">
        <f t="shared" si="1"/>
        <v>DESPESA DE REPRESENTAÇÃO - ALMOÇO RUBAYAT RJ 20/05 COM A FUTURASALESJOSE ANTONIO DEZENE JUNIOR (AGENDA 42337</v>
      </c>
      <c r="B110" s="11">
        <v>46174</v>
      </c>
      <c r="C110" s="4">
        <v>817991</v>
      </c>
      <c r="D110" s="1" t="s">
        <v>428</v>
      </c>
      <c r="E110" s="14">
        <v>-3932.4</v>
      </c>
      <c r="F110" s="2" t="s">
        <v>447</v>
      </c>
      <c r="G110" s="2">
        <v>46176</v>
      </c>
      <c r="H110" s="9">
        <v>1170</v>
      </c>
      <c r="I110" s="4"/>
      <c r="J110" s="4" t="s">
        <v>1562</v>
      </c>
      <c r="K110" s="7" t="s">
        <v>1561</v>
      </c>
      <c r="L110" s="1" t="s">
        <v>428</v>
      </c>
      <c r="M110" s="9" t="s">
        <v>468</v>
      </c>
      <c r="N110" s="4" t="str">
        <f>VLOOKUP(H110,Clientes!B:D,3,)</f>
        <v>BGC LIQUIDEZ DTVM LTDA</v>
      </c>
    </row>
    <row r="111" spans="1:14" x14ac:dyDescent="0.25">
      <c r="A111" s="4" t="str">
        <f t="shared" si="1"/>
        <v>DESPESA DE REPRESENTAÇÃO - ALMOÇO COM WALPIRESTRADERFERNANDO (154140-3998EC</v>
      </c>
      <c r="B111" s="11">
        <v>46174</v>
      </c>
      <c r="C111" s="4">
        <v>817991</v>
      </c>
      <c r="D111" s="1" t="s">
        <v>647</v>
      </c>
      <c r="E111" s="14">
        <v>-1474</v>
      </c>
      <c r="F111" s="5" t="s">
        <v>447</v>
      </c>
      <c r="G111" s="2">
        <v>46198</v>
      </c>
      <c r="H111" s="9">
        <v>1170</v>
      </c>
      <c r="I111" s="4"/>
      <c r="J111" s="5" t="s">
        <v>1653</v>
      </c>
      <c r="K111" s="7" t="s">
        <v>1652</v>
      </c>
      <c r="L111" s="1" t="s">
        <v>1654</v>
      </c>
      <c r="M111" s="9" t="s">
        <v>335</v>
      </c>
      <c r="N111" s="4" t="str">
        <f>VLOOKUP(H111,Clientes!B:D,3,)</f>
        <v>BGC LIQUIDEZ DTVM LTDA</v>
      </c>
    </row>
    <row r="112" spans="1:14" x14ac:dyDescent="0.25">
      <c r="A112" s="4" t="str">
        <f t="shared" si="1"/>
        <v>DESPESA DE REPRESENTAÇÃO - ALMOÇO COM SOLANA TRADERRODRIGO FOGAGNOLO (104320-3998AF</v>
      </c>
      <c r="B112" s="11">
        <v>46174</v>
      </c>
      <c r="C112" s="4">
        <v>817991</v>
      </c>
      <c r="D112" s="1" t="s">
        <v>648</v>
      </c>
      <c r="E112" s="14">
        <v>-488</v>
      </c>
      <c r="F112" s="5" t="s">
        <v>447</v>
      </c>
      <c r="G112" s="2">
        <v>46191</v>
      </c>
      <c r="H112" s="9">
        <v>1170</v>
      </c>
      <c r="I112" s="4"/>
      <c r="J112" s="5" t="s">
        <v>1754</v>
      </c>
      <c r="K112" s="7" t="s">
        <v>1753</v>
      </c>
      <c r="L112" s="1" t="s">
        <v>1755</v>
      </c>
      <c r="M112" s="9" t="s">
        <v>335</v>
      </c>
      <c r="N112" s="4" t="str">
        <f>VLOOKUP(H112,Clientes!B:D,3,)</f>
        <v>BGC LIQUIDEZ DTVM LTDA</v>
      </c>
    </row>
    <row r="113" spans="1:14" x14ac:dyDescent="0.25">
      <c r="A113" s="4" t="str">
        <f t="shared" si="1"/>
        <v>DESPESA DE REPRESENTAÇÃO - ALMOÇO COM ROMEU ZEMATRADERGUILHERME GAYOLA CONTATO (AGENDA 42481</v>
      </c>
      <c r="B113" s="11">
        <v>46174</v>
      </c>
      <c r="C113" s="4">
        <v>817991</v>
      </c>
      <c r="D113" s="1" t="s">
        <v>516</v>
      </c>
      <c r="E113" s="14">
        <v>-764.10857142857151</v>
      </c>
      <c r="F113" s="5" t="s">
        <v>447</v>
      </c>
      <c r="G113" s="2">
        <v>46188</v>
      </c>
      <c r="H113" s="9">
        <v>81541</v>
      </c>
      <c r="I113" s="4"/>
      <c r="J113" s="5" t="s">
        <v>2700</v>
      </c>
      <c r="K113" s="7" t="s">
        <v>1633</v>
      </c>
      <c r="L113" s="1" t="s">
        <v>218</v>
      </c>
      <c r="M113" s="9" t="s">
        <v>335</v>
      </c>
      <c r="N113" s="4" t="str">
        <f>VLOOKUP(H113,Clientes!B:D,3,)</f>
        <v>BANCO JP MORGAN S/A</v>
      </c>
    </row>
    <row r="114" spans="1:14" x14ac:dyDescent="0.25">
      <c r="A114" s="4" t="str">
        <f t="shared" si="1"/>
        <v>DESPESA DE REPRESENTAÇÃO - ALMOÇO COM ROMEU ZEMATRADERGUILHERME GAYOLA CONTATO (AGENDA 42481</v>
      </c>
      <c r="B114" s="11">
        <v>46174</v>
      </c>
      <c r="C114" s="4">
        <v>817991</v>
      </c>
      <c r="D114" s="1" t="s">
        <v>574</v>
      </c>
      <c r="E114" s="14">
        <v>-764.10857142857151</v>
      </c>
      <c r="F114" s="5" t="s">
        <v>447</v>
      </c>
      <c r="G114" s="2">
        <v>46188</v>
      </c>
      <c r="H114" s="9">
        <v>81541</v>
      </c>
      <c r="I114" s="4"/>
      <c r="J114" s="5" t="s">
        <v>2700</v>
      </c>
      <c r="K114" s="7" t="s">
        <v>1633</v>
      </c>
      <c r="L114" s="1" t="s">
        <v>218</v>
      </c>
      <c r="M114" s="9" t="s">
        <v>335</v>
      </c>
      <c r="N114" s="4" t="str">
        <f>VLOOKUP(H114,Clientes!B:D,3,)</f>
        <v>BANCO JP MORGAN S/A</v>
      </c>
    </row>
    <row r="115" spans="1:14" x14ac:dyDescent="0.25">
      <c r="A115" s="4" t="str">
        <f t="shared" si="1"/>
        <v>DESPESA DE REPRESENTAÇÃO - ALMOÇO COM ROMEU ZEMATRADERRODOLFO GOYTACAZ CAVALHEIRO (AGENDA 42481</v>
      </c>
      <c r="B115" s="11">
        <v>46174</v>
      </c>
      <c r="C115" s="4">
        <v>817991</v>
      </c>
      <c r="D115" s="1" t="s">
        <v>574</v>
      </c>
      <c r="E115" s="14">
        <v>-1528.217142857143</v>
      </c>
      <c r="F115" s="5" t="s">
        <v>447</v>
      </c>
      <c r="G115" s="2">
        <v>46188</v>
      </c>
      <c r="H115" s="9">
        <v>79924</v>
      </c>
      <c r="I115" s="4"/>
      <c r="J115" s="5" t="s">
        <v>2700</v>
      </c>
      <c r="K115" s="7" t="s">
        <v>1633</v>
      </c>
      <c r="L115" s="1" t="s">
        <v>359</v>
      </c>
      <c r="M115" s="9" t="s">
        <v>335</v>
      </c>
      <c r="N115" s="4" t="str">
        <f>VLOOKUP(H115,Clientes!B:D,3,)</f>
        <v>STANDARD CHARTERED BANK (LONDRES)</v>
      </c>
    </row>
    <row r="116" spans="1:14" x14ac:dyDescent="0.25">
      <c r="A116" s="4" t="str">
        <f t="shared" si="1"/>
        <v>DESPESA DE REPRESENTAÇÃO - ALMOÇO COM ROMEU ZEMATRADERWILLIAM PINTO PEREIRA LEITE (AGENDA 42481</v>
      </c>
      <c r="B116" s="11">
        <v>46174</v>
      </c>
      <c r="C116" s="4">
        <v>817991</v>
      </c>
      <c r="D116" s="1" t="s">
        <v>2699</v>
      </c>
      <c r="E116" s="14">
        <v>-1528.217142857143</v>
      </c>
      <c r="F116" s="5" t="s">
        <v>447</v>
      </c>
      <c r="G116" s="2">
        <v>46188</v>
      </c>
      <c r="H116" s="9">
        <v>12296</v>
      </c>
      <c r="I116" s="4"/>
      <c r="J116" s="5" t="s">
        <v>2700</v>
      </c>
      <c r="K116" s="7" t="s">
        <v>1633</v>
      </c>
      <c r="L116" s="1" t="s">
        <v>287</v>
      </c>
      <c r="M116" s="9" t="s">
        <v>335</v>
      </c>
      <c r="N116" s="4" t="str">
        <f>VLOOKUP(H116,Clientes!B:D,3,)</f>
        <v>PATRIA INVESTIMENTOS LTDA</v>
      </c>
    </row>
    <row r="117" spans="1:14" x14ac:dyDescent="0.25">
      <c r="A117" s="4" t="str">
        <f t="shared" si="1"/>
        <v>DESPESA DE REPRESENTAÇÃO - ALMOÇO COM ROMEU ZEMATRADEREITAN CHERNIZON (AGENDA 42481</v>
      </c>
      <c r="B117" s="11">
        <v>46174</v>
      </c>
      <c r="C117" s="4">
        <v>817991</v>
      </c>
      <c r="D117" s="1" t="s">
        <v>574</v>
      </c>
      <c r="E117" s="14">
        <v>-1528.217142857143</v>
      </c>
      <c r="F117" s="5" t="s">
        <v>447</v>
      </c>
      <c r="G117" s="2">
        <v>46188</v>
      </c>
      <c r="H117" s="9">
        <v>83577</v>
      </c>
      <c r="I117" s="4"/>
      <c r="J117" s="5" t="s">
        <v>2700</v>
      </c>
      <c r="K117" s="7" t="s">
        <v>1633</v>
      </c>
      <c r="L117" s="1" t="s">
        <v>1778</v>
      </c>
      <c r="M117" s="9" t="s">
        <v>335</v>
      </c>
      <c r="N117" s="4" t="str">
        <f>VLOOKUP(H117,Clientes!B:D,3,)</f>
        <v>BANCO MIZUHO DO BRASIL S/A</v>
      </c>
    </row>
    <row r="118" spans="1:14" x14ac:dyDescent="0.25">
      <c r="A118" s="4" t="str">
        <f t="shared" si="1"/>
        <v>DESPESA DE REPRESENTAÇÃO - ALMOÇO COM ROMEU ZEMATRADERPEDRO CURY (AGENDA 42481</v>
      </c>
      <c r="B118" s="11">
        <v>46174</v>
      </c>
      <c r="C118" s="4">
        <v>817991</v>
      </c>
      <c r="D118" s="1" t="s">
        <v>516</v>
      </c>
      <c r="E118" s="14">
        <v>-764.10857142857151</v>
      </c>
      <c r="F118" s="5" t="s">
        <v>447</v>
      </c>
      <c r="G118" s="2">
        <v>46188</v>
      </c>
      <c r="H118" s="9">
        <v>81348</v>
      </c>
      <c r="I118" s="4"/>
      <c r="J118" s="5" t="s">
        <v>2700</v>
      </c>
      <c r="K118" s="7" t="s">
        <v>1633</v>
      </c>
      <c r="L118" s="1" t="s">
        <v>1779</v>
      </c>
      <c r="M118" s="9" t="s">
        <v>335</v>
      </c>
      <c r="N118" s="4" t="str">
        <f>VLOOKUP(H118,Clientes!B:D,3,)</f>
        <v>BANCO HSBC S/A</v>
      </c>
    </row>
    <row r="119" spans="1:14" x14ac:dyDescent="0.25">
      <c r="A119" s="4" t="str">
        <f t="shared" si="1"/>
        <v>DESPESA DE REPRESENTAÇÃO - ALMOÇO COM ROMEU ZEMATRADERPEDRO CURY (AGENDA 42481</v>
      </c>
      <c r="B119" s="11">
        <v>46174</v>
      </c>
      <c r="C119" s="4">
        <v>817991</v>
      </c>
      <c r="D119" s="1" t="s">
        <v>665</v>
      </c>
      <c r="E119" s="14">
        <v>-764.10857142857151</v>
      </c>
      <c r="F119" s="5" t="s">
        <v>447</v>
      </c>
      <c r="G119" s="2">
        <v>46188</v>
      </c>
      <c r="H119" s="9">
        <v>81348</v>
      </c>
      <c r="I119" s="4"/>
      <c r="J119" s="5" t="s">
        <v>2700</v>
      </c>
      <c r="K119" s="7" t="s">
        <v>1633</v>
      </c>
      <c r="L119" s="1" t="s">
        <v>1779</v>
      </c>
      <c r="M119" s="9" t="s">
        <v>335</v>
      </c>
      <c r="N119" s="4" t="str">
        <f>VLOOKUP(H119,Clientes!B:D,3,)</f>
        <v>BANCO HSBC S/A</v>
      </c>
    </row>
    <row r="120" spans="1:14" x14ac:dyDescent="0.25">
      <c r="A120" s="4" t="str">
        <f t="shared" si="1"/>
        <v>DESPESA DE REPRESENTAÇÃO - ALMOÇO COM FUTURASALESJOSE ANTONIO DEZENE JUNIOR (103241-3688JD</v>
      </c>
      <c r="B120" s="11">
        <v>46174</v>
      </c>
      <c r="C120" s="4">
        <v>817991</v>
      </c>
      <c r="D120" s="16" t="s">
        <v>428</v>
      </c>
      <c r="E120" s="14">
        <v>-1097.5</v>
      </c>
      <c r="F120" s="2" t="s">
        <v>447</v>
      </c>
      <c r="G120" s="2">
        <v>46176</v>
      </c>
      <c r="H120" s="9">
        <v>79475</v>
      </c>
      <c r="I120" s="4"/>
      <c r="J120" s="4" t="s">
        <v>1535</v>
      </c>
      <c r="K120" s="7" t="s">
        <v>1536</v>
      </c>
      <c r="L120" s="9" t="s">
        <v>428</v>
      </c>
      <c r="M120" s="9" t="s">
        <v>468</v>
      </c>
      <c r="N120" s="4" t="str">
        <f>VLOOKUP(H120,Clientes!B:D,3,)</f>
        <v>CAIXA ECONOMICA FEDERAL</v>
      </c>
    </row>
    <row r="121" spans="1:14" x14ac:dyDescent="0.25">
      <c r="A121" s="4" t="str">
        <f t="shared" si="1"/>
        <v>DESPESA DE REPRESENTAÇÃO - ALMOÇO COM CROWN-BRVLDIRETORAAMANDA BLUM (164836-3998JL</v>
      </c>
      <c r="B121" s="11">
        <v>46174</v>
      </c>
      <c r="C121" s="4">
        <v>817991</v>
      </c>
      <c r="D121" s="1" t="s">
        <v>614</v>
      </c>
      <c r="E121" s="14">
        <v>-702.41</v>
      </c>
      <c r="F121" s="5" t="s">
        <v>447</v>
      </c>
      <c r="G121" s="2">
        <v>46198</v>
      </c>
      <c r="H121" s="9">
        <v>1170</v>
      </c>
      <c r="I121" s="4"/>
      <c r="J121" s="5" t="s">
        <v>1685</v>
      </c>
      <c r="K121" s="7" t="s">
        <v>1682</v>
      </c>
      <c r="L121" s="1" t="s">
        <v>1683</v>
      </c>
      <c r="M121" s="9" t="s">
        <v>1684</v>
      </c>
      <c r="N121" s="4" t="str">
        <f>VLOOKUP(H121,Clientes!B:D,3,)</f>
        <v>BGC LIQUIDEZ DTVM LTDA</v>
      </c>
    </row>
    <row r="122" spans="1:14" x14ac:dyDescent="0.25">
      <c r="A122" s="4" t="str">
        <f t="shared" si="1"/>
        <v>DESPESA DE REPRESENTAÇÃO - ALMOÇO COM CARTOR ASSETTRADERANDRE BACHA  (155841-3998EC</v>
      </c>
      <c r="B122" s="11">
        <v>46174</v>
      </c>
      <c r="C122" s="4">
        <v>817991</v>
      </c>
      <c r="D122" s="1" t="s">
        <v>647</v>
      </c>
      <c r="E122" s="14">
        <v>-642</v>
      </c>
      <c r="F122" s="5" t="s">
        <v>447</v>
      </c>
      <c r="G122" s="2">
        <v>46198</v>
      </c>
      <c r="H122" s="9">
        <v>1170</v>
      </c>
      <c r="I122" s="4"/>
      <c r="J122" s="5" t="s">
        <v>1668</v>
      </c>
      <c r="K122" s="7" t="s">
        <v>1667</v>
      </c>
      <c r="L122" s="1" t="s">
        <v>1458</v>
      </c>
      <c r="M122" s="9" t="s">
        <v>335</v>
      </c>
      <c r="N122" s="4" t="str">
        <f>VLOOKUP(H122,Clientes!B:D,3,)</f>
        <v>BGC LIQUIDEZ DTVM LTDA</v>
      </c>
    </row>
    <row r="123" spans="1:14" x14ac:dyDescent="0.25">
      <c r="A123" s="4" t="str">
        <f t="shared" si="1"/>
        <v>DESPESA DE REPRESENTAÇÃO - ALMOÇO BREVA E ROMEU ZEMATRADERJUAN PABLO (AGENDA 42481</v>
      </c>
      <c r="B123" s="11">
        <v>46174</v>
      </c>
      <c r="C123" s="4">
        <v>817991</v>
      </c>
      <c r="D123" s="1" t="s">
        <v>1775</v>
      </c>
      <c r="E123" s="14">
        <v>-1528.217142857143</v>
      </c>
      <c r="F123" s="5" t="s">
        <v>447</v>
      </c>
      <c r="G123" s="2">
        <v>46188</v>
      </c>
      <c r="H123" s="9">
        <v>1170</v>
      </c>
      <c r="I123" s="4"/>
      <c r="J123" s="5" t="s">
        <v>1780</v>
      </c>
      <c r="K123" s="7" t="s">
        <v>1633</v>
      </c>
      <c r="L123" s="1" t="s">
        <v>1781</v>
      </c>
      <c r="M123" s="9" t="s">
        <v>335</v>
      </c>
      <c r="N123" s="4" t="str">
        <f>VLOOKUP(H123,Clientes!B:D,3,)</f>
        <v>BGC LIQUIDEZ DTVM LTDA</v>
      </c>
    </row>
    <row r="124" spans="1:14" x14ac:dyDescent="0.25">
      <c r="A124" s="4" t="str">
        <f t="shared" si="1"/>
        <v>DESPESA DE REPRESENTAÇÃO - ALMOÇO BLACK ROCK E ROMEU ZEMATRADERJOSÉ BERARDO (AGENDA 42481</v>
      </c>
      <c r="B124" s="11">
        <v>46174</v>
      </c>
      <c r="C124" s="4">
        <v>817991</v>
      </c>
      <c r="D124" s="1" t="s">
        <v>423</v>
      </c>
      <c r="E124" s="14">
        <v>-1528.217142857143</v>
      </c>
      <c r="F124" s="5" t="s">
        <v>447</v>
      </c>
      <c r="G124" s="2">
        <v>46188</v>
      </c>
      <c r="H124" s="9">
        <v>1170</v>
      </c>
      <c r="I124" s="4"/>
      <c r="J124" s="5" t="s">
        <v>1776</v>
      </c>
      <c r="K124" s="7" t="s">
        <v>1633</v>
      </c>
      <c r="L124" s="1" t="s">
        <v>1777</v>
      </c>
      <c r="M124" s="9" t="s">
        <v>335</v>
      </c>
      <c r="N124" s="4" t="str">
        <f>VLOOKUP(H124,Clientes!B:D,3,)</f>
        <v>BGC LIQUIDEZ DTVM LTDA</v>
      </c>
    </row>
    <row r="125" spans="1:14" x14ac:dyDescent="0.25">
      <c r="A125" s="4" t="str">
        <f t="shared" si="1"/>
        <v>DESPESA DE REPRESENTAÇÃO - ALMOÇO  TRADERLEONARDO MACHADO (125909-3688MP</v>
      </c>
      <c r="B125" s="11">
        <v>46174</v>
      </c>
      <c r="C125" s="4">
        <v>817991</v>
      </c>
      <c r="D125" s="16" t="s">
        <v>477</v>
      </c>
      <c r="E125" s="14">
        <v>-239.56</v>
      </c>
      <c r="F125" s="2" t="s">
        <v>447</v>
      </c>
      <c r="G125" s="2">
        <v>46176</v>
      </c>
      <c r="H125" s="9">
        <v>80111</v>
      </c>
      <c r="I125" s="4"/>
      <c r="J125" s="4" t="s">
        <v>1539</v>
      </c>
      <c r="K125" s="7" t="s">
        <v>1540</v>
      </c>
      <c r="L125" s="9" t="s">
        <v>499</v>
      </c>
      <c r="M125" s="9" t="s">
        <v>335</v>
      </c>
      <c r="N125" s="4" t="str">
        <f>VLOOKUP(H125,Clientes!B:D,3,)</f>
        <v>IBIUNA GESTAO DE RECURSOS LTDA</v>
      </c>
    </row>
    <row r="126" spans="1:14" x14ac:dyDescent="0.25">
      <c r="A126" s="4" t="str">
        <f t="shared" si="1"/>
        <v>DESPESA DE REPRESENTAÇÃO - ALMOÇO TRADERKAUE GUIMARAES CHINELLATO (101328-3688PI</v>
      </c>
      <c r="B126" s="11">
        <v>46174</v>
      </c>
      <c r="C126" s="4">
        <v>817991</v>
      </c>
      <c r="D126" s="1" t="s">
        <v>772</v>
      </c>
      <c r="E126" s="14">
        <v>-1846</v>
      </c>
      <c r="F126" s="2" t="s">
        <v>447</v>
      </c>
      <c r="G126" s="2">
        <v>46176</v>
      </c>
      <c r="H126" s="9">
        <v>14334</v>
      </c>
      <c r="I126" s="4"/>
      <c r="J126" s="4" t="s">
        <v>673</v>
      </c>
      <c r="K126" s="1" t="s">
        <v>2697</v>
      </c>
      <c r="L126" s="9" t="s">
        <v>487</v>
      </c>
      <c r="M126" s="9" t="s">
        <v>335</v>
      </c>
      <c r="N126" s="4" t="str">
        <f>VLOOKUP(H126,Clientes!B:D,3,)</f>
        <v>BANCO SOCIETE GENERALE BRASIL S/A</v>
      </c>
    </row>
    <row r="127" spans="1:14" x14ac:dyDescent="0.25">
      <c r="A127" s="4" t="str">
        <f t="shared" si="1"/>
        <v>DESPESA DE REPRESENTAÇÃO - ALMOÇOTRADERLUCAS STANQUEVITCHUS (151603-3688MP</v>
      </c>
      <c r="B127" s="11">
        <v>46174</v>
      </c>
      <c r="C127" s="4">
        <v>817991</v>
      </c>
      <c r="D127" s="16" t="s">
        <v>477</v>
      </c>
      <c r="E127" s="14">
        <v>-545.79</v>
      </c>
      <c r="F127" s="2" t="s">
        <v>447</v>
      </c>
      <c r="G127" s="2">
        <v>46176</v>
      </c>
      <c r="H127" s="9">
        <v>12339</v>
      </c>
      <c r="I127" s="4"/>
      <c r="J127" s="4" t="s">
        <v>447</v>
      </c>
      <c r="K127" s="7" t="s">
        <v>1541</v>
      </c>
      <c r="L127" s="9" t="s">
        <v>1542</v>
      </c>
      <c r="M127" s="9" t="s">
        <v>335</v>
      </c>
      <c r="N127" s="4" t="str">
        <f>VLOOKUP(H127,Clientes!B:D,3,)</f>
        <v>RPS CAPITAL ADMINISTRADORA DE RECURSOS LTDA</v>
      </c>
    </row>
    <row r="128" spans="1:14" x14ac:dyDescent="0.25">
      <c r="A128" s="4" t="str">
        <f t="shared" si="1"/>
        <v>DESPESA DE REPRESENTAÇÃO - ALMOÇOTRADERCHRISTIANO CHACCUR CHADAD (141434-3688AS</v>
      </c>
      <c r="B128" s="11">
        <v>46174</v>
      </c>
      <c r="C128" s="4">
        <v>817991</v>
      </c>
      <c r="D128" s="1" t="s">
        <v>770</v>
      </c>
      <c r="E128" s="14">
        <v>-494.375</v>
      </c>
      <c r="F128" s="2" t="s">
        <v>447</v>
      </c>
      <c r="G128" s="2">
        <v>46176</v>
      </c>
      <c r="H128" s="9">
        <v>82781</v>
      </c>
      <c r="I128" s="4"/>
      <c r="J128" s="4" t="s">
        <v>447</v>
      </c>
      <c r="K128" s="7" t="s">
        <v>1543</v>
      </c>
      <c r="L128" s="9" t="s">
        <v>1544</v>
      </c>
      <c r="M128" s="9" t="s">
        <v>335</v>
      </c>
      <c r="N128" s="4" t="str">
        <f>VLOOKUP(H128,Clientes!B:D,3,)</f>
        <v>BTG PACTUAL ASSET MANAGEMENT SA DTVM</v>
      </c>
    </row>
    <row r="129" spans="1:14" x14ac:dyDescent="0.25">
      <c r="A129" s="4" t="str">
        <f t="shared" si="1"/>
        <v>DESPESA DE REPRESENTAÇÃO - ALMOÇOTRADERCHRISTIANO CHACCUR CHADAD (141434-3688AS</v>
      </c>
      <c r="B129" s="11">
        <v>46174</v>
      </c>
      <c r="C129" s="4">
        <v>817991</v>
      </c>
      <c r="D129" s="1" t="s">
        <v>1784</v>
      </c>
      <c r="E129" s="14">
        <v>-494.375</v>
      </c>
      <c r="F129" s="2" t="s">
        <v>447</v>
      </c>
      <c r="G129" s="2">
        <v>46176</v>
      </c>
      <c r="H129" s="9">
        <v>82781</v>
      </c>
      <c r="I129" s="4"/>
      <c r="J129" s="4" t="s">
        <v>447</v>
      </c>
      <c r="K129" s="7" t="s">
        <v>1543</v>
      </c>
      <c r="L129" s="9" t="s">
        <v>1544</v>
      </c>
      <c r="M129" s="9" t="s">
        <v>335</v>
      </c>
      <c r="N129" s="4" t="str">
        <f>VLOOKUP(H129,Clientes!B:D,3,)</f>
        <v>BTG PACTUAL ASSET MANAGEMENT SA DTVM</v>
      </c>
    </row>
    <row r="130" spans="1:14" x14ac:dyDescent="0.25">
      <c r="A130" s="4" t="str">
        <f t="shared" ref="A130:A193" si="2">CONCATENATE($J$1,J130,$I$3,M130,$I$3,L130,$I$1,K130,$I$2)</f>
        <v>DESPESA DE REPRESENTAÇÃO - ALMOÇOTRADERANDRE ALBUQUERQUE BAUM (130027-3688FB</v>
      </c>
      <c r="B130" s="11">
        <v>46174</v>
      </c>
      <c r="C130" s="4">
        <v>817991</v>
      </c>
      <c r="D130" s="1" t="s">
        <v>475</v>
      </c>
      <c r="E130" s="14">
        <v>-433.92</v>
      </c>
      <c r="F130" s="2" t="s">
        <v>447</v>
      </c>
      <c r="G130" s="2">
        <v>46176</v>
      </c>
      <c r="H130" s="9">
        <v>12413</v>
      </c>
      <c r="I130" s="4"/>
      <c r="J130" s="2" t="s">
        <v>447</v>
      </c>
      <c r="K130" s="7" t="s">
        <v>1545</v>
      </c>
      <c r="L130" s="9" t="s">
        <v>473</v>
      </c>
      <c r="M130" s="9" t="s">
        <v>335</v>
      </c>
      <c r="N130" s="4" t="str">
        <f>VLOOKUP(H130,Clientes!B:D,3,)</f>
        <v>KAPITALO INVESTIMENTOS LTDA</v>
      </c>
    </row>
    <row r="131" spans="1:14" x14ac:dyDescent="0.25">
      <c r="A131" s="4" t="str">
        <f t="shared" si="2"/>
        <v>DESPESA DE REPRESENTAÇÃO - ALMOÇOTRADERANDRE ALBUQUERQUE BAUM (130027-3688FB</v>
      </c>
      <c r="B131" s="11">
        <v>46174</v>
      </c>
      <c r="C131" s="4">
        <v>817991</v>
      </c>
      <c r="D131" s="1" t="s">
        <v>632</v>
      </c>
      <c r="E131" s="14">
        <v>-433.92</v>
      </c>
      <c r="F131" s="2" t="s">
        <v>447</v>
      </c>
      <c r="G131" s="2">
        <v>46176</v>
      </c>
      <c r="H131" s="9">
        <v>12413</v>
      </c>
      <c r="I131" s="4"/>
      <c r="J131" s="2" t="s">
        <v>447</v>
      </c>
      <c r="K131" s="7" t="s">
        <v>1545</v>
      </c>
      <c r="L131" s="9" t="s">
        <v>473</v>
      </c>
      <c r="M131" s="9" t="s">
        <v>335</v>
      </c>
      <c r="N131" s="4" t="str">
        <f>VLOOKUP(H131,Clientes!B:D,3,)</f>
        <v>KAPITALO INVESTIMENTOS LTDA</v>
      </c>
    </row>
    <row r="132" spans="1:14" x14ac:dyDescent="0.25">
      <c r="A132" s="4" t="str">
        <f t="shared" si="2"/>
        <v>DESPESA DE REPRESENTAÇÃO - ALMOÇOTRADERLEONARDO DE AMORIM PESSOA (141043-3688JT</v>
      </c>
      <c r="B132" s="11">
        <v>46174</v>
      </c>
      <c r="C132" s="4">
        <v>817991</v>
      </c>
      <c r="D132" s="1" t="s">
        <v>23</v>
      </c>
      <c r="E132" s="14">
        <v>-1169</v>
      </c>
      <c r="F132" s="2" t="s">
        <v>447</v>
      </c>
      <c r="G132" s="2">
        <v>46176</v>
      </c>
      <c r="H132" s="9">
        <v>81977</v>
      </c>
      <c r="I132" s="4"/>
      <c r="J132" s="4" t="s">
        <v>447</v>
      </c>
      <c r="K132" s="7" t="s">
        <v>1550</v>
      </c>
      <c r="L132" s="35" t="s">
        <v>1511</v>
      </c>
      <c r="M132" s="9" t="s">
        <v>335</v>
      </c>
      <c r="N132" s="4" t="str">
        <f>VLOOKUP(H132,Clientes!B:D,3,)</f>
        <v>VINCI GESTORA DE RECURSOS LTDA</v>
      </c>
    </row>
    <row r="133" spans="1:14" x14ac:dyDescent="0.25">
      <c r="A133" s="4" t="str">
        <f t="shared" si="2"/>
        <v>DESPESA DE REPRESENTAÇÃO - ALMOÇOTRADERTHIAGO DI BLASI TEIXEIRA (141744-3688JT</v>
      </c>
      <c r="B133" s="11">
        <v>46174</v>
      </c>
      <c r="C133" s="4">
        <v>817991</v>
      </c>
      <c r="D133" s="1" t="s">
        <v>23</v>
      </c>
      <c r="E133" s="14">
        <v>-677</v>
      </c>
      <c r="F133" s="2" t="s">
        <v>447</v>
      </c>
      <c r="G133" s="2">
        <v>46176</v>
      </c>
      <c r="H133" s="9">
        <v>80397</v>
      </c>
      <c r="I133" s="4"/>
      <c r="J133" s="2" t="s">
        <v>447</v>
      </c>
      <c r="K133" s="7" t="s">
        <v>1551</v>
      </c>
      <c r="L133" s="9" t="s">
        <v>1552</v>
      </c>
      <c r="M133" s="9" t="s">
        <v>335</v>
      </c>
      <c r="N133" s="4" t="str">
        <f>VLOOKUP(H133,Clientes!B:D,3,)</f>
        <v>DYNAMO ADMINISTRACAO DE RECURSOS LTDA</v>
      </c>
    </row>
    <row r="134" spans="1:14" x14ac:dyDescent="0.25">
      <c r="A134" s="4" t="str">
        <f t="shared" si="2"/>
        <v>DESPESA DE REPRESENTAÇÃO - ALMOÇOTRADERBRUNO MARQUES (173656-3688AV</v>
      </c>
      <c r="B134" s="11">
        <v>46174</v>
      </c>
      <c r="C134" s="4">
        <v>817991</v>
      </c>
      <c r="D134" s="1" t="s">
        <v>23</v>
      </c>
      <c r="E134" s="14">
        <v>-880</v>
      </c>
      <c r="F134" s="2" t="s">
        <v>447</v>
      </c>
      <c r="G134" s="2">
        <v>46176</v>
      </c>
      <c r="H134" s="9">
        <v>80648</v>
      </c>
      <c r="I134" s="4"/>
      <c r="J134" s="4" t="s">
        <v>447</v>
      </c>
      <c r="K134" s="7" t="s">
        <v>1559</v>
      </c>
      <c r="L134" s="9" t="s">
        <v>1560</v>
      </c>
      <c r="M134" s="9" t="s">
        <v>335</v>
      </c>
      <c r="N134" s="4" t="str">
        <f>VLOOKUP(H134,Clientes!B:D,3,)</f>
        <v>XP GESTAO DE RECURSOS LTDA</v>
      </c>
    </row>
    <row r="135" spans="1:14" x14ac:dyDescent="0.25">
      <c r="A135" s="4" t="str">
        <f t="shared" si="2"/>
        <v>DESPESA DE REPRESENTAÇÃO - ALMOÇOTRADERRAFAEL DEODATO (170139-3688PI</v>
      </c>
      <c r="B135" s="11">
        <v>46174</v>
      </c>
      <c r="C135" s="4">
        <v>817991</v>
      </c>
      <c r="D135" s="1" t="s">
        <v>772</v>
      </c>
      <c r="E135" s="14">
        <v>-1220</v>
      </c>
      <c r="F135" s="5" t="s">
        <v>447</v>
      </c>
      <c r="G135" s="2">
        <v>46184</v>
      </c>
      <c r="H135" s="9">
        <v>79407</v>
      </c>
      <c r="I135" s="4"/>
      <c r="J135" s="4" t="s">
        <v>447</v>
      </c>
      <c r="K135" s="7" t="s">
        <v>1568</v>
      </c>
      <c r="L135" s="1" t="s">
        <v>1569</v>
      </c>
      <c r="M135" s="9" t="s">
        <v>335</v>
      </c>
      <c r="N135" s="4" t="str">
        <f>VLOOKUP(H135,Clientes!B:D,3,)</f>
        <v>BANCO MORGAN STANLEY S/A</v>
      </c>
    </row>
    <row r="136" spans="1:14" x14ac:dyDescent="0.25">
      <c r="A136" s="4" t="str">
        <f t="shared" si="2"/>
        <v>DESPESA DE REPRESENTAÇÃO - ALMOÇOTRADERKESLEY LEANDRO SILVA (173948-3688CL</v>
      </c>
      <c r="B136" s="11">
        <v>46174</v>
      </c>
      <c r="C136" s="4">
        <v>817991</v>
      </c>
      <c r="D136" s="1" t="s">
        <v>60</v>
      </c>
      <c r="E136" s="14">
        <v>-1676.5</v>
      </c>
      <c r="F136" s="5" t="s">
        <v>447</v>
      </c>
      <c r="G136" s="2">
        <v>46184</v>
      </c>
      <c r="H136" s="9">
        <v>79804</v>
      </c>
      <c r="I136" s="4"/>
      <c r="J136" s="4" t="s">
        <v>447</v>
      </c>
      <c r="K136" s="7" t="s">
        <v>1570</v>
      </c>
      <c r="L136" s="1" t="s">
        <v>579</v>
      </c>
      <c r="M136" s="9" t="s">
        <v>335</v>
      </c>
      <c r="N136" s="4" t="str">
        <f>VLOOKUP(H136,Clientes!B:D,3,)</f>
        <v>ITAU UNIBANCO S/A</v>
      </c>
    </row>
    <row r="137" spans="1:14" x14ac:dyDescent="0.25">
      <c r="A137" s="4" t="str">
        <f t="shared" si="2"/>
        <v>DESPESA DE REPRESENTAÇÃO - ALMOÇOTRADERKESLEY LEANDRO SILVA (173948-3688CL</v>
      </c>
      <c r="B137" s="11">
        <v>46174</v>
      </c>
      <c r="C137" s="4">
        <v>817991</v>
      </c>
      <c r="D137" s="1" t="s">
        <v>615</v>
      </c>
      <c r="E137" s="14">
        <v>-1676.5</v>
      </c>
      <c r="F137" s="5" t="s">
        <v>447</v>
      </c>
      <c r="G137" s="2">
        <v>46184</v>
      </c>
      <c r="H137" s="9">
        <v>79804</v>
      </c>
      <c r="I137" s="4"/>
      <c r="J137" s="4" t="s">
        <v>447</v>
      </c>
      <c r="K137" s="7" t="s">
        <v>1570</v>
      </c>
      <c r="L137" s="1" t="s">
        <v>579</v>
      </c>
      <c r="M137" s="9" t="s">
        <v>335</v>
      </c>
      <c r="N137" s="4" t="str">
        <f>VLOOKUP(H137,Clientes!B:D,3,)</f>
        <v>ITAU UNIBANCO S/A</v>
      </c>
    </row>
    <row r="138" spans="1:14" x14ac:dyDescent="0.25">
      <c r="A138" s="4" t="str">
        <f t="shared" si="2"/>
        <v>DESPESA DE REPRESENTAÇÃO - ALMOÇOTRADEREDUARDO (170744-3688FT</v>
      </c>
      <c r="B138" s="11">
        <v>46174</v>
      </c>
      <c r="C138" s="4">
        <v>817991</v>
      </c>
      <c r="D138" s="1" t="s">
        <v>768</v>
      </c>
      <c r="E138" s="14">
        <v>-455.39</v>
      </c>
      <c r="F138" s="5" t="s">
        <v>447</v>
      </c>
      <c r="G138" s="2">
        <v>46184</v>
      </c>
      <c r="H138" s="9">
        <v>1170</v>
      </c>
      <c r="I138" s="4"/>
      <c r="J138" s="4" t="s">
        <v>447</v>
      </c>
      <c r="K138" s="7" t="s">
        <v>1573</v>
      </c>
      <c r="L138" s="1" t="s">
        <v>1574</v>
      </c>
      <c r="M138" s="9" t="s">
        <v>335</v>
      </c>
      <c r="N138" s="4" t="str">
        <f>VLOOKUP(H138,Clientes!B:D,3,)</f>
        <v>BGC LIQUIDEZ DTVM LTDA</v>
      </c>
    </row>
    <row r="139" spans="1:14" x14ac:dyDescent="0.25">
      <c r="A139" s="4" t="str">
        <f t="shared" si="2"/>
        <v>DESPESA DE REPRESENTAÇÃO - ALMOÇOTRADERGUILHERME BRETAS (170530-3688FT</v>
      </c>
      <c r="B139" s="11">
        <v>46174</v>
      </c>
      <c r="C139" s="4">
        <v>817991</v>
      </c>
      <c r="D139" s="1" t="s">
        <v>768</v>
      </c>
      <c r="E139" s="14">
        <v>-517.09</v>
      </c>
      <c r="F139" s="5" t="s">
        <v>447</v>
      </c>
      <c r="G139" s="2">
        <v>46184</v>
      </c>
      <c r="H139" s="9">
        <v>75777</v>
      </c>
      <c r="I139" s="4"/>
      <c r="J139" s="4" t="s">
        <v>447</v>
      </c>
      <c r="K139" s="7" t="s">
        <v>1575</v>
      </c>
      <c r="L139" s="1" t="s">
        <v>211</v>
      </c>
      <c r="M139" s="9" t="s">
        <v>335</v>
      </c>
      <c r="N139" s="4" t="str">
        <f>VLOOKUP(H139,Clientes!B:D,3,)</f>
        <v>BANK OF AMERICA MERRILL LYNCH BANCO MULTIPLO S/A</v>
      </c>
    </row>
    <row r="140" spans="1:14" x14ac:dyDescent="0.25">
      <c r="A140" s="4" t="str">
        <f t="shared" si="2"/>
        <v>DESPESA DE REPRESENTAÇÃO - ALMOÇOTRADERDANIEL BARROS RODRIGUES COSTA (171247-3688FT</v>
      </c>
      <c r="B140" s="11">
        <v>46174</v>
      </c>
      <c r="C140" s="4">
        <v>817991</v>
      </c>
      <c r="D140" s="1" t="s">
        <v>768</v>
      </c>
      <c r="E140" s="14">
        <v>-531.30999999999995</v>
      </c>
      <c r="F140" s="5" t="s">
        <v>447</v>
      </c>
      <c r="G140" s="2">
        <v>46184</v>
      </c>
      <c r="H140" s="9">
        <v>82010</v>
      </c>
      <c r="I140" s="4"/>
      <c r="J140" s="5" t="s">
        <v>447</v>
      </c>
      <c r="K140" s="7" t="s">
        <v>1576</v>
      </c>
      <c r="L140" s="1" t="s">
        <v>1577</v>
      </c>
      <c r="M140" s="9" t="s">
        <v>335</v>
      </c>
      <c r="N140" s="4" t="str">
        <f>VLOOKUP(H140,Clientes!B:D,3,)</f>
        <v>ITAU UNIBANCO ASSET - JANEIRO</v>
      </c>
    </row>
    <row r="141" spans="1:14" x14ac:dyDescent="0.25">
      <c r="A141" s="4" t="str">
        <f t="shared" si="2"/>
        <v>DESPESA DE REPRESENTAÇÃO - ALMOÇOTRADERCOPASA (170931-3688FT</v>
      </c>
      <c r="B141" s="11">
        <v>46174</v>
      </c>
      <c r="C141" s="4">
        <v>817991</v>
      </c>
      <c r="D141" s="1" t="s">
        <v>768</v>
      </c>
      <c r="E141" s="14">
        <v>-588.84</v>
      </c>
      <c r="F141" s="5" t="s">
        <v>447</v>
      </c>
      <c r="G141" s="2">
        <v>46184</v>
      </c>
      <c r="H141" s="9">
        <v>80631</v>
      </c>
      <c r="I141" s="4"/>
      <c r="J141" s="5" t="s">
        <v>447</v>
      </c>
      <c r="K141" s="7" t="s">
        <v>1578</v>
      </c>
      <c r="L141" s="1" t="s">
        <v>1579</v>
      </c>
      <c r="M141" s="9" t="s">
        <v>335</v>
      </c>
      <c r="N141" s="4" t="e">
        <f>VLOOKUP(H141,Clientes!B:D,3,)</f>
        <v>#N/A</v>
      </c>
    </row>
    <row r="142" spans="1:14" x14ac:dyDescent="0.25">
      <c r="A142" s="4" t="str">
        <f t="shared" si="2"/>
        <v>DESPESA DE REPRESENTAÇÃO - ALMOÇOTRADERJEFFERSON BITTENCOURT (170335-3688FT</v>
      </c>
      <c r="B142" s="11">
        <v>46174</v>
      </c>
      <c r="C142" s="4">
        <v>817991</v>
      </c>
      <c r="D142" s="1" t="s">
        <v>768</v>
      </c>
      <c r="E142" s="14">
        <v>-607.94000000000005</v>
      </c>
      <c r="F142" s="5" t="s">
        <v>447</v>
      </c>
      <c r="G142" s="2">
        <v>46184</v>
      </c>
      <c r="H142" s="9">
        <v>80944</v>
      </c>
      <c r="I142" s="4"/>
      <c r="J142" s="5" t="s">
        <v>447</v>
      </c>
      <c r="K142" s="7" t="s">
        <v>1580</v>
      </c>
      <c r="L142" s="1" t="s">
        <v>1581</v>
      </c>
      <c r="M142" s="9" t="s">
        <v>335</v>
      </c>
      <c r="N142" s="4" t="e">
        <f>VLOOKUP(H142,Clientes!B:D,3,)</f>
        <v>#N/A</v>
      </c>
    </row>
    <row r="143" spans="1:14" x14ac:dyDescent="0.25">
      <c r="A143" s="4" t="str">
        <f t="shared" si="2"/>
        <v>DESPESA DE REPRESENTAÇÃO - ALMOÇOTRADERDANIEL BARROS RODRIGUES COSTA (165935-3688FT</v>
      </c>
      <c r="B143" s="11">
        <v>46174</v>
      </c>
      <c r="C143" s="4">
        <v>817991</v>
      </c>
      <c r="D143" s="1" t="s">
        <v>768</v>
      </c>
      <c r="E143" s="14">
        <v>-943</v>
      </c>
      <c r="F143" s="5" t="s">
        <v>447</v>
      </c>
      <c r="G143" s="2">
        <v>46184</v>
      </c>
      <c r="H143" s="9">
        <v>82010</v>
      </c>
      <c r="I143" s="4"/>
      <c r="J143" s="5" t="s">
        <v>447</v>
      </c>
      <c r="K143" s="7" t="s">
        <v>1586</v>
      </c>
      <c r="L143" s="1" t="s">
        <v>1577</v>
      </c>
      <c r="M143" s="9" t="s">
        <v>335</v>
      </c>
      <c r="N143" s="4" t="str">
        <f>VLOOKUP(H143,Clientes!B:D,3,)</f>
        <v>ITAU UNIBANCO ASSET - JANEIRO</v>
      </c>
    </row>
    <row r="144" spans="1:14" x14ac:dyDescent="0.25">
      <c r="A144" s="4" t="str">
        <f t="shared" si="2"/>
        <v>DESPESA DE REPRESENTAÇÃO - ALMOÇOTRADERRAFAEL DE GODOY O ANDRADE (173409-3688JV</v>
      </c>
      <c r="B144" s="11">
        <v>46174</v>
      </c>
      <c r="C144" s="4">
        <v>817991</v>
      </c>
      <c r="D144" s="1" t="s">
        <v>459</v>
      </c>
      <c r="E144" s="14">
        <v>-1655.9</v>
      </c>
      <c r="F144" s="5" t="s">
        <v>447</v>
      </c>
      <c r="G144" s="2">
        <v>46184</v>
      </c>
      <c r="H144" s="9">
        <v>14479</v>
      </c>
      <c r="I144" s="4"/>
      <c r="J144" s="5" t="s">
        <v>447</v>
      </c>
      <c r="K144" s="7" t="s">
        <v>1587</v>
      </c>
      <c r="L144" s="1" t="s">
        <v>230</v>
      </c>
      <c r="M144" s="9" t="s">
        <v>335</v>
      </c>
      <c r="N144" s="4" t="str">
        <f>VLOOKUP(H144,Clientes!B:D,3,)</f>
        <v>BANCO SANTANDER (BRASIL) S/A</v>
      </c>
    </row>
    <row r="145" spans="1:14" x14ac:dyDescent="0.25">
      <c r="A145" s="4" t="str">
        <f t="shared" si="2"/>
        <v>DESPESA DE REPRESENTAÇÃO - ALMOÇOTRADERLEONARDO AKIRA IZUKA (133146-3688MN</v>
      </c>
      <c r="B145" s="11">
        <v>46174</v>
      </c>
      <c r="C145" s="4">
        <v>817991</v>
      </c>
      <c r="D145" s="1" t="s">
        <v>60</v>
      </c>
      <c r="E145" s="14">
        <v>-1028.3</v>
      </c>
      <c r="F145" s="5" t="s">
        <v>447</v>
      </c>
      <c r="G145" s="2">
        <v>46184</v>
      </c>
      <c r="H145" s="9">
        <v>82053</v>
      </c>
      <c r="I145" s="4"/>
      <c r="J145" s="5" t="s">
        <v>447</v>
      </c>
      <c r="K145" s="7" t="s">
        <v>1588</v>
      </c>
      <c r="L145" s="1" t="s">
        <v>686</v>
      </c>
      <c r="M145" s="9" t="s">
        <v>335</v>
      </c>
      <c r="N145" s="4" t="str">
        <f>VLOOKUP(H145,Clientes!B:D,3,)</f>
        <v>ITAU UNIBANCO ASSET - LEGEND</v>
      </c>
    </row>
    <row r="146" spans="1:14" x14ac:dyDescent="0.25">
      <c r="A146" s="4" t="str">
        <f t="shared" si="2"/>
        <v>DESPESA DE REPRESENTAÇÃO - ALMOÇOTRADERLEONARDO MASSAHIKO NAKAJIMA (133840-3688MN</v>
      </c>
      <c r="B146" s="11">
        <v>46174</v>
      </c>
      <c r="C146" s="4">
        <v>817991</v>
      </c>
      <c r="D146" s="1" t="s">
        <v>60</v>
      </c>
      <c r="E146" s="14">
        <v>-515.20000000000005</v>
      </c>
      <c r="F146" s="5" t="s">
        <v>447</v>
      </c>
      <c r="G146" s="2">
        <v>46184</v>
      </c>
      <c r="H146" s="9">
        <v>81501</v>
      </c>
      <c r="I146" s="4"/>
      <c r="J146" s="5" t="s">
        <v>447</v>
      </c>
      <c r="K146" s="7" t="s">
        <v>1589</v>
      </c>
      <c r="L146" s="1" t="s">
        <v>553</v>
      </c>
      <c r="M146" s="9" t="s">
        <v>335</v>
      </c>
      <c r="N146" s="4" t="str">
        <f>VLOOKUP(H146,Clientes!B:D,3,)</f>
        <v>PORTO SEGURO INVESTIMENTOS LTDA</v>
      </c>
    </row>
    <row r="147" spans="1:14" x14ac:dyDescent="0.25">
      <c r="A147" s="4" t="str">
        <f t="shared" si="2"/>
        <v>DESPESA DE REPRESENTAÇÃO - ALMOÇOTRADERFELIPE PERRELLA  (135828-3688AF</v>
      </c>
      <c r="B147" s="11">
        <v>46174</v>
      </c>
      <c r="C147" s="4">
        <v>817991</v>
      </c>
      <c r="D147" s="1" t="s">
        <v>648</v>
      </c>
      <c r="E147" s="14">
        <v>-591</v>
      </c>
      <c r="F147" s="5" t="s">
        <v>447</v>
      </c>
      <c r="G147" s="2">
        <v>46184</v>
      </c>
      <c r="H147" s="9">
        <v>144548</v>
      </c>
      <c r="I147" s="4"/>
      <c r="J147" s="5" t="s">
        <v>447</v>
      </c>
      <c r="K147" s="7" t="s">
        <v>1592</v>
      </c>
      <c r="L147" s="1" t="s">
        <v>1593</v>
      </c>
      <c r="M147" s="9" t="s">
        <v>335</v>
      </c>
      <c r="N147" s="4" t="str">
        <f>VLOOKUP(H147,Clientes!B:D,3,)</f>
        <v>ABSOLUTE GESTAO DE INVESTIMENTOS LTDA</v>
      </c>
    </row>
    <row r="148" spans="1:14" x14ac:dyDescent="0.25">
      <c r="A148" s="4" t="str">
        <f t="shared" si="2"/>
        <v>DESPESA DE REPRESENTAÇÃO - ALMOÇOTRADERALEXSANDER KLAUS SANSONOWICZ (150003-3688NA</v>
      </c>
      <c r="B148" s="11">
        <v>46174</v>
      </c>
      <c r="C148" s="4">
        <v>817991</v>
      </c>
      <c r="D148" s="1" t="s">
        <v>665</v>
      </c>
      <c r="E148" s="14">
        <v>-632.5</v>
      </c>
      <c r="F148" s="5" t="s">
        <v>447</v>
      </c>
      <c r="G148" s="2">
        <v>46184</v>
      </c>
      <c r="H148" s="9">
        <v>14378</v>
      </c>
      <c r="I148" s="4"/>
      <c r="J148" s="5" t="s">
        <v>447</v>
      </c>
      <c r="K148" s="7" t="s">
        <v>1600</v>
      </c>
      <c r="L148" s="1" t="s">
        <v>1599</v>
      </c>
      <c r="M148" s="9" t="s">
        <v>335</v>
      </c>
      <c r="N148" s="4" t="str">
        <f>VLOOKUP(H148,Clientes!B:D,3,)</f>
        <v>BANCO COOPERATIVO SICREDI S/A</v>
      </c>
    </row>
    <row r="149" spans="1:14" x14ac:dyDescent="0.25">
      <c r="A149" s="4" t="str">
        <f t="shared" si="2"/>
        <v>DESPESA DE REPRESENTAÇÃO - ALMOÇOTRADERALEXSANDER KLAUS SANSONOWICZ (150003-3688NA</v>
      </c>
      <c r="B149" s="11">
        <v>46174</v>
      </c>
      <c r="C149" s="4">
        <v>817991</v>
      </c>
      <c r="D149" s="1" t="s">
        <v>475</v>
      </c>
      <c r="E149" s="14">
        <v>-632.5</v>
      </c>
      <c r="F149" s="5" t="s">
        <v>447</v>
      </c>
      <c r="G149" s="2">
        <v>46184</v>
      </c>
      <c r="H149" s="9">
        <v>14378</v>
      </c>
      <c r="I149" s="4"/>
      <c r="J149" s="5" t="s">
        <v>447</v>
      </c>
      <c r="K149" s="7" t="s">
        <v>1600</v>
      </c>
      <c r="L149" s="1" t="s">
        <v>1599</v>
      </c>
      <c r="M149" s="9" t="s">
        <v>335</v>
      </c>
      <c r="N149" s="4" t="str">
        <f>VLOOKUP(H149,Clientes!B:D,3,)</f>
        <v>BANCO COOPERATIVO SICREDI S/A</v>
      </c>
    </row>
    <row r="150" spans="1:14" x14ac:dyDescent="0.25">
      <c r="A150" s="4" t="str">
        <f t="shared" si="2"/>
        <v>DESPESA DE REPRESENTAÇÃO - ALMOÇOTRADERALEXSANDER KLAUS SANSONOWICZ (150003-3688NA</v>
      </c>
      <c r="B150" s="11">
        <v>46174</v>
      </c>
      <c r="C150" s="4">
        <v>817991</v>
      </c>
      <c r="D150" s="1" t="s">
        <v>652</v>
      </c>
      <c r="E150" s="14">
        <v>-632.5</v>
      </c>
      <c r="F150" s="5" t="s">
        <v>447</v>
      </c>
      <c r="G150" s="2">
        <v>46184</v>
      </c>
      <c r="H150" s="9">
        <v>14378</v>
      </c>
      <c r="I150" s="4"/>
      <c r="J150" s="5" t="s">
        <v>447</v>
      </c>
      <c r="K150" s="7" t="s">
        <v>1600</v>
      </c>
      <c r="L150" s="1" t="s">
        <v>1599</v>
      </c>
      <c r="M150" s="9" t="s">
        <v>335</v>
      </c>
      <c r="N150" s="4" t="str">
        <f>VLOOKUP(H150,Clientes!B:D,3,)</f>
        <v>BANCO COOPERATIVO SICREDI S/A</v>
      </c>
    </row>
    <row r="151" spans="1:14" x14ac:dyDescent="0.25">
      <c r="A151" s="4" t="str">
        <f t="shared" si="2"/>
        <v>DESPESA DE REPRESENTAÇÃO - ALMOÇOTRADERALEXSANDER KLAUS SANSONOWICZ (150003-3688NA</v>
      </c>
      <c r="B151" s="11">
        <v>46174</v>
      </c>
      <c r="C151" s="4">
        <v>817991</v>
      </c>
      <c r="D151" s="1" t="s">
        <v>632</v>
      </c>
      <c r="E151" s="14">
        <v>-632.5</v>
      </c>
      <c r="F151" s="5" t="s">
        <v>447</v>
      </c>
      <c r="G151" s="2">
        <v>46184</v>
      </c>
      <c r="H151" s="9">
        <v>14378</v>
      </c>
      <c r="I151" s="4"/>
      <c r="J151" s="5" t="s">
        <v>447</v>
      </c>
      <c r="K151" s="7" t="s">
        <v>1600</v>
      </c>
      <c r="L151" s="1" t="s">
        <v>1599</v>
      </c>
      <c r="M151" s="9" t="s">
        <v>335</v>
      </c>
      <c r="N151" s="4" t="str">
        <f>VLOOKUP(H151,Clientes!B:D,3,)</f>
        <v>BANCO COOPERATIVO SICREDI S/A</v>
      </c>
    </row>
    <row r="152" spans="1:14" x14ac:dyDescent="0.25">
      <c r="A152" s="4" t="str">
        <f t="shared" si="2"/>
        <v>DESPESA DE REPRESENTAÇÃO - ALMOÇOBROKERPAOLO FRANCA LIDA (145504-3998PI</v>
      </c>
      <c r="B152" s="11">
        <v>46174</v>
      </c>
      <c r="C152" s="4">
        <v>817991</v>
      </c>
      <c r="D152" s="1" t="s">
        <v>772</v>
      </c>
      <c r="E152" s="14">
        <v>-610.05999999999995</v>
      </c>
      <c r="F152" s="5" t="s">
        <v>447</v>
      </c>
      <c r="G152" s="2">
        <v>46184</v>
      </c>
      <c r="H152" s="9">
        <v>1170</v>
      </c>
      <c r="I152" s="4"/>
      <c r="J152" s="4" t="s">
        <v>447</v>
      </c>
      <c r="K152" s="7" t="s">
        <v>1613</v>
      </c>
      <c r="L152" s="1" t="s">
        <v>772</v>
      </c>
      <c r="M152" s="9" t="s">
        <v>2</v>
      </c>
      <c r="N152" s="4" t="str">
        <f>VLOOKUP(H152,Clientes!B:D,3,)</f>
        <v>BGC LIQUIDEZ DTVM LTDA</v>
      </c>
    </row>
    <row r="153" spans="1:14" x14ac:dyDescent="0.25">
      <c r="A153" s="4" t="str">
        <f t="shared" si="2"/>
        <v>DESPESA DE REPRESENTAÇÃO - ALMOÇOTRADEREDUARDO KENJI AKIYAMA (132947-3998RU</v>
      </c>
      <c r="B153" s="11">
        <v>46174</v>
      </c>
      <c r="C153" s="4">
        <v>817991</v>
      </c>
      <c r="D153" s="1" t="s">
        <v>652</v>
      </c>
      <c r="E153" s="14">
        <v>-529.40499999999997</v>
      </c>
      <c r="F153" s="5" t="s">
        <v>447</v>
      </c>
      <c r="G153" s="2">
        <v>46184</v>
      </c>
      <c r="H153" s="9">
        <v>15471</v>
      </c>
      <c r="I153" s="4"/>
      <c r="J153" s="5" t="s">
        <v>447</v>
      </c>
      <c r="K153" s="7" t="s">
        <v>1614</v>
      </c>
      <c r="L153" s="1" t="s">
        <v>1615</v>
      </c>
      <c r="M153" s="9" t="s">
        <v>335</v>
      </c>
      <c r="N153" s="4" t="str">
        <f>VLOOKUP(H153,Clientes!B:D,3,)</f>
        <v>BANCO VOTORANTIM S/A</v>
      </c>
    </row>
    <row r="154" spans="1:14" x14ac:dyDescent="0.25">
      <c r="A154" s="4" t="str">
        <f t="shared" si="2"/>
        <v>DESPESA DE REPRESENTAÇÃO - ALMOÇOTRADEREDUARDO KENJI AKIYAMA (132947-3998RU</v>
      </c>
      <c r="B154" s="11">
        <v>46174</v>
      </c>
      <c r="C154" s="4">
        <v>817991</v>
      </c>
      <c r="D154" s="1" t="s">
        <v>475</v>
      </c>
      <c r="E154" s="14">
        <v>-529.40499999999997</v>
      </c>
      <c r="F154" s="5" t="s">
        <v>447</v>
      </c>
      <c r="G154" s="2">
        <v>46184</v>
      </c>
      <c r="H154" s="9">
        <v>15471</v>
      </c>
      <c r="I154" s="4"/>
      <c r="J154" s="5" t="s">
        <v>447</v>
      </c>
      <c r="K154" s="7" t="s">
        <v>1614</v>
      </c>
      <c r="L154" s="1" t="s">
        <v>1615</v>
      </c>
      <c r="M154" s="9" t="s">
        <v>335</v>
      </c>
      <c r="N154" s="4" t="str">
        <f>VLOOKUP(H154,Clientes!B:D,3,)</f>
        <v>BANCO VOTORANTIM S/A</v>
      </c>
    </row>
    <row r="155" spans="1:14" x14ac:dyDescent="0.25">
      <c r="A155" s="4" t="str">
        <f t="shared" si="2"/>
        <v>DESPESA DE REPRESENTAÇÃO - ALMOÇOTRADERLUCAS WEBER (174508-3688AC</v>
      </c>
      <c r="B155" s="11">
        <v>46174</v>
      </c>
      <c r="C155" s="4">
        <v>817991</v>
      </c>
      <c r="D155" s="1" t="s">
        <v>624</v>
      </c>
      <c r="E155" s="14">
        <v>-647</v>
      </c>
      <c r="F155" s="5" t="s">
        <v>447</v>
      </c>
      <c r="G155" s="2">
        <v>46184</v>
      </c>
      <c r="H155" s="9">
        <v>79407</v>
      </c>
      <c r="I155" s="4"/>
      <c r="J155" s="5" t="s">
        <v>447</v>
      </c>
      <c r="K155" s="7" t="s">
        <v>1617</v>
      </c>
      <c r="L155" s="1" t="s">
        <v>1618</v>
      </c>
      <c r="M155" s="9" t="s">
        <v>335</v>
      </c>
      <c r="N155" s="4" t="str">
        <f>VLOOKUP(H155,Clientes!B:D,3,)</f>
        <v>BANCO MORGAN STANLEY S/A</v>
      </c>
    </row>
    <row r="156" spans="1:14" x14ac:dyDescent="0.25">
      <c r="A156" s="4" t="str">
        <f t="shared" si="2"/>
        <v>DESPESA DE REPRESENTAÇÃO - ALMOÇOTRADERLUIZ GENOVA (134925-3998AL</v>
      </c>
      <c r="B156" s="11">
        <v>46174</v>
      </c>
      <c r="C156" s="4">
        <v>817991</v>
      </c>
      <c r="D156" s="1" t="s">
        <v>39</v>
      </c>
      <c r="E156" s="14">
        <v>-665.65</v>
      </c>
      <c r="F156" s="5" t="s">
        <v>447</v>
      </c>
      <c r="G156" s="2">
        <v>46184</v>
      </c>
      <c r="H156" s="9">
        <v>82963</v>
      </c>
      <c r="I156" s="4"/>
      <c r="J156" s="4" t="s">
        <v>447</v>
      </c>
      <c r="K156" s="7" t="s">
        <v>1625</v>
      </c>
      <c r="L156" s="1" t="s">
        <v>1626</v>
      </c>
      <c r="M156" s="9" t="s">
        <v>335</v>
      </c>
      <c r="N156" s="4" t="str">
        <f>VLOOKUP(H156,Clientes!B:D,3,)</f>
        <v>BANCO DAYCOVAL S/A</v>
      </c>
    </row>
    <row r="157" spans="1:14" x14ac:dyDescent="0.25">
      <c r="A157" s="4" t="str">
        <f t="shared" si="2"/>
        <v>DESPESA DE REPRESENTAÇÃO - ALMOÇOTRADERFELIPE LOPES DE SOUZA (141552-3688AS</v>
      </c>
      <c r="B157" s="11">
        <v>46174</v>
      </c>
      <c r="C157" s="4">
        <v>817991</v>
      </c>
      <c r="D157" s="1" t="s">
        <v>449</v>
      </c>
      <c r="E157" s="14">
        <v>-728</v>
      </c>
      <c r="F157" s="5" t="s">
        <v>447</v>
      </c>
      <c r="G157" s="2">
        <v>46184</v>
      </c>
      <c r="H157" s="9">
        <v>15501</v>
      </c>
      <c r="I157" s="4"/>
      <c r="J157" s="5" t="s">
        <v>447</v>
      </c>
      <c r="K157" s="7" t="s">
        <v>1627</v>
      </c>
      <c r="L157" s="1" t="s">
        <v>1628</v>
      </c>
      <c r="M157" s="9" t="s">
        <v>335</v>
      </c>
      <c r="N157" s="4" t="str">
        <f>VLOOKUP(H157,Clientes!B:D,3,)</f>
        <v>BANCO BTG PACTUAL S/A</v>
      </c>
    </row>
    <row r="158" spans="1:14" x14ac:dyDescent="0.25">
      <c r="A158" s="4" t="str">
        <f t="shared" si="2"/>
        <v>DESPESA DE REPRESENTAÇÃO - ALMOÇOTRADERVITOR NUSIO (140757-3688JT</v>
      </c>
      <c r="B158" s="11">
        <v>46174</v>
      </c>
      <c r="C158" s="4">
        <v>817991</v>
      </c>
      <c r="D158" s="1" t="s">
        <v>23</v>
      </c>
      <c r="E158" s="14">
        <v>-355</v>
      </c>
      <c r="F158" s="5" t="s">
        <v>447</v>
      </c>
      <c r="G158" s="2">
        <v>46184</v>
      </c>
      <c r="H158" s="9">
        <v>15501</v>
      </c>
      <c r="I158" s="4"/>
      <c r="J158" s="5" t="s">
        <v>447</v>
      </c>
      <c r="K158" s="7" t="s">
        <v>1629</v>
      </c>
      <c r="L158" s="1" t="s">
        <v>1630</v>
      </c>
      <c r="M158" s="9" t="s">
        <v>335</v>
      </c>
      <c r="N158" s="4" t="str">
        <f>VLOOKUP(H158,Clientes!B:D,3,)</f>
        <v>BANCO BTG PACTUAL S/A</v>
      </c>
    </row>
    <row r="159" spans="1:14" x14ac:dyDescent="0.25">
      <c r="A159" s="4" t="str">
        <f t="shared" si="2"/>
        <v>DESPESA DE REPRESENTAÇÃO - ALMOÇOTRADERRENATO THEODORO (152705-3998RP</v>
      </c>
      <c r="B159" s="11">
        <v>46174</v>
      </c>
      <c r="C159" s="4">
        <v>817991</v>
      </c>
      <c r="D159" s="1" t="s">
        <v>482</v>
      </c>
      <c r="E159" s="14">
        <v>-834</v>
      </c>
      <c r="F159" s="5" t="s">
        <v>447</v>
      </c>
      <c r="G159" s="2">
        <v>46198</v>
      </c>
      <c r="H159" s="9">
        <v>95007</v>
      </c>
      <c r="I159" s="4"/>
      <c r="J159" s="4" t="s">
        <v>447</v>
      </c>
      <c r="K159" s="7" t="s">
        <v>1651</v>
      </c>
      <c r="L159" s="1" t="s">
        <v>706</v>
      </c>
      <c r="M159" s="9" t="s">
        <v>335</v>
      </c>
      <c r="N159" s="4" t="str">
        <f>VLOOKUP(H159,Clientes!B:D,3,)</f>
        <v>BANCO BNP PARIBAS BRASIL S/A</v>
      </c>
    </row>
    <row r="160" spans="1:14" x14ac:dyDescent="0.25">
      <c r="A160" s="4" t="str">
        <f t="shared" si="2"/>
        <v>DESPESA DE REPRESENTAÇÃO - ALMOÇOTRADERDANIEL CELANTE  (154629-3998EC</v>
      </c>
      <c r="B160" s="11">
        <v>46174</v>
      </c>
      <c r="C160" s="4">
        <v>817991</v>
      </c>
      <c r="D160" s="1" t="s">
        <v>647</v>
      </c>
      <c r="E160" s="14">
        <v>-435</v>
      </c>
      <c r="F160" s="5" t="s">
        <v>447</v>
      </c>
      <c r="G160" s="2">
        <v>46198</v>
      </c>
      <c r="H160" s="9">
        <v>15501</v>
      </c>
      <c r="I160" s="4"/>
      <c r="J160" s="5" t="s">
        <v>447</v>
      </c>
      <c r="K160" s="7" t="s">
        <v>1657</v>
      </c>
      <c r="L160" s="1" t="s">
        <v>1658</v>
      </c>
      <c r="M160" s="9" t="s">
        <v>335</v>
      </c>
      <c r="N160" s="4" t="str">
        <f>VLOOKUP(H160,Clientes!B:D,3,)</f>
        <v>BANCO BTG PACTUAL S/A</v>
      </c>
    </row>
    <row r="161" spans="1:14" x14ac:dyDescent="0.25">
      <c r="A161" s="4" t="str">
        <f t="shared" si="2"/>
        <v>DESPESA DE REPRESENTAÇÃO - ALMOÇOTRADERMARCUS JUNQUEIRA (154930-3998EC</v>
      </c>
      <c r="B161" s="11">
        <v>46174</v>
      </c>
      <c r="C161" s="4">
        <v>817991</v>
      </c>
      <c r="D161" s="1" t="s">
        <v>647</v>
      </c>
      <c r="E161" s="14">
        <v>-508</v>
      </c>
      <c r="F161" s="5" t="s">
        <v>447</v>
      </c>
      <c r="G161" s="2">
        <v>46198</v>
      </c>
      <c r="H161" s="9">
        <v>80749</v>
      </c>
      <c r="I161" s="4"/>
      <c r="J161" s="5" t="s">
        <v>447</v>
      </c>
      <c r="K161" s="7" t="s">
        <v>1659</v>
      </c>
      <c r="L161" s="1" t="s">
        <v>1660</v>
      </c>
      <c r="M161" s="9" t="s">
        <v>335</v>
      </c>
      <c r="N161" s="4" t="str">
        <f>VLOOKUP(H161,Clientes!B:D,3,)</f>
        <v>BANCO XP S/A</v>
      </c>
    </row>
    <row r="162" spans="1:14" x14ac:dyDescent="0.25">
      <c r="A162" s="4" t="str">
        <f t="shared" si="2"/>
        <v>DESPESA DE REPRESENTAÇÃO - ALMOÇOTRADERMARCELO BAHZUNI (160619-3998EC</v>
      </c>
      <c r="B162" s="11">
        <v>46174</v>
      </c>
      <c r="C162" s="4">
        <v>817991</v>
      </c>
      <c r="D162" s="1" t="s">
        <v>647</v>
      </c>
      <c r="E162" s="14">
        <v>-435</v>
      </c>
      <c r="F162" s="5" t="s">
        <v>447</v>
      </c>
      <c r="G162" s="2">
        <v>46198</v>
      </c>
      <c r="H162" s="9">
        <v>79985</v>
      </c>
      <c r="I162" s="4"/>
      <c r="J162" s="5" t="s">
        <v>447</v>
      </c>
      <c r="K162" s="7" t="s">
        <v>1661</v>
      </c>
      <c r="L162" s="1" t="s">
        <v>1662</v>
      </c>
      <c r="M162" s="9" t="s">
        <v>335</v>
      </c>
      <c r="N162" s="4" t="str">
        <f>VLOOKUP(H162,Clientes!B:D,3,)</f>
        <v>ITAU UNIBANCO S/A</v>
      </c>
    </row>
    <row r="163" spans="1:14" x14ac:dyDescent="0.25">
      <c r="A163" s="4" t="str">
        <f t="shared" si="2"/>
        <v>DESPESA DE REPRESENTAÇÃO - ALMOÇOTRADERGUILHERME GATTO (160038-3998EC</v>
      </c>
      <c r="B163" s="11">
        <v>46174</v>
      </c>
      <c r="C163" s="4">
        <v>817991</v>
      </c>
      <c r="D163" s="1" t="s">
        <v>647</v>
      </c>
      <c r="E163" s="14">
        <v>-294</v>
      </c>
      <c r="F163" s="5" t="s">
        <v>447</v>
      </c>
      <c r="G163" s="2">
        <v>46198</v>
      </c>
      <c r="H163" s="9">
        <v>79746</v>
      </c>
      <c r="I163" s="4"/>
      <c r="J163" s="5" t="s">
        <v>447</v>
      </c>
      <c r="K163" s="7" t="s">
        <v>1663</v>
      </c>
      <c r="L163" s="1" t="s">
        <v>1664</v>
      </c>
      <c r="M163" s="9" t="s">
        <v>335</v>
      </c>
      <c r="N163" s="4" t="str">
        <f>VLOOKUP(H163,Clientes!B:D,3,)</f>
        <v>BANCO PINE S/A</v>
      </c>
    </row>
    <row r="164" spans="1:14" x14ac:dyDescent="0.25">
      <c r="A164" s="4" t="str">
        <f t="shared" si="2"/>
        <v>DESPESA DE REPRESENTAÇÃO - ALMOÇOTRADERTHIAGO (160335-3998EC</v>
      </c>
      <c r="B164" s="11">
        <v>46174</v>
      </c>
      <c r="C164" s="4">
        <v>817991</v>
      </c>
      <c r="D164" s="1" t="s">
        <v>647</v>
      </c>
      <c r="E164" s="14">
        <v>-622</v>
      </c>
      <c r="F164" s="5" t="s">
        <v>447</v>
      </c>
      <c r="G164" s="2">
        <v>46198</v>
      </c>
      <c r="H164" s="9">
        <v>12281</v>
      </c>
      <c r="I164" s="4"/>
      <c r="J164" s="5" t="s">
        <v>447</v>
      </c>
      <c r="K164" s="7" t="s">
        <v>1665</v>
      </c>
      <c r="L164" s="1" t="s">
        <v>1666</v>
      </c>
      <c r="M164" s="9" t="s">
        <v>335</v>
      </c>
      <c r="N164" s="4" t="e">
        <f>VLOOKUP(H164,Clientes!B:D,3,)</f>
        <v>#N/A</v>
      </c>
    </row>
    <row r="165" spans="1:14" x14ac:dyDescent="0.25">
      <c r="A165" s="4" t="str">
        <f t="shared" si="2"/>
        <v>DESPESA DE REPRESENTAÇÃO - ALMOÇOTRADERLUIZ RAPYO (160435-3998EC</v>
      </c>
      <c r="B165" s="11">
        <v>46174</v>
      </c>
      <c r="C165" s="4">
        <v>817991</v>
      </c>
      <c r="D165" s="1" t="s">
        <v>647</v>
      </c>
      <c r="E165" s="14">
        <v>-670</v>
      </c>
      <c r="F165" s="5" t="s">
        <v>447</v>
      </c>
      <c r="G165" s="2">
        <v>46198</v>
      </c>
      <c r="H165" s="9">
        <v>16705</v>
      </c>
      <c r="I165" s="4"/>
      <c r="J165" s="4" t="s">
        <v>447</v>
      </c>
      <c r="K165" s="7" t="s">
        <v>1669</v>
      </c>
      <c r="L165" s="1" t="s">
        <v>1670</v>
      </c>
      <c r="M165" s="9" t="s">
        <v>335</v>
      </c>
      <c r="N165" s="4" t="str">
        <f>VLOOKUP(H165,Clientes!B:D,3,)</f>
        <v>BANCO BRADESCO S/A</v>
      </c>
    </row>
    <row r="166" spans="1:14" x14ac:dyDescent="0.25">
      <c r="A166" s="4" t="str">
        <f t="shared" si="2"/>
        <v>DESPESA DE REPRESENTAÇÃO - ALMOÇOTRADERMARCELO BAHZUNI (160148-3998EC</v>
      </c>
      <c r="B166" s="11">
        <v>46174</v>
      </c>
      <c r="C166" s="4">
        <v>817991</v>
      </c>
      <c r="D166" s="1" t="s">
        <v>647</v>
      </c>
      <c r="E166" s="14">
        <v>-710</v>
      </c>
      <c r="F166" s="5" t="s">
        <v>447</v>
      </c>
      <c r="G166" s="2">
        <v>46198</v>
      </c>
      <c r="H166" s="9">
        <v>79985</v>
      </c>
      <c r="I166" s="4"/>
      <c r="J166" s="4" t="s">
        <v>447</v>
      </c>
      <c r="K166" s="7" t="s">
        <v>1671</v>
      </c>
      <c r="L166" s="1" t="s">
        <v>1662</v>
      </c>
      <c r="M166" s="9" t="s">
        <v>335</v>
      </c>
      <c r="N166" s="4" t="str">
        <f>VLOOKUP(H166,Clientes!B:D,3,)</f>
        <v>ITAU UNIBANCO S/A</v>
      </c>
    </row>
    <row r="167" spans="1:14" x14ac:dyDescent="0.25">
      <c r="A167" s="4" t="str">
        <f t="shared" si="2"/>
        <v>DESPESA DE REPRESENTAÇÃO - ALMOÇOTRADERRODRIGO BRENDON (155542-3998EC</v>
      </c>
      <c r="B167" s="11">
        <v>46174</v>
      </c>
      <c r="C167" s="4">
        <v>817991</v>
      </c>
      <c r="D167" s="1" t="s">
        <v>647</v>
      </c>
      <c r="E167" s="14">
        <v>-732</v>
      </c>
      <c r="F167" s="5" t="s">
        <v>447</v>
      </c>
      <c r="G167" s="2">
        <v>46198</v>
      </c>
      <c r="H167" s="9">
        <v>16705</v>
      </c>
      <c r="I167" s="4"/>
      <c r="J167" s="4" t="s">
        <v>447</v>
      </c>
      <c r="K167" s="7" t="s">
        <v>1672</v>
      </c>
      <c r="L167" s="1" t="s">
        <v>1673</v>
      </c>
      <c r="M167" s="9" t="s">
        <v>335</v>
      </c>
      <c r="N167" s="4" t="str">
        <f>VLOOKUP(H167,Clientes!B:D,3,)</f>
        <v>BANCO BRADESCO S/A</v>
      </c>
    </row>
    <row r="168" spans="1:14" x14ac:dyDescent="0.25">
      <c r="A168" s="4" t="str">
        <f t="shared" si="2"/>
        <v>DESPESA DE REPRESENTAÇÃO - ALMOÇOTRADERJOSE PEDRO BONFIM (154749-3998EC</v>
      </c>
      <c r="B168" s="11">
        <v>46174</v>
      </c>
      <c r="C168" s="4">
        <v>817991</v>
      </c>
      <c r="D168" s="1" t="s">
        <v>647</v>
      </c>
      <c r="E168" s="14">
        <v>-779</v>
      </c>
      <c r="F168" s="5" t="s">
        <v>447</v>
      </c>
      <c r="G168" s="2">
        <v>46198</v>
      </c>
      <c r="H168" s="9">
        <v>82778</v>
      </c>
      <c r="I168" s="4"/>
      <c r="J168" s="5" t="s">
        <v>447</v>
      </c>
      <c r="K168" s="7" t="s">
        <v>1674</v>
      </c>
      <c r="L168" s="1" t="s">
        <v>1675</v>
      </c>
      <c r="M168" s="9" t="s">
        <v>335</v>
      </c>
      <c r="N168" s="4" t="str">
        <f>VLOOKUP(H168,Clientes!B:D,3,)</f>
        <v>MORE INVEST GESTORA DE RECURSOS LTDA</v>
      </c>
    </row>
    <row r="169" spans="1:14" x14ac:dyDescent="0.25">
      <c r="A169" s="4" t="str">
        <f t="shared" si="2"/>
        <v>DESPESA DE REPRESENTAÇÃO - ALMOÇOTRADERLUIZ ALVES (155207-3998EC</v>
      </c>
      <c r="B169" s="11">
        <v>46174</v>
      </c>
      <c r="C169" s="4">
        <v>817991</v>
      </c>
      <c r="D169" s="1" t="s">
        <v>647</v>
      </c>
      <c r="E169" s="14">
        <v>-881</v>
      </c>
      <c r="F169" s="5" t="s">
        <v>447</v>
      </c>
      <c r="G169" s="2">
        <v>46198</v>
      </c>
      <c r="H169" s="9">
        <v>79985</v>
      </c>
      <c r="I169" s="4"/>
      <c r="J169" s="5" t="s">
        <v>447</v>
      </c>
      <c r="K169" s="7" t="s">
        <v>1676</v>
      </c>
      <c r="L169" s="1" t="s">
        <v>1677</v>
      </c>
      <c r="M169" s="9" t="s">
        <v>335</v>
      </c>
      <c r="N169" s="4" t="str">
        <f>VLOOKUP(H169,Clientes!B:D,3,)</f>
        <v>ITAU UNIBANCO S/A</v>
      </c>
    </row>
    <row r="170" spans="1:14" x14ac:dyDescent="0.25">
      <c r="A170" s="4" t="str">
        <f t="shared" si="2"/>
        <v>DESPESA DE REPRESENTAÇÃO - ALMOÇOTRADERNORBERTO SILVA (085210-3998PI</v>
      </c>
      <c r="B170" s="11">
        <v>46174</v>
      </c>
      <c r="C170" s="4">
        <v>817991</v>
      </c>
      <c r="D170" s="1" t="s">
        <v>772</v>
      </c>
      <c r="E170" s="14">
        <v>-1454</v>
      </c>
      <c r="F170" s="5" t="s">
        <v>447</v>
      </c>
      <c r="G170" s="2">
        <v>46198</v>
      </c>
      <c r="H170" s="9">
        <v>79965</v>
      </c>
      <c r="I170" s="4"/>
      <c r="J170" s="5" t="s">
        <v>447</v>
      </c>
      <c r="K170" s="1" t="s">
        <v>1678</v>
      </c>
      <c r="L170" s="1" t="s">
        <v>1679</v>
      </c>
      <c r="M170" s="9" t="s">
        <v>335</v>
      </c>
      <c r="N170" s="4" t="str">
        <f>VLOOKUP(H170,Clientes!B:D,3,)</f>
        <v>BANCO HSBC S/A</v>
      </c>
    </row>
    <row r="171" spans="1:14" x14ac:dyDescent="0.25">
      <c r="A171" s="4" t="str">
        <f t="shared" si="2"/>
        <v>DESPESA DE REPRESENTAÇÃO - ALMOÇOTRADERRONALDO YUZO SASAKI (173751-3688AC</v>
      </c>
      <c r="B171" s="11">
        <v>46174</v>
      </c>
      <c r="C171" s="4">
        <v>817991</v>
      </c>
      <c r="D171" s="1" t="s">
        <v>624</v>
      </c>
      <c r="E171" s="14">
        <v>-3026</v>
      </c>
      <c r="F171" s="5" t="s">
        <v>447</v>
      </c>
      <c r="G171" s="2">
        <v>46198</v>
      </c>
      <c r="H171" s="9">
        <v>16703</v>
      </c>
      <c r="I171" s="4"/>
      <c r="J171" s="5" t="s">
        <v>447</v>
      </c>
      <c r="K171" s="7" t="s">
        <v>1680</v>
      </c>
      <c r="L171" s="1" t="s">
        <v>1681</v>
      </c>
      <c r="M171" s="9" t="s">
        <v>335</v>
      </c>
      <c r="N171" s="4" t="str">
        <f>VLOOKUP(H171,Clientes!B:D,3,)</f>
        <v>BANCO BRADESCO S/A</v>
      </c>
    </row>
    <row r="172" spans="1:14" x14ac:dyDescent="0.25">
      <c r="A172" s="4" t="str">
        <f t="shared" si="2"/>
        <v>DESPESA DE REPRESENTAÇÃO - ALMOÇOTRADERDANIEL PICOLLI (185510-3998AC</v>
      </c>
      <c r="B172" s="11">
        <v>46174</v>
      </c>
      <c r="C172" s="4">
        <v>817991</v>
      </c>
      <c r="D172" s="1" t="s">
        <v>624</v>
      </c>
      <c r="E172" s="14">
        <v>-258</v>
      </c>
      <c r="F172" s="5" t="s">
        <v>447</v>
      </c>
      <c r="G172" s="2">
        <v>46198</v>
      </c>
      <c r="H172" s="9">
        <v>14479</v>
      </c>
      <c r="I172" s="4"/>
      <c r="J172" s="5" t="s">
        <v>447</v>
      </c>
      <c r="K172" s="7" t="s">
        <v>1689</v>
      </c>
      <c r="L172" s="1" t="s">
        <v>1688</v>
      </c>
      <c r="M172" s="9" t="s">
        <v>335</v>
      </c>
      <c r="N172" s="4" t="str">
        <f>VLOOKUP(H172,Clientes!B:D,3,)</f>
        <v>BANCO SANTANDER (BRASIL) S/A</v>
      </c>
    </row>
    <row r="173" spans="1:14" x14ac:dyDescent="0.25">
      <c r="A173" s="4" t="str">
        <f t="shared" si="2"/>
        <v>DESPESA DE REPRESENTAÇÃO - ALMOÇOTRADERFAUSTO MARTINS (185643-3998AC</v>
      </c>
      <c r="B173" s="11">
        <v>46174</v>
      </c>
      <c r="C173" s="4">
        <v>817991</v>
      </c>
      <c r="D173" s="1" t="s">
        <v>624</v>
      </c>
      <c r="E173" s="14">
        <v>-1413</v>
      </c>
      <c r="F173" s="5" t="s">
        <v>447</v>
      </c>
      <c r="G173" s="2">
        <v>46198</v>
      </c>
      <c r="H173" s="9">
        <v>16705</v>
      </c>
      <c r="I173" s="4"/>
      <c r="J173" s="5" t="s">
        <v>447</v>
      </c>
      <c r="K173" s="7" t="s">
        <v>1686</v>
      </c>
      <c r="L173" s="1" t="s">
        <v>1687</v>
      </c>
      <c r="M173" s="9" t="s">
        <v>335</v>
      </c>
      <c r="N173" s="4" t="str">
        <f>VLOOKUP(H173,Clientes!B:D,3,)</f>
        <v>BANCO BRADESCO S/A</v>
      </c>
    </row>
    <row r="174" spans="1:14" x14ac:dyDescent="0.25">
      <c r="A174" s="4" t="str">
        <f t="shared" si="2"/>
        <v>DESPESA DE REPRESENTAÇÃO - ALMOÇOTRADERARTHUR CHANG NOGUEIRA (153614-3998CB</v>
      </c>
      <c r="B174" s="11">
        <v>46174</v>
      </c>
      <c r="C174" s="4">
        <v>817991</v>
      </c>
      <c r="D174" s="1" t="s">
        <v>1692</v>
      </c>
      <c r="E174" s="14">
        <v>-1247.52</v>
      </c>
      <c r="F174" s="5" t="s">
        <v>447</v>
      </c>
      <c r="G174" s="2">
        <v>46198</v>
      </c>
      <c r="H174" s="9">
        <v>79460</v>
      </c>
      <c r="I174" s="4"/>
      <c r="J174" s="4" t="s">
        <v>447</v>
      </c>
      <c r="K174" s="7" t="s">
        <v>1693</v>
      </c>
      <c r="L174" s="1" t="s">
        <v>1694</v>
      </c>
      <c r="M174" s="9" t="s">
        <v>335</v>
      </c>
      <c r="N174" s="4" t="str">
        <f>VLOOKUP(H174,Clientes!B:D,3,)</f>
        <v>ITAU UNIBANCO S/A</v>
      </c>
    </row>
    <row r="175" spans="1:14" x14ac:dyDescent="0.25">
      <c r="A175" s="4" t="str">
        <f t="shared" si="2"/>
        <v>DESPESA DE REPRESENTAÇÃO - ALMOÇOTRADERFELIPE LOPES DE SOUZA (144710-3998AS</v>
      </c>
      <c r="B175" s="11">
        <v>46174</v>
      </c>
      <c r="C175" s="4">
        <v>817991</v>
      </c>
      <c r="D175" s="1" t="s">
        <v>449</v>
      </c>
      <c r="E175" s="14">
        <v>-462</v>
      </c>
      <c r="F175" s="5" t="s">
        <v>447</v>
      </c>
      <c r="G175" s="2">
        <v>46198</v>
      </c>
      <c r="H175" s="9">
        <v>15501</v>
      </c>
      <c r="I175" s="4"/>
      <c r="J175" s="5" t="s">
        <v>447</v>
      </c>
      <c r="K175" s="7" t="s">
        <v>1695</v>
      </c>
      <c r="L175" s="1" t="s">
        <v>1628</v>
      </c>
      <c r="M175" s="9" t="s">
        <v>335</v>
      </c>
      <c r="N175" s="4" t="str">
        <f>VLOOKUP(H175,Clientes!B:D,3,)</f>
        <v>BANCO BTG PACTUAL S/A</v>
      </c>
    </row>
    <row r="176" spans="1:14" x14ac:dyDescent="0.25">
      <c r="A176" s="4" t="str">
        <f t="shared" si="2"/>
        <v>DESPESA DE REPRESENTAÇÃO - ALMOÇOTRADERKEVIN MINN (112926-3998RC</v>
      </c>
      <c r="B176" s="11">
        <v>46174</v>
      </c>
      <c r="C176" s="4">
        <v>817991</v>
      </c>
      <c r="D176" s="1" t="s">
        <v>646</v>
      </c>
      <c r="E176" s="14">
        <v>-1584</v>
      </c>
      <c r="F176" s="5" t="s">
        <v>447</v>
      </c>
      <c r="G176" s="2">
        <v>46198</v>
      </c>
      <c r="H176" s="9">
        <v>95007</v>
      </c>
      <c r="I176" s="4"/>
      <c r="J176" s="4" t="s">
        <v>447</v>
      </c>
      <c r="K176" s="7" t="s">
        <v>1696</v>
      </c>
      <c r="L176" s="1" t="s">
        <v>1701</v>
      </c>
      <c r="M176" s="9" t="s">
        <v>335</v>
      </c>
      <c r="N176" s="4" t="str">
        <f>VLOOKUP(H176,Clientes!B:D,3,)</f>
        <v>BANCO BNP PARIBAS BRASIL S/A</v>
      </c>
    </row>
    <row r="177" spans="1:14" x14ac:dyDescent="0.25">
      <c r="A177" s="4" t="str">
        <f t="shared" si="2"/>
        <v>DESPESA DE REPRESENTAÇÃO - ALMOÇOTRADERMARCELO BAHZUNI (141422-3998EC</v>
      </c>
      <c r="B177" s="11">
        <v>46174</v>
      </c>
      <c r="C177" s="4">
        <v>817991</v>
      </c>
      <c r="D177" s="1" t="s">
        <v>647</v>
      </c>
      <c r="E177" s="14">
        <v>-1615</v>
      </c>
      <c r="F177" s="5" t="s">
        <v>447</v>
      </c>
      <c r="G177" s="2">
        <v>46198</v>
      </c>
      <c r="H177" s="9">
        <v>79985</v>
      </c>
      <c r="I177" s="4"/>
      <c r="J177" s="4" t="s">
        <v>447</v>
      </c>
      <c r="K177" s="7" t="s">
        <v>1705</v>
      </c>
      <c r="L177" s="1" t="s">
        <v>1662</v>
      </c>
      <c r="M177" s="9" t="s">
        <v>335</v>
      </c>
      <c r="N177" s="4" t="str">
        <f>VLOOKUP(H177,Clientes!B:D,3,)</f>
        <v>ITAU UNIBANCO S/A</v>
      </c>
    </row>
    <row r="178" spans="1:14" x14ac:dyDescent="0.25">
      <c r="A178" s="4" t="str">
        <f t="shared" si="2"/>
        <v>DESPESA DE REPRESENTAÇÃO - ALMOÇOTRADERALEXANDRE AUGUSTO B RODRIGUES (144419-3998RR</v>
      </c>
      <c r="B178" s="11">
        <v>46174</v>
      </c>
      <c r="C178" s="4">
        <v>817991</v>
      </c>
      <c r="D178" s="1" t="s">
        <v>604</v>
      </c>
      <c r="E178" s="14">
        <v>-705.12</v>
      </c>
      <c r="F178" s="5" t="s">
        <v>447</v>
      </c>
      <c r="G178" s="2">
        <v>46198</v>
      </c>
      <c r="H178" s="9">
        <v>79931</v>
      </c>
      <c r="I178" s="4"/>
      <c r="J178" s="4" t="s">
        <v>447</v>
      </c>
      <c r="K178" s="7" t="s">
        <v>1706</v>
      </c>
      <c r="L178" s="35" t="s">
        <v>1099</v>
      </c>
      <c r="M178" s="9" t="s">
        <v>335</v>
      </c>
      <c r="N178" s="4" t="str">
        <f>VLOOKUP(H178,Clientes!B:D,3,)</f>
        <v>SPX GESTAO DE RECURSOS LTDA</v>
      </c>
    </row>
    <row r="179" spans="1:14" x14ac:dyDescent="0.25">
      <c r="A179" s="4" t="str">
        <f t="shared" si="2"/>
        <v>DESPESA DE REPRESENTAÇÃO - ALMOÇOTRADERDANILO BASTOS GALVÃO (150341-3998BG</v>
      </c>
      <c r="B179" s="11">
        <v>46174</v>
      </c>
      <c r="C179" s="4">
        <v>817991</v>
      </c>
      <c r="D179" s="1" t="s">
        <v>23</v>
      </c>
      <c r="E179" s="14">
        <v>-2003</v>
      </c>
      <c r="F179" s="5" t="s">
        <v>447</v>
      </c>
      <c r="G179" s="2">
        <v>46198</v>
      </c>
      <c r="H179" s="9">
        <v>12402</v>
      </c>
      <c r="I179" s="4"/>
      <c r="J179" s="5" t="s">
        <v>447</v>
      </c>
      <c r="K179" s="7" t="s">
        <v>1707</v>
      </c>
      <c r="L179" s="1" t="s">
        <v>683</v>
      </c>
      <c r="M179" s="9" t="s">
        <v>335</v>
      </c>
      <c r="N179" s="4" t="str">
        <f>VLOOKUP(H179,Clientes!B:D,3,)</f>
        <v>TRUXT INVESTIMENTOS LTDA</v>
      </c>
    </row>
    <row r="180" spans="1:14" x14ac:dyDescent="0.25">
      <c r="A180" s="4" t="str">
        <f t="shared" si="2"/>
        <v>DESPESA DE REPRESENTAÇÃO - ALMOÇOTRADERANDRE ALBUQUERQUE BAUM (143714-3998FB</v>
      </c>
      <c r="B180" s="11">
        <v>46174</v>
      </c>
      <c r="C180" s="4">
        <v>817991</v>
      </c>
      <c r="D180" s="1" t="s">
        <v>475</v>
      </c>
      <c r="E180" s="14">
        <v>-511.89</v>
      </c>
      <c r="F180" s="5" t="s">
        <v>447</v>
      </c>
      <c r="G180" s="2">
        <v>46198</v>
      </c>
      <c r="H180" s="9">
        <v>12413</v>
      </c>
      <c r="I180" s="4"/>
      <c r="J180" s="5" t="s">
        <v>447</v>
      </c>
      <c r="K180" s="7" t="s">
        <v>1708</v>
      </c>
      <c r="L180" s="1" t="s">
        <v>473</v>
      </c>
      <c r="M180" s="9" t="s">
        <v>335</v>
      </c>
      <c r="N180" s="4" t="str">
        <f>VLOOKUP(H180,Clientes!B:D,3,)</f>
        <v>KAPITALO INVESTIMENTOS LTDA</v>
      </c>
    </row>
    <row r="181" spans="1:14" x14ac:dyDescent="0.25">
      <c r="A181" s="4" t="str">
        <f t="shared" si="2"/>
        <v>DESPESA DE REPRESENTAÇÃO - ALMOÇOTRADERLUIS GAGLIASSO (155109-3998AC</v>
      </c>
      <c r="B181" s="11">
        <v>46174</v>
      </c>
      <c r="C181" s="4">
        <v>817991</v>
      </c>
      <c r="D181" s="1" t="s">
        <v>624</v>
      </c>
      <c r="E181" s="14">
        <v>-1145</v>
      </c>
      <c r="F181" s="5" t="s">
        <v>447</v>
      </c>
      <c r="G181" s="2">
        <v>46198</v>
      </c>
      <c r="H181" s="9">
        <v>16705</v>
      </c>
      <c r="I181" s="4"/>
      <c r="J181" s="4" t="s">
        <v>447</v>
      </c>
      <c r="K181" s="7" t="s">
        <v>1714</v>
      </c>
      <c r="L181" s="1" t="s">
        <v>1715</v>
      </c>
      <c r="M181" s="9" t="s">
        <v>335</v>
      </c>
      <c r="N181" s="4" t="str">
        <f>VLOOKUP(H181,Clientes!B:D,3,)</f>
        <v>BANCO BRADESCO S/A</v>
      </c>
    </row>
    <row r="182" spans="1:14" x14ac:dyDescent="0.25">
      <c r="A182" s="4" t="str">
        <f t="shared" si="2"/>
        <v>DESPESA DE REPRESENTAÇÃO - ALMOÇOTRADERMICHEL TECLA MICHELUTTI (165205-3688RU</v>
      </c>
      <c r="B182" s="11">
        <v>46174</v>
      </c>
      <c r="C182" s="4">
        <v>817991</v>
      </c>
      <c r="D182" s="1" t="s">
        <v>652</v>
      </c>
      <c r="E182" s="14">
        <v>-734.5</v>
      </c>
      <c r="F182" s="5" t="s">
        <v>447</v>
      </c>
      <c r="G182" s="2">
        <v>46191</v>
      </c>
      <c r="H182" s="9">
        <v>82597</v>
      </c>
      <c r="I182" s="4"/>
      <c r="J182" s="5" t="s">
        <v>447</v>
      </c>
      <c r="K182" s="7" t="s">
        <v>1727</v>
      </c>
      <c r="L182" s="1" t="s">
        <v>1728</v>
      </c>
      <c r="M182" s="9" t="s">
        <v>335</v>
      </c>
      <c r="N182" s="4" t="str">
        <f>VLOOKUP(H182,Clientes!B:D,3,)</f>
        <v>PORTO SEGURO INVESTIMENTOS LTDA</v>
      </c>
    </row>
    <row r="183" spans="1:14" x14ac:dyDescent="0.25">
      <c r="A183" s="4" t="str">
        <f t="shared" si="2"/>
        <v>DESPESA DE REPRESENTAÇÃO - ALMOÇOTRADERSERGIO GUIMARÃES (164608-3688RU</v>
      </c>
      <c r="B183" s="11">
        <v>46174</v>
      </c>
      <c r="C183" s="4">
        <v>817991</v>
      </c>
      <c r="D183" s="1" t="s">
        <v>652</v>
      </c>
      <c r="E183" s="14">
        <v>-734.5</v>
      </c>
      <c r="F183" s="5" t="s">
        <v>447</v>
      </c>
      <c r="G183" s="2">
        <v>46191</v>
      </c>
      <c r="H183" s="9">
        <v>124633</v>
      </c>
      <c r="I183" s="4"/>
      <c r="J183" s="5" t="s">
        <v>447</v>
      </c>
      <c r="K183" s="7" t="s">
        <v>1729</v>
      </c>
      <c r="L183" s="1" t="s">
        <v>708</v>
      </c>
      <c r="M183" s="9" t="s">
        <v>335</v>
      </c>
      <c r="N183" s="4" t="str">
        <f>VLOOKUP(H183,Clientes!B:D,3,)</f>
        <v>DAHLIA CAPITAL GESTAO DE RECURSOS LTDA</v>
      </c>
    </row>
    <row r="184" spans="1:14" x14ac:dyDescent="0.25">
      <c r="A184" s="4" t="str">
        <f t="shared" si="2"/>
        <v>DESPESA DE REPRESENTAÇÃO - ALMOÇOTRADERRAFAEL PAIVA POPPE DO VALLE (165313-3688RU</v>
      </c>
      <c r="B184" s="11">
        <v>46174</v>
      </c>
      <c r="C184" s="4">
        <v>817991</v>
      </c>
      <c r="D184" s="1" t="s">
        <v>652</v>
      </c>
      <c r="E184" s="14">
        <v>-3782.11</v>
      </c>
      <c r="F184" s="5" t="s">
        <v>447</v>
      </c>
      <c r="G184" s="2">
        <v>46191</v>
      </c>
      <c r="H184" s="9">
        <v>12413</v>
      </c>
      <c r="I184" s="4"/>
      <c r="J184" s="5" t="s">
        <v>447</v>
      </c>
      <c r="K184" s="7" t="s">
        <v>1730</v>
      </c>
      <c r="L184" s="1" t="s">
        <v>239</v>
      </c>
      <c r="M184" s="9" t="s">
        <v>335</v>
      </c>
      <c r="N184" s="4" t="str">
        <f>VLOOKUP(H184,Clientes!B:D,3,)</f>
        <v>KAPITALO INVESTIMENTOS LTDA</v>
      </c>
    </row>
    <row r="185" spans="1:14" x14ac:dyDescent="0.25">
      <c r="A185" s="4" t="str">
        <f t="shared" si="2"/>
        <v>DESPESA DE REPRESENTAÇÃO - ALMOÇOTRADERGUSTAVO MENDES (172912-3688VP</v>
      </c>
      <c r="B185" s="11">
        <v>46174</v>
      </c>
      <c r="C185" s="4">
        <v>817991</v>
      </c>
      <c r="D185" s="1" t="s">
        <v>624</v>
      </c>
      <c r="E185" s="14">
        <v>-721</v>
      </c>
      <c r="F185" s="5" t="s">
        <v>447</v>
      </c>
      <c r="G185" s="2">
        <v>46191</v>
      </c>
      <c r="H185" s="9">
        <v>81259</v>
      </c>
      <c r="I185" s="4"/>
      <c r="J185" s="5" t="s">
        <v>447</v>
      </c>
      <c r="K185" s="7" t="s">
        <v>1736</v>
      </c>
      <c r="L185" s="1" t="s">
        <v>1737</v>
      </c>
      <c r="M185" s="9" t="s">
        <v>335</v>
      </c>
      <c r="N185" s="4" t="str">
        <f>VLOOKUP(H185,Clientes!B:D,3,)</f>
        <v>GOLDMAN SACHS DO BRASIL BANCO MULTIPLO S/A</v>
      </c>
    </row>
    <row r="186" spans="1:14" x14ac:dyDescent="0.25">
      <c r="A186" s="4" t="str">
        <f t="shared" si="2"/>
        <v>DESPESA DE REPRESENTAÇÃO - ALMOÇOTRADERRODRIGO SANTANA FERREIRA (155831-3998FR</v>
      </c>
      <c r="B186" s="11">
        <v>46174</v>
      </c>
      <c r="C186" s="4">
        <v>817991</v>
      </c>
      <c r="D186" s="1" t="s">
        <v>632</v>
      </c>
      <c r="E186" s="14">
        <v>-1428</v>
      </c>
      <c r="F186" s="5" t="s">
        <v>447</v>
      </c>
      <c r="G186" s="2">
        <v>46191</v>
      </c>
      <c r="H186" s="9">
        <v>80005</v>
      </c>
      <c r="I186" s="4"/>
      <c r="J186" s="5" t="s">
        <v>447</v>
      </c>
      <c r="K186" s="7" t="s">
        <v>1738</v>
      </c>
      <c r="L186" s="1" t="s">
        <v>677</v>
      </c>
      <c r="M186" s="9" t="s">
        <v>335</v>
      </c>
      <c r="N186" s="4" t="str">
        <f>VLOOKUP(H186,Clientes!B:D,3,)</f>
        <v>DEUTSCHE BANK S/A</v>
      </c>
    </row>
    <row r="187" spans="1:14" x14ac:dyDescent="0.25">
      <c r="A187" s="4" t="str">
        <f t="shared" si="2"/>
        <v>DESPESA DE REPRESENTAÇÃO - ALMOÇOTRADERALEXANDRE AUGUSTO B RODRIGUES (155719-3998FR</v>
      </c>
      <c r="B187" s="11">
        <v>46174</v>
      </c>
      <c r="C187" s="4">
        <v>817991</v>
      </c>
      <c r="D187" s="1" t="s">
        <v>632</v>
      </c>
      <c r="E187" s="14">
        <v>-377.42</v>
      </c>
      <c r="F187" s="5" t="s">
        <v>447</v>
      </c>
      <c r="G187" s="2">
        <v>46191</v>
      </c>
      <c r="H187" s="9">
        <v>79931</v>
      </c>
      <c r="I187" s="4"/>
      <c r="J187" s="5" t="s">
        <v>447</v>
      </c>
      <c r="K187" s="7" t="s">
        <v>1739</v>
      </c>
      <c r="L187" s="1" t="s">
        <v>1099</v>
      </c>
      <c r="M187" s="9" t="s">
        <v>335</v>
      </c>
      <c r="N187" s="4" t="str">
        <f>VLOOKUP(H187,Clientes!B:D,3,)</f>
        <v>SPX GESTAO DE RECURSOS LTDA</v>
      </c>
    </row>
    <row r="188" spans="1:14" x14ac:dyDescent="0.25">
      <c r="A188" s="4" t="str">
        <f t="shared" si="2"/>
        <v>DESPESA DE REPRESENTAÇÃO - ALMOÇOTRADERDANIEL ALMEIDA COSTA CORREA (160108-3998FR</v>
      </c>
      <c r="B188" s="11">
        <v>46174</v>
      </c>
      <c r="C188" s="4">
        <v>817991</v>
      </c>
      <c r="D188" s="1" t="s">
        <v>632</v>
      </c>
      <c r="E188" s="14">
        <v>-783.13</v>
      </c>
      <c r="F188" s="5" t="s">
        <v>447</v>
      </c>
      <c r="G188" s="2">
        <v>46191</v>
      </c>
      <c r="H188" s="9">
        <v>12413</v>
      </c>
      <c r="I188" s="4"/>
      <c r="J188" s="5" t="s">
        <v>447</v>
      </c>
      <c r="K188" s="7" t="s">
        <v>1740</v>
      </c>
      <c r="L188" s="1" t="s">
        <v>1741</v>
      </c>
      <c r="M188" s="9" t="s">
        <v>335</v>
      </c>
      <c r="N188" s="4" t="str">
        <f>VLOOKUP(H188,Clientes!B:D,3,)</f>
        <v>KAPITALO INVESTIMENTOS LTDA</v>
      </c>
    </row>
    <row r="189" spans="1:14" x14ac:dyDescent="0.25">
      <c r="A189" s="4" t="str">
        <f t="shared" si="2"/>
        <v>DESPESA DE REPRESENTAÇÃO - ALMOÇOTRADERFERNANDO SCARPA R LEITE (155505-3998FR</v>
      </c>
      <c r="B189" s="11">
        <v>46174</v>
      </c>
      <c r="C189" s="4">
        <v>817991</v>
      </c>
      <c r="D189" s="1" t="s">
        <v>632</v>
      </c>
      <c r="E189" s="14">
        <v>-970.71</v>
      </c>
      <c r="F189" s="5" t="s">
        <v>447</v>
      </c>
      <c r="G189" s="2">
        <v>46191</v>
      </c>
      <c r="H189" s="9">
        <v>80375</v>
      </c>
      <c r="I189" s="4"/>
      <c r="J189" s="5" t="s">
        <v>447</v>
      </c>
      <c r="K189" s="7" t="s">
        <v>1742</v>
      </c>
      <c r="L189" s="1" t="s">
        <v>630</v>
      </c>
      <c r="M189" s="9" t="s">
        <v>335</v>
      </c>
      <c r="N189" s="4" t="str">
        <f>VLOOKUP(H189,Clientes!B:D,3,)</f>
        <v>ITAU UNIBANCO S/A</v>
      </c>
    </row>
    <row r="190" spans="1:14" x14ac:dyDescent="0.25">
      <c r="A190" s="4" t="str">
        <f t="shared" si="2"/>
        <v>DESPESA DE REPRESENTAÇÃO - ALMOÇOTRADERGIOVANNI BIANCHI (135523-3998JT</v>
      </c>
      <c r="B190" s="11">
        <v>46174</v>
      </c>
      <c r="C190" s="4">
        <v>817991</v>
      </c>
      <c r="D190" s="1" t="s">
        <v>23</v>
      </c>
      <c r="E190" s="14">
        <v>-1428</v>
      </c>
      <c r="F190" s="5" t="s">
        <v>447</v>
      </c>
      <c r="G190" s="2">
        <v>46191</v>
      </c>
      <c r="H190" s="9">
        <v>81203</v>
      </c>
      <c r="I190" s="4"/>
      <c r="J190" s="5" t="s">
        <v>447</v>
      </c>
      <c r="K190" s="7" t="s">
        <v>1746</v>
      </c>
      <c r="L190" s="1" t="s">
        <v>1748</v>
      </c>
      <c r="M190" s="9" t="s">
        <v>335</v>
      </c>
      <c r="N190" s="4" t="str">
        <f>VLOOKUP(H190,Clientes!B:D,3,)</f>
        <v>BR PARTNERS BANCO DE INVESTIMENTOS S/A</v>
      </c>
    </row>
    <row r="191" spans="1:14" x14ac:dyDescent="0.25">
      <c r="A191" s="4" t="str">
        <f t="shared" si="2"/>
        <v>DESPESA DE REPRESENTAÇÃO - ALMOÇOTRADERGUILHERME SALVADOR VEIGA (111826-3998CL</v>
      </c>
      <c r="B191" s="11">
        <v>46174</v>
      </c>
      <c r="C191" s="4">
        <v>817991</v>
      </c>
      <c r="D191" s="1" t="s">
        <v>60</v>
      </c>
      <c r="E191" s="14">
        <v>-2540</v>
      </c>
      <c r="F191" s="5" t="s">
        <v>447</v>
      </c>
      <c r="G191" s="2">
        <v>46191</v>
      </c>
      <c r="H191" s="9">
        <v>80510</v>
      </c>
      <c r="I191" s="4"/>
      <c r="J191" s="5" t="s">
        <v>447</v>
      </c>
      <c r="K191" s="7" t="s">
        <v>1749</v>
      </c>
      <c r="L191" s="1" t="s">
        <v>1750</v>
      </c>
      <c r="M191" s="9" t="s">
        <v>335</v>
      </c>
      <c r="N191" s="4" t="str">
        <f>VLOOKUP(H191,Clientes!B:D,3,)</f>
        <v>ITAU UNIBANCO ASSET - TACO</v>
      </c>
    </row>
    <row r="192" spans="1:14" x14ac:dyDescent="0.25">
      <c r="A192" s="4" t="str">
        <f t="shared" si="2"/>
        <v>DESPESA DE REPRESENTAÇÃO - ALMOÇOTRADERVICTOR DE ABREU PINHEIRO MIRAN (111649-3998CL</v>
      </c>
      <c r="B192" s="11">
        <v>46174</v>
      </c>
      <c r="C192" s="4">
        <v>817991</v>
      </c>
      <c r="D192" s="1" t="s">
        <v>60</v>
      </c>
      <c r="E192" s="14">
        <v>-621</v>
      </c>
      <c r="F192" s="5" t="s">
        <v>447</v>
      </c>
      <c r="G192" s="2">
        <v>46191</v>
      </c>
      <c r="H192" s="9">
        <v>80883</v>
      </c>
      <c r="I192" s="4"/>
      <c r="J192" s="5" t="s">
        <v>447</v>
      </c>
      <c r="K192" s="7" t="s">
        <v>1751</v>
      </c>
      <c r="L192" s="1" t="s">
        <v>527</v>
      </c>
      <c r="M192" s="9" t="s">
        <v>335</v>
      </c>
      <c r="N192" s="4" t="str">
        <f>VLOOKUP(H192,Clientes!B:D,3,)</f>
        <v>GENOA CAPITAL GESTORA DE RECURSOS LTDA</v>
      </c>
    </row>
    <row r="193" spans="1:14" x14ac:dyDescent="0.25">
      <c r="A193" s="4" t="str">
        <f t="shared" si="2"/>
        <v>DESPESA DE REPRESENTAÇÃO - ALMOÇOTRADERKESLEY LEANDRO SILVA (101008-3998AV</v>
      </c>
      <c r="B193" s="11">
        <v>46174</v>
      </c>
      <c r="C193" s="4">
        <v>817991</v>
      </c>
      <c r="D193" s="1" t="s">
        <v>23</v>
      </c>
      <c r="E193" s="14">
        <v>-1232</v>
      </c>
      <c r="F193" s="5" t="s">
        <v>447</v>
      </c>
      <c r="G193" s="2">
        <v>46191</v>
      </c>
      <c r="H193" s="9">
        <v>79804</v>
      </c>
      <c r="I193" s="4"/>
      <c r="J193" s="5" t="s">
        <v>447</v>
      </c>
      <c r="K193" s="7" t="s">
        <v>1757</v>
      </c>
      <c r="L193" s="1" t="s">
        <v>579</v>
      </c>
      <c r="M193" s="9" t="s">
        <v>335</v>
      </c>
      <c r="N193" s="4" t="str">
        <f>VLOOKUP(H193,Clientes!B:D,3,)</f>
        <v>ITAU UNIBANCO S/A</v>
      </c>
    </row>
    <row r="194" spans="1:14" x14ac:dyDescent="0.25">
      <c r="A194" s="4" t="str">
        <f t="shared" ref="A194:A207" si="3">CONCATENATE($J$1,J194,$I$3,M194,$I$3,L194,$I$1,K194,$I$2)</f>
        <v>DESPESA DE REPRESENTAÇÃO - ALMOÇOTRADERGABRIEL DA MOTTA MELLO (101524-3998AV</v>
      </c>
      <c r="B194" s="11">
        <v>46174</v>
      </c>
      <c r="C194" s="4">
        <v>817991</v>
      </c>
      <c r="D194" s="1" t="s">
        <v>23</v>
      </c>
      <c r="E194" s="14">
        <v>-642</v>
      </c>
      <c r="F194" s="5" t="s">
        <v>447</v>
      </c>
      <c r="G194" s="2">
        <v>46191</v>
      </c>
      <c r="H194" s="9">
        <v>12395</v>
      </c>
      <c r="I194" s="4"/>
      <c r="J194" s="5" t="s">
        <v>447</v>
      </c>
      <c r="K194" s="7" t="s">
        <v>1758</v>
      </c>
      <c r="L194" s="1" t="s">
        <v>1760</v>
      </c>
      <c r="M194" s="9" t="s">
        <v>335</v>
      </c>
      <c r="N194" s="4" t="str">
        <f>VLOOKUP(H194,Clientes!B:D,3,)</f>
        <v>AZ QUEST INVESTIMENTOS LTDA</v>
      </c>
    </row>
    <row r="195" spans="1:14" x14ac:dyDescent="0.25">
      <c r="A195" s="4" t="str">
        <f t="shared" si="3"/>
        <v>DESPESA DE REPRESENTAÇÃO - ALMOÇOTRADERELCIO HIOSHI MURAMATSU (101256-3998AV</v>
      </c>
      <c r="B195" s="11">
        <v>46174</v>
      </c>
      <c r="C195" s="4">
        <v>817991</v>
      </c>
      <c r="D195" s="1" t="s">
        <v>23</v>
      </c>
      <c r="E195" s="14">
        <v>-652</v>
      </c>
      <c r="F195" s="5" t="s">
        <v>447</v>
      </c>
      <c r="G195" s="2">
        <v>46191</v>
      </c>
      <c r="H195" s="9">
        <v>15781</v>
      </c>
      <c r="I195" s="4"/>
      <c r="J195" s="5" t="s">
        <v>447</v>
      </c>
      <c r="K195" s="7" t="s">
        <v>1759</v>
      </c>
      <c r="L195" s="1" t="s">
        <v>1761</v>
      </c>
      <c r="M195" s="9" t="s">
        <v>335</v>
      </c>
      <c r="N195" s="4" t="str">
        <f>VLOOKUP(H195,Clientes!B:D,3,)</f>
        <v>BANCO SAFRA S/A</v>
      </c>
    </row>
    <row r="196" spans="1:14" x14ac:dyDescent="0.25">
      <c r="A196" s="4" t="str">
        <f t="shared" si="3"/>
        <v>DESPESA DE REPRESENTAÇÃO - ALMOÇOTRADERARTHUR MACHADO (AGENDA 42481</v>
      </c>
      <c r="B196" s="11">
        <v>46174</v>
      </c>
      <c r="C196" s="4">
        <v>817991</v>
      </c>
      <c r="D196" s="1" t="s">
        <v>648</v>
      </c>
      <c r="E196" s="27">
        <v>-2029.48</v>
      </c>
      <c r="F196" s="5" t="s">
        <v>447</v>
      </c>
      <c r="G196" s="2">
        <v>46188</v>
      </c>
      <c r="H196" s="9">
        <v>144548</v>
      </c>
      <c r="I196" s="4"/>
      <c r="J196" s="4" t="s">
        <v>447</v>
      </c>
      <c r="K196" s="7" t="s">
        <v>1633</v>
      </c>
      <c r="L196" s="1" t="s">
        <v>1772</v>
      </c>
      <c r="M196" s="9" t="s">
        <v>335</v>
      </c>
      <c r="N196" s="4" t="str">
        <f>VLOOKUP(H196,Clientes!B:D,3,)</f>
        <v>ABSOLUTE GESTAO DE INVESTIMENTOS LTDA</v>
      </c>
    </row>
    <row r="197" spans="1:14" x14ac:dyDescent="0.25">
      <c r="A197" s="4" t="str">
        <f t="shared" si="3"/>
        <v>DESPESA DE REPRESENTAÇÃO - 2/2 - CAFÉ DA MANHÃ COM CLIENTES NO LOUP EM 15/06SALESJOSE ANTONIO DEZENE JUNIOR (AGENDA 42571</v>
      </c>
      <c r="B197" s="11">
        <v>46174</v>
      </c>
      <c r="C197" s="4">
        <v>817991</v>
      </c>
      <c r="D197" s="1" t="s">
        <v>428</v>
      </c>
      <c r="E197" s="14">
        <v>-2440.8000000000002</v>
      </c>
      <c r="F197" s="5" t="s">
        <v>771</v>
      </c>
      <c r="G197" s="2">
        <v>46190</v>
      </c>
      <c r="H197" s="9">
        <v>1170</v>
      </c>
      <c r="I197" s="4"/>
      <c r="J197" s="4" t="s">
        <v>1724</v>
      </c>
      <c r="K197" s="7" t="s">
        <v>1718</v>
      </c>
      <c r="L197" s="1" t="s">
        <v>428</v>
      </c>
      <c r="M197" s="9" t="s">
        <v>468</v>
      </c>
      <c r="N197" s="4" t="str">
        <f>VLOOKUP(H197,Clientes!B:D,3,)</f>
        <v>BGC LIQUIDEZ DTVM LTDA</v>
      </c>
    </row>
    <row r="198" spans="1:14" x14ac:dyDescent="0.25">
      <c r="A198" s="4" t="str">
        <f t="shared" si="3"/>
        <v>DESPESA DE REPRESENTAÇÃO - 2/2 - BUFFET EVENTO DE RELOGIOS PENERAITRADERTHALES GASPAR (AGENDA 42626</v>
      </c>
      <c r="B198" s="11">
        <v>46174</v>
      </c>
      <c r="C198" s="4">
        <v>817991</v>
      </c>
      <c r="D198" s="1" t="s">
        <v>647</v>
      </c>
      <c r="E198" s="14">
        <v>-1690</v>
      </c>
      <c r="F198" s="5" t="s">
        <v>387</v>
      </c>
      <c r="G198" s="2">
        <v>46196</v>
      </c>
      <c r="H198" s="9">
        <v>1170</v>
      </c>
      <c r="I198" s="4"/>
      <c r="J198" s="4" t="s">
        <v>2703</v>
      </c>
      <c r="K198" s="7" t="s">
        <v>1768</v>
      </c>
      <c r="L198" s="1" t="s">
        <v>1769</v>
      </c>
      <c r="M198" s="9" t="s">
        <v>335</v>
      </c>
      <c r="N198" s="4" t="str">
        <f>VLOOKUP(H198,Clientes!B:D,3,)</f>
        <v>BGC LIQUIDEZ DTVM LTDA</v>
      </c>
    </row>
    <row r="199" spans="1:14" x14ac:dyDescent="0.25">
      <c r="A199" s="4" t="str">
        <f t="shared" si="3"/>
        <v>DESPESA DE REPRESENTAÇÃO - 2/2 - BUFFET EVENTO DE RELOGIOS PENERAITRADERALESSANDRO EZEQUIEL JUNIOR (AGENDA 42626</v>
      </c>
      <c r="B199" s="11">
        <v>46174</v>
      </c>
      <c r="C199" s="4">
        <v>817991</v>
      </c>
      <c r="D199" s="1" t="s">
        <v>604</v>
      </c>
      <c r="E199" s="14">
        <v>-845</v>
      </c>
      <c r="F199" s="5" t="s">
        <v>387</v>
      </c>
      <c r="G199" s="2">
        <v>46196</v>
      </c>
      <c r="H199" s="9">
        <v>14479</v>
      </c>
      <c r="I199" s="4"/>
      <c r="J199" s="4" t="s">
        <v>2703</v>
      </c>
      <c r="K199" s="7" t="s">
        <v>1768</v>
      </c>
      <c r="L199" s="1" t="s">
        <v>160</v>
      </c>
      <c r="M199" s="9" t="s">
        <v>335</v>
      </c>
      <c r="N199" s="4" t="str">
        <f>VLOOKUP(H199,Clientes!B:D,3,)</f>
        <v>BANCO SANTANDER (BRASIL) S/A</v>
      </c>
    </row>
    <row r="200" spans="1:14" x14ac:dyDescent="0.25">
      <c r="A200" s="4" t="str">
        <f t="shared" si="3"/>
        <v>DESPESA DE REPRESENTAÇÃO - 2/2 - BUFFET EVENTO DE RELOGIOS PENERAITRADERRODRIGO LAZZARIS FERNANDEZ (AGENDA 42626</v>
      </c>
      <c r="B200" s="11">
        <v>46174</v>
      </c>
      <c r="C200" s="4">
        <v>817991</v>
      </c>
      <c r="D200" s="1" t="s">
        <v>516</v>
      </c>
      <c r="E200" s="14">
        <v>-845</v>
      </c>
      <c r="F200" s="5" t="s">
        <v>387</v>
      </c>
      <c r="G200" s="2">
        <v>46196</v>
      </c>
      <c r="H200" s="9">
        <v>80195</v>
      </c>
      <c r="I200" s="4"/>
      <c r="J200" s="4" t="s">
        <v>2703</v>
      </c>
      <c r="K200" s="7" t="s">
        <v>1768</v>
      </c>
      <c r="L200" s="1" t="s">
        <v>1767</v>
      </c>
      <c r="M200" s="9" t="s">
        <v>335</v>
      </c>
      <c r="N200" s="4" t="str">
        <f>VLOOKUP(H200,Clientes!B:D,3,)</f>
        <v>BANCO SANTANDER S/A (HISPANO)</v>
      </c>
    </row>
    <row r="201" spans="1:14" x14ac:dyDescent="0.25">
      <c r="A201" s="4" t="str">
        <f t="shared" si="3"/>
        <v>DESPESA DE REPRESENTAÇÃO - 1/2 - CAFÉ DA MANHÃ COM CLIENTES NO LOUP EM 15/06SALESJOSE ANTONIO DEZENE JUNIOR (AGENDA 42498</v>
      </c>
      <c r="B201" s="11">
        <v>46174</v>
      </c>
      <c r="C201" s="4">
        <v>817991</v>
      </c>
      <c r="D201" s="1" t="s">
        <v>428</v>
      </c>
      <c r="E201" s="14">
        <v>-1017</v>
      </c>
      <c r="F201" s="5" t="s">
        <v>771</v>
      </c>
      <c r="G201" s="2">
        <v>46185</v>
      </c>
      <c r="H201" s="9">
        <v>1170</v>
      </c>
      <c r="I201" s="4"/>
      <c r="J201" s="4" t="s">
        <v>1725</v>
      </c>
      <c r="K201" s="7" t="s">
        <v>1726</v>
      </c>
      <c r="L201" s="1" t="s">
        <v>428</v>
      </c>
      <c r="M201" s="9" t="s">
        <v>468</v>
      </c>
      <c r="N201" s="4" t="str">
        <f>VLOOKUP(H201,Clientes!B:D,3,)</f>
        <v>BGC LIQUIDEZ DTVM LTDA</v>
      </c>
    </row>
    <row r="202" spans="1:14" x14ac:dyDescent="0.25">
      <c r="A202" s="4" t="str">
        <f t="shared" si="3"/>
        <v>DESPESA DE REPRESENTAÇÃO - 1/2 - BUFFET EVENTO DE RELOGIOS PENERAITRADERTHALES GASPAR (AGENDA 42482</v>
      </c>
      <c r="B202" s="11">
        <v>46174</v>
      </c>
      <c r="C202" s="4">
        <v>817991</v>
      </c>
      <c r="D202" s="1" t="s">
        <v>647</v>
      </c>
      <c r="E202" s="14">
        <v>-1690</v>
      </c>
      <c r="F202" s="5" t="s">
        <v>387</v>
      </c>
      <c r="G202" s="2">
        <v>46188</v>
      </c>
      <c r="H202" s="9">
        <v>1170</v>
      </c>
      <c r="I202" s="4"/>
      <c r="J202" s="4" t="s">
        <v>2702</v>
      </c>
      <c r="K202" s="7" t="s">
        <v>1790</v>
      </c>
      <c r="L202" s="1" t="s">
        <v>1769</v>
      </c>
      <c r="M202" s="9" t="s">
        <v>335</v>
      </c>
      <c r="N202" s="4" t="str">
        <f>VLOOKUP(H202,Clientes!B:D,3,)</f>
        <v>BGC LIQUIDEZ DTVM LTDA</v>
      </c>
    </row>
    <row r="203" spans="1:14" x14ac:dyDescent="0.25">
      <c r="A203" s="4" t="str">
        <f t="shared" si="3"/>
        <v>DESPESA DE REPRESENTAÇÃO - 1/2 - BUFFET EVENTO DE RELOGIOS PENERAITRADERALESSANDRO EZEQUIEL JUNIOR (AGENDA 42482</v>
      </c>
      <c r="B203" s="11">
        <v>46174</v>
      </c>
      <c r="C203" s="4">
        <v>817991</v>
      </c>
      <c r="D203" s="1" t="s">
        <v>604</v>
      </c>
      <c r="E203" s="14">
        <v>-845</v>
      </c>
      <c r="F203" s="5" t="s">
        <v>387</v>
      </c>
      <c r="G203" s="2">
        <v>46188</v>
      </c>
      <c r="H203" s="9">
        <v>14479</v>
      </c>
      <c r="I203" s="4"/>
      <c r="J203" s="4" t="s">
        <v>2702</v>
      </c>
      <c r="K203" s="7" t="s">
        <v>1790</v>
      </c>
      <c r="L203" s="1" t="s">
        <v>160</v>
      </c>
      <c r="M203" s="9" t="s">
        <v>335</v>
      </c>
      <c r="N203" s="4" t="str">
        <f>VLOOKUP(H203,Clientes!B:D,3,)</f>
        <v>BANCO SANTANDER (BRASIL) S/A</v>
      </c>
    </row>
    <row r="204" spans="1:14" x14ac:dyDescent="0.25">
      <c r="A204" s="4" t="str">
        <f t="shared" si="3"/>
        <v>DESPESA DE REPRESENTAÇÃO - 1/2 - BUFFET EVENTO DE RELOGIOS PENERAITRADERRODRIGO LAZZARIS FERNANDEZ (AGENDA 42482</v>
      </c>
      <c r="B204" s="11">
        <v>46174</v>
      </c>
      <c r="C204" s="4">
        <v>817991</v>
      </c>
      <c r="D204" s="1" t="s">
        <v>516</v>
      </c>
      <c r="E204" s="14">
        <v>-845</v>
      </c>
      <c r="F204" s="5" t="s">
        <v>387</v>
      </c>
      <c r="G204" s="2">
        <v>46188</v>
      </c>
      <c r="H204" s="9">
        <v>80195</v>
      </c>
      <c r="I204" s="4"/>
      <c r="J204" s="4" t="s">
        <v>2702</v>
      </c>
      <c r="K204" s="7" t="s">
        <v>1790</v>
      </c>
      <c r="L204" s="1" t="s">
        <v>1767</v>
      </c>
      <c r="M204" s="9" t="s">
        <v>335</v>
      </c>
      <c r="N204" s="4" t="str">
        <f>VLOOKUP(H204,Clientes!B:D,3,)</f>
        <v>BANCO SANTANDER S/A (HISPANO)</v>
      </c>
    </row>
    <row r="205" spans="1:14" x14ac:dyDescent="0.25">
      <c r="A205" s="4" t="str">
        <f t="shared" si="3"/>
        <v>DESPESA DE REPRESENTAÇÃO - 1/2 - ALMOÇO COM CLIENTES NO LOUP EM 23/06SALESJOSE ANTONIO DEZENE JUNIOR (AGENDA 42596</v>
      </c>
      <c r="B205" s="11">
        <v>46174</v>
      </c>
      <c r="C205" s="4">
        <v>817991</v>
      </c>
      <c r="D205" s="1" t="s">
        <v>428</v>
      </c>
      <c r="E205" s="14">
        <v>-1751.5</v>
      </c>
      <c r="F205" s="5" t="s">
        <v>447</v>
      </c>
      <c r="G205" s="2">
        <v>46192</v>
      </c>
      <c r="H205" s="9">
        <v>1170</v>
      </c>
      <c r="I205" s="4"/>
      <c r="J205" s="4" t="s">
        <v>2588</v>
      </c>
      <c r="K205" s="7" t="s">
        <v>1719</v>
      </c>
      <c r="L205" s="1" t="s">
        <v>428</v>
      </c>
      <c r="M205" s="9" t="s">
        <v>468</v>
      </c>
      <c r="N205" s="4" t="str">
        <f>VLOOKUP(H205,Clientes!B:D,3,)</f>
        <v>BGC LIQUIDEZ DTVM LTDA</v>
      </c>
    </row>
    <row r="206" spans="1:14" x14ac:dyDescent="0.25">
      <c r="A206" s="4" t="str">
        <f t="shared" si="3"/>
        <v>DESPESA DE REPRESENTAÇÃO -  JANTAR NYBROKERPAOLO FRANCA LIDA (070704-3998PI</v>
      </c>
      <c r="B206" s="11">
        <v>46174</v>
      </c>
      <c r="C206" s="4">
        <v>817991</v>
      </c>
      <c r="D206" s="1" t="s">
        <v>772</v>
      </c>
      <c r="E206" s="14">
        <v>-548.02</v>
      </c>
      <c r="F206" s="5" t="s">
        <v>380</v>
      </c>
      <c r="G206" s="2">
        <v>46184</v>
      </c>
      <c r="H206" s="9">
        <v>1170</v>
      </c>
      <c r="I206" s="4"/>
      <c r="J206" s="5" t="s">
        <v>1624</v>
      </c>
      <c r="K206" s="7" t="s">
        <v>1623</v>
      </c>
      <c r="L206" s="1" t="s">
        <v>772</v>
      </c>
      <c r="M206" s="9" t="s">
        <v>2</v>
      </c>
      <c r="N206" s="4" t="str">
        <f>VLOOKUP(H206,Clientes!B:D,3,)</f>
        <v>BGC LIQUIDEZ DTVM LTDA</v>
      </c>
    </row>
    <row r="207" spans="1:14" x14ac:dyDescent="0.25">
      <c r="A207" s="4" t="str">
        <f t="shared" si="3"/>
        <v>DESPESA DE REPRESENTAÇÃO -  ALMOÇOTRADERGEOGE MAIA (154427-3998EC</v>
      </c>
      <c r="B207" s="11">
        <v>46174</v>
      </c>
      <c r="C207" s="4">
        <v>817991</v>
      </c>
      <c r="D207" s="1" t="s">
        <v>647</v>
      </c>
      <c r="E207" s="14">
        <v>-508</v>
      </c>
      <c r="F207" s="5" t="s">
        <v>447</v>
      </c>
      <c r="G207" s="2">
        <v>46198</v>
      </c>
      <c r="H207" s="9">
        <v>82361</v>
      </c>
      <c r="I207" s="4"/>
      <c r="J207" s="5" t="s">
        <v>2701</v>
      </c>
      <c r="K207" s="7" t="s">
        <v>1655</v>
      </c>
      <c r="L207" s="1" t="s">
        <v>1656</v>
      </c>
      <c r="M207" s="9" t="s">
        <v>335</v>
      </c>
      <c r="N207" s="4" t="str">
        <f>VLOOKUP(H207,Clientes!B:D,3,)</f>
        <v>RIZA GESTORA DE RECURSOS LTDA</v>
      </c>
    </row>
    <row r="208" spans="1:14" x14ac:dyDescent="0.25">
      <c r="A208" s="4"/>
      <c r="B208" s="11"/>
      <c r="C208" s="4"/>
      <c r="N208" s="4"/>
    </row>
    <row r="209" spans="1:14" x14ac:dyDescent="0.25">
      <c r="A209" s="4"/>
      <c r="B209" s="11"/>
      <c r="C209" s="4"/>
      <c r="N209" s="4"/>
    </row>
    <row r="210" spans="1:14" x14ac:dyDescent="0.25">
      <c r="A210" s="4"/>
      <c r="B210" s="11"/>
      <c r="C210" s="4"/>
      <c r="N210" s="4"/>
    </row>
    <row r="212" spans="1:14" x14ac:dyDescent="0.25">
      <c r="E212" s="37"/>
    </row>
    <row r="213" spans="1:14" x14ac:dyDescent="0.25">
      <c r="E213" s="20"/>
    </row>
  </sheetData>
  <autoFilter ref="A1:P210" xr:uid="{722680DA-B733-4F54-850B-B1907ECFC407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C643-DEE2-418B-9B46-50F1ABA3CD77}">
  <sheetPr codeName="Sheet4"/>
  <dimension ref="A1:N209"/>
  <sheetViews>
    <sheetView showGridLines="0" topLeftCell="A127" zoomScaleNormal="100" workbookViewId="0">
      <selection activeCell="D151" sqref="D151"/>
    </sheetView>
  </sheetViews>
  <sheetFormatPr defaultRowHeight="15" x14ac:dyDescent="0.25"/>
  <cols>
    <col min="1" max="1" width="64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x14ac:dyDescent="0.25">
      <c r="A2" s="4" t="str">
        <f>CONCATENATE($J$1,J2,$I$3,M2,$I$3,L2,$I$1,K2,$I$2)</f>
        <v>DESPESA DE REPRESENTAÇÃO - PASSAGEM SÃO PAULO X RIO DE JANEIRO  - CEO - ERMINIO OLIVI LUCCI (AGENDA 42636)</v>
      </c>
      <c r="B2" s="11">
        <v>46204</v>
      </c>
      <c r="C2" s="4">
        <v>817991</v>
      </c>
      <c r="D2" s="1" t="s">
        <v>650</v>
      </c>
      <c r="E2" s="14">
        <v>-572.91</v>
      </c>
      <c r="F2" s="5" t="s">
        <v>388</v>
      </c>
      <c r="G2" s="2">
        <v>46204</v>
      </c>
      <c r="H2" s="9">
        <v>1170</v>
      </c>
      <c r="I2" s="4" t="s">
        <v>333</v>
      </c>
      <c r="J2" s="4" t="s">
        <v>2689</v>
      </c>
      <c r="K2" s="7" t="s">
        <v>2690</v>
      </c>
      <c r="L2" s="1" t="s">
        <v>650</v>
      </c>
      <c r="M2" s="9" t="s">
        <v>490</v>
      </c>
      <c r="N2" s="4" t="str">
        <f>VLOOKUP(H2,Clientes!B:D,3,)</f>
        <v>BGC LIQUIDEZ DTVM LTDA</v>
      </c>
    </row>
    <row r="3" spans="1:14" x14ac:dyDescent="0.25">
      <c r="A3" s="4" t="str">
        <f t="shared" ref="A3:A66" si="0">CONCATENATE($J$1,J3,$I$3,M3,$I$3,L3,$I$1,K3,$I$2)</f>
        <v>DESPESA DE REPRESENTAÇÃO - PASSAGEM SÃO PAULO X BRASÍLIA  - CONSULTORA - CLAUDIA TAVARES FERNANDES (AGENDA 42636)</v>
      </c>
      <c r="B3" s="11">
        <v>46204</v>
      </c>
      <c r="C3" s="4">
        <v>817991</v>
      </c>
      <c r="D3" s="1" t="s">
        <v>539</v>
      </c>
      <c r="E3" s="14">
        <v>-2431.9699999999998</v>
      </c>
      <c r="F3" s="5" t="s">
        <v>388</v>
      </c>
      <c r="G3" s="2">
        <v>46204</v>
      </c>
      <c r="H3" s="9">
        <v>1170</v>
      </c>
      <c r="I3" s="4" t="s">
        <v>2931</v>
      </c>
      <c r="J3" s="4" t="s">
        <v>812</v>
      </c>
      <c r="K3" s="7" t="s">
        <v>2690</v>
      </c>
      <c r="L3" s="1" t="s">
        <v>539</v>
      </c>
      <c r="M3" s="9" t="s">
        <v>654</v>
      </c>
      <c r="N3" s="4" t="str">
        <f>VLOOKUP(H3,Clientes!B:D,3,)</f>
        <v>BGC LIQUIDEZ DTVM LTDA</v>
      </c>
    </row>
    <row r="4" spans="1:14" x14ac:dyDescent="0.25">
      <c r="A4" s="4" t="str">
        <f t="shared" si="0"/>
        <v>DESPESA DE REPRESENTAÇÃO - PASSAGEM SÃO PAULO X BRASÍLIA  - CONSULTOR  - RENAN REIS CRUVINEL (AGENDA 42636)</v>
      </c>
      <c r="B4" s="11">
        <v>46204</v>
      </c>
      <c r="C4" s="4">
        <v>817991</v>
      </c>
      <c r="D4" s="1" t="s">
        <v>538</v>
      </c>
      <c r="E4" s="14">
        <v>-2218.13</v>
      </c>
      <c r="F4" s="5" t="s">
        <v>388</v>
      </c>
      <c r="G4" s="2">
        <v>46204</v>
      </c>
      <c r="H4" s="9">
        <v>1170</v>
      </c>
      <c r="I4" s="4"/>
      <c r="J4" s="4" t="s">
        <v>812</v>
      </c>
      <c r="K4" s="7" t="s">
        <v>2690</v>
      </c>
      <c r="L4" s="1" t="s">
        <v>538</v>
      </c>
      <c r="M4" s="9" t="s">
        <v>2653</v>
      </c>
      <c r="N4" s="4" t="str">
        <f>VLOOKUP(H4,Clientes!B:D,3,)</f>
        <v>BGC LIQUIDEZ DTVM LTDA</v>
      </c>
    </row>
    <row r="5" spans="1:14" x14ac:dyDescent="0.25">
      <c r="A5" s="4" t="str">
        <f t="shared" si="0"/>
        <v>DESPESA DE REPRESENTAÇÃO - HOTEL RADISSON BLU SÃO PAULO - CONSULTORA - CLAUDIA TAVARES FERNANDES (AGENDA 42638)</v>
      </c>
      <c r="B5" s="11">
        <v>46204</v>
      </c>
      <c r="C5" s="4">
        <v>817991</v>
      </c>
      <c r="D5" s="1" t="s">
        <v>539</v>
      </c>
      <c r="E5" s="14">
        <v>-1467.25</v>
      </c>
      <c r="F5" s="5" t="s">
        <v>422</v>
      </c>
      <c r="G5" s="2">
        <v>46204</v>
      </c>
      <c r="H5" s="9">
        <v>1170</v>
      </c>
      <c r="I5" s="4"/>
      <c r="J5" s="4" t="s">
        <v>1638</v>
      </c>
      <c r="K5" s="7" t="s">
        <v>2691</v>
      </c>
      <c r="L5" s="1" t="s">
        <v>539</v>
      </c>
      <c r="M5" s="9" t="s">
        <v>654</v>
      </c>
      <c r="N5" s="4" t="str">
        <f>VLOOKUP(H5,Clientes!B:D,3,)</f>
        <v>BGC LIQUIDEZ DTVM LTDA</v>
      </c>
    </row>
    <row r="6" spans="1:14" x14ac:dyDescent="0.25">
      <c r="A6" s="4" t="str">
        <f t="shared" si="0"/>
        <v>DESPESA DE REPRESENTAÇÃO - HOTEL RADISSON BLU SÃO PAULO - CONSULTOR  - RENAN REIS CRUVINEL (AGENDA 42638)</v>
      </c>
      <c r="B6" s="11">
        <v>46204</v>
      </c>
      <c r="C6" s="4">
        <v>817991</v>
      </c>
      <c r="D6" s="1" t="s">
        <v>538</v>
      </c>
      <c r="E6" s="14">
        <v>-1467.25</v>
      </c>
      <c r="F6" s="5" t="s">
        <v>422</v>
      </c>
      <c r="G6" s="2">
        <v>46204</v>
      </c>
      <c r="H6" s="9">
        <v>1170</v>
      </c>
      <c r="I6" s="4"/>
      <c r="J6" s="4" t="s">
        <v>1638</v>
      </c>
      <c r="K6" s="7" t="s">
        <v>2691</v>
      </c>
      <c r="L6" s="1" t="s">
        <v>538</v>
      </c>
      <c r="M6" s="9" t="s">
        <v>2653</v>
      </c>
      <c r="N6" s="4" t="str">
        <f>VLOOKUP(H6,Clientes!B:D,3,)</f>
        <v>BGC LIQUIDEZ DTVM LTDA</v>
      </c>
    </row>
    <row r="7" spans="1:14" x14ac:dyDescent="0.25">
      <c r="A7" s="4" t="str">
        <f t="shared" si="0"/>
        <v>DESPESA DE REPRESENTAÇÃO - ALMOÇO - TRADER - RENANN DAVID (174431-3998FC)</v>
      </c>
      <c r="B7" s="11">
        <v>46204</v>
      </c>
      <c r="C7" s="4">
        <v>817991</v>
      </c>
      <c r="D7" s="1" t="s">
        <v>480</v>
      </c>
      <c r="E7" s="14">
        <v>-511.21</v>
      </c>
      <c r="F7" s="5" t="s">
        <v>447</v>
      </c>
      <c r="G7" s="2">
        <v>46205</v>
      </c>
      <c r="H7" s="9">
        <v>81643</v>
      </c>
      <c r="J7" s="4" t="s">
        <v>447</v>
      </c>
      <c r="K7" s="7" t="s">
        <v>2571</v>
      </c>
      <c r="L7" s="1" t="s">
        <v>255</v>
      </c>
      <c r="M7" s="9" t="s">
        <v>335</v>
      </c>
      <c r="N7" s="4" t="str">
        <f>VLOOKUP(H7,Clientes!B:D,3,)</f>
        <v>BANCO SUMITOMO MITSUI BRASILEIRO S/A</v>
      </c>
    </row>
    <row r="8" spans="1:14" x14ac:dyDescent="0.25">
      <c r="A8" s="4" t="str">
        <f t="shared" si="0"/>
        <v>DESPESA DE REPRESENTAÇÃO - JANTAR - TRADER - RODRIGO MOREIRA DE ASSIS (102151-3998RP)</v>
      </c>
      <c r="B8" s="11">
        <v>46204</v>
      </c>
      <c r="C8" s="4">
        <v>817991</v>
      </c>
      <c r="D8" s="1" t="s">
        <v>482</v>
      </c>
      <c r="E8" s="14">
        <v>-2359</v>
      </c>
      <c r="F8" s="5" t="s">
        <v>380</v>
      </c>
      <c r="G8" s="2">
        <v>46205</v>
      </c>
      <c r="H8" s="9">
        <v>83119</v>
      </c>
      <c r="J8" s="4" t="s">
        <v>380</v>
      </c>
      <c r="K8" s="7" t="s">
        <v>2572</v>
      </c>
      <c r="L8" s="1" t="s">
        <v>2566</v>
      </c>
      <c r="M8" s="9" t="s">
        <v>335</v>
      </c>
      <c r="N8" s="4" t="str">
        <f>VLOOKUP(H8,Clientes!B:D,3,)</f>
        <v>UBS BRASIL ADMINISTRADORA DE VALORES MOBILIARIOS LTDA</v>
      </c>
    </row>
    <row r="9" spans="1:14" x14ac:dyDescent="0.25">
      <c r="A9" s="4" t="str">
        <f t="shared" si="0"/>
        <v>DESPESA DE REPRESENTAÇÃO - ALMOÇO - TRADER - FILIPE SANTOS (155939-3998RU)</v>
      </c>
      <c r="B9" s="11">
        <v>46204</v>
      </c>
      <c r="C9" s="4">
        <v>817991</v>
      </c>
      <c r="D9" s="1" t="s">
        <v>652</v>
      </c>
      <c r="E9" s="14">
        <v>-3525.6</v>
      </c>
      <c r="F9" s="5" t="s">
        <v>447</v>
      </c>
      <c r="G9" s="2">
        <v>46205</v>
      </c>
      <c r="H9" s="9">
        <v>79956</v>
      </c>
      <c r="I9" s="4"/>
      <c r="J9" s="4" t="s">
        <v>447</v>
      </c>
      <c r="K9" s="7" t="s">
        <v>2573</v>
      </c>
      <c r="L9" s="1" t="s">
        <v>724</v>
      </c>
      <c r="M9" s="9" t="s">
        <v>335</v>
      </c>
      <c r="N9" s="4" t="str">
        <f>VLOOKUP(H9,Clientes!B:D,3,)</f>
        <v>SUL AMERICA INVESTIMENTOS GESTORA DE RECURSOS S/A</v>
      </c>
    </row>
    <row r="10" spans="1:14" x14ac:dyDescent="0.25">
      <c r="A10" s="4" t="str">
        <f t="shared" si="0"/>
        <v>DESPESA DE REPRESENTAÇÃO - ALMOÇO - TRADER - RICARDO ESPINDOLA (154442-3998RU)</v>
      </c>
      <c r="B10" s="11">
        <v>46204</v>
      </c>
      <c r="C10" s="4">
        <v>817991</v>
      </c>
      <c r="D10" s="1" t="s">
        <v>652</v>
      </c>
      <c r="E10" s="14">
        <v>-238.09</v>
      </c>
      <c r="F10" s="5" t="s">
        <v>447</v>
      </c>
      <c r="G10" s="2">
        <v>46205</v>
      </c>
      <c r="H10" s="9">
        <v>81500</v>
      </c>
      <c r="I10" s="4"/>
      <c r="J10" s="4" t="s">
        <v>447</v>
      </c>
      <c r="K10" s="7" t="s">
        <v>2574</v>
      </c>
      <c r="L10" s="1" t="s">
        <v>2576</v>
      </c>
      <c r="M10" s="9" t="s">
        <v>335</v>
      </c>
      <c r="N10" s="4" t="str">
        <f>VLOOKUP(H10,Clientes!B:D,3,)</f>
        <v>PORTO SEGURO INVESTIMENTOS LTDA</v>
      </c>
    </row>
    <row r="11" spans="1:14" x14ac:dyDescent="0.25">
      <c r="A11" s="4" t="str">
        <f t="shared" si="0"/>
        <v>DESPESA DE REPRESENTAÇÃO - ALMOÇO - TRADER - GABRIEL DA MOTTA MELLO (160420-3998RU)</v>
      </c>
      <c r="B11" s="11">
        <v>46204</v>
      </c>
      <c r="C11" s="4">
        <v>817991</v>
      </c>
      <c r="D11" s="1" t="s">
        <v>652</v>
      </c>
      <c r="E11" s="14">
        <v>-847.5</v>
      </c>
      <c r="F11" s="5" t="s">
        <v>447</v>
      </c>
      <c r="G11" s="2">
        <v>46205</v>
      </c>
      <c r="H11" s="9">
        <v>12395</v>
      </c>
      <c r="I11" s="4"/>
      <c r="J11" s="4" t="s">
        <v>447</v>
      </c>
      <c r="K11" s="7" t="s">
        <v>2575</v>
      </c>
      <c r="L11" s="1" t="s">
        <v>1760</v>
      </c>
      <c r="M11" s="9" t="s">
        <v>335</v>
      </c>
      <c r="N11" s="4" t="str">
        <f>VLOOKUP(H11,Clientes!B:D,3,)</f>
        <v>AZ QUEST INVESTIMENTOS LTDA</v>
      </c>
    </row>
    <row r="12" spans="1:14" x14ac:dyDescent="0.25">
      <c r="A12" s="4" t="str">
        <f t="shared" si="0"/>
        <v>DESPESA DE REPRESENTAÇÃO - ALMOÇO - TRADER - GABRIEL DA MOTTA MELLO (160420-3998RU)</v>
      </c>
      <c r="B12" s="11">
        <v>46204</v>
      </c>
      <c r="C12" s="4">
        <v>817991</v>
      </c>
      <c r="D12" s="1" t="s">
        <v>516</v>
      </c>
      <c r="E12" s="14">
        <v>-847.5</v>
      </c>
      <c r="F12" s="5" t="s">
        <v>447</v>
      </c>
      <c r="G12" s="2">
        <v>46205</v>
      </c>
      <c r="H12" s="9">
        <v>12395</v>
      </c>
      <c r="I12" s="4"/>
      <c r="J12" s="4" t="s">
        <v>447</v>
      </c>
      <c r="K12" s="7" t="s">
        <v>2575</v>
      </c>
      <c r="L12" s="1" t="s">
        <v>1760</v>
      </c>
      <c r="M12" s="9" t="s">
        <v>335</v>
      </c>
      <c r="N12" s="4" t="str">
        <f>VLOOKUP(H12,Clientes!B:D,3,)</f>
        <v>AZ QUEST INVESTIMENTOS LTDA</v>
      </c>
    </row>
    <row r="13" spans="1:14" x14ac:dyDescent="0.25">
      <c r="A13" s="4" t="str">
        <f t="shared" si="0"/>
        <v>DESPESA DE REPRESENTAÇÃO - ALMOÇO - TRADER - GABRIEL DA MOTTA MELLO (160420-3998RU)</v>
      </c>
      <c r="B13" s="11">
        <v>46204</v>
      </c>
      <c r="C13" s="4">
        <v>817991</v>
      </c>
      <c r="D13" s="1" t="s">
        <v>615</v>
      </c>
      <c r="E13" s="14">
        <v>-847.5</v>
      </c>
      <c r="F13" s="5" t="s">
        <v>447</v>
      </c>
      <c r="G13" s="2">
        <v>46205</v>
      </c>
      <c r="H13" s="9">
        <v>12395</v>
      </c>
      <c r="I13" s="4"/>
      <c r="J13" s="4" t="s">
        <v>447</v>
      </c>
      <c r="K13" s="7" t="s">
        <v>2575</v>
      </c>
      <c r="L13" s="1" t="s">
        <v>1760</v>
      </c>
      <c r="M13" s="9" t="s">
        <v>335</v>
      </c>
      <c r="N13" s="4" t="str">
        <f>VLOOKUP(H13,Clientes!B:D,3,)</f>
        <v>AZ QUEST INVESTIMENTOS LTDA</v>
      </c>
    </row>
    <row r="14" spans="1:14" x14ac:dyDescent="0.25">
      <c r="A14" s="4" t="str">
        <f t="shared" si="0"/>
        <v>DESPESA DE REPRESENTAÇÃO - JANTAR - TRADER - BRUNO BUDANT PEROTTONI (112011-3998JV)</v>
      </c>
      <c r="B14" s="11">
        <v>46204</v>
      </c>
      <c r="C14" s="4">
        <v>817991</v>
      </c>
      <c r="D14" s="1" t="s">
        <v>459</v>
      </c>
      <c r="E14" s="14">
        <v>-1604.79</v>
      </c>
      <c r="F14" s="5" t="s">
        <v>380</v>
      </c>
      <c r="G14" s="2">
        <v>46205</v>
      </c>
      <c r="H14" s="9">
        <v>81794</v>
      </c>
      <c r="I14" s="4"/>
      <c r="J14" s="4" t="s">
        <v>380</v>
      </c>
      <c r="K14" s="7" t="s">
        <v>2578</v>
      </c>
      <c r="L14" s="1" t="s">
        <v>535</v>
      </c>
      <c r="M14" s="9" t="s">
        <v>335</v>
      </c>
      <c r="N14" s="4" t="str">
        <f>VLOOKUP(H14,Clientes!B:D,3,)</f>
        <v>BRAZA BANK S/A BANCO DE CAMBIO</v>
      </c>
    </row>
    <row r="15" spans="1:14" x14ac:dyDescent="0.25">
      <c r="A15" s="4" t="str">
        <f t="shared" si="0"/>
        <v>DESPESA DE REPRESENTAÇÃO - JANTAR - TRADER - BRUNO BUDANT PEROTTONI (105906-3998JV)</v>
      </c>
      <c r="B15" s="11">
        <v>46204</v>
      </c>
      <c r="C15" s="4">
        <v>817991</v>
      </c>
      <c r="D15" s="1" t="s">
        <v>459</v>
      </c>
      <c r="E15" s="14">
        <v>-348.7</v>
      </c>
      <c r="F15" s="5" t="s">
        <v>380</v>
      </c>
      <c r="G15" s="2">
        <v>46205</v>
      </c>
      <c r="H15" s="9">
        <v>81794</v>
      </c>
      <c r="I15" s="4"/>
      <c r="J15" s="4" t="s">
        <v>380</v>
      </c>
      <c r="K15" s="7" t="s">
        <v>2577</v>
      </c>
      <c r="L15" s="1" t="s">
        <v>535</v>
      </c>
      <c r="M15" s="9" t="s">
        <v>335</v>
      </c>
      <c r="N15" s="4" t="str">
        <f>VLOOKUP(H15,Clientes!B:D,3,)</f>
        <v>BRAZA BANK S/A BANCO DE CAMBIO</v>
      </c>
    </row>
    <row r="16" spans="1:14" x14ac:dyDescent="0.25">
      <c r="A16" s="4" t="str">
        <f t="shared" si="0"/>
        <v>DESPESA DE REPRESENTAÇÃO - JANTAR - TRADER - MARCELO SCHOLZ ISSA (155018-3998DG)</v>
      </c>
      <c r="B16" s="11">
        <v>46204</v>
      </c>
      <c r="C16" s="4">
        <v>817991</v>
      </c>
      <c r="D16" s="1" t="s">
        <v>516</v>
      </c>
      <c r="E16" s="14">
        <v>-630</v>
      </c>
      <c r="F16" s="5" t="s">
        <v>380</v>
      </c>
      <c r="G16" s="2">
        <v>46205</v>
      </c>
      <c r="H16" s="9">
        <v>81259</v>
      </c>
      <c r="I16" s="4"/>
      <c r="J16" s="4" t="s">
        <v>380</v>
      </c>
      <c r="K16" s="7" t="s">
        <v>2579</v>
      </c>
      <c r="L16" s="1" t="s">
        <v>681</v>
      </c>
      <c r="M16" s="9" t="s">
        <v>335</v>
      </c>
      <c r="N16" s="4" t="str">
        <f>VLOOKUP(H16,Clientes!B:D,3,)</f>
        <v>GOLDMAN SACHS DO BRASIL BANCO MULTIPLO S/A</v>
      </c>
    </row>
    <row r="17" spans="1:14" x14ac:dyDescent="0.25">
      <c r="A17" s="4" t="str">
        <f t="shared" si="0"/>
        <v>DESPESA DE REPRESENTAÇÃO - ALMOÇO - TRADER - RODRIGO LAZZARIS FERNANDEZ (183217-3998PI)</v>
      </c>
      <c r="B17" s="11">
        <v>46204</v>
      </c>
      <c r="C17" s="4">
        <v>817991</v>
      </c>
      <c r="D17" s="1" t="s">
        <v>772</v>
      </c>
      <c r="E17" s="14">
        <v>-1705</v>
      </c>
      <c r="F17" s="5" t="s">
        <v>447</v>
      </c>
      <c r="G17" s="2">
        <v>46205</v>
      </c>
      <c r="H17" s="9">
        <v>14479</v>
      </c>
      <c r="I17" s="4"/>
      <c r="J17" s="4" t="s">
        <v>447</v>
      </c>
      <c r="K17" s="7" t="s">
        <v>2580</v>
      </c>
      <c r="L17" s="1" t="s">
        <v>1767</v>
      </c>
      <c r="M17" s="9" t="s">
        <v>335</v>
      </c>
      <c r="N17" s="4" t="str">
        <f>VLOOKUP(H17,Clientes!B:D,3,)</f>
        <v>BANCO SANTANDER (BRASIL) S/A</v>
      </c>
    </row>
    <row r="18" spans="1:14" x14ac:dyDescent="0.25">
      <c r="A18" s="4" t="str">
        <f t="shared" si="0"/>
        <v>DESPESA DE REPRESENTAÇÃO - JANTAR - TRADER - GABRIEL GODOY CAMILO (180857-3998PI)</v>
      </c>
      <c r="B18" s="11">
        <v>46204</v>
      </c>
      <c r="C18" s="4">
        <v>817991</v>
      </c>
      <c r="D18" s="1" t="s">
        <v>772</v>
      </c>
      <c r="E18" s="14">
        <v>-1400</v>
      </c>
      <c r="F18" s="5" t="s">
        <v>380</v>
      </c>
      <c r="G18" s="2">
        <v>46205</v>
      </c>
      <c r="H18" s="9">
        <v>79407</v>
      </c>
      <c r="I18" s="4"/>
      <c r="J18" s="4" t="s">
        <v>380</v>
      </c>
      <c r="K18" s="7" t="s">
        <v>2581</v>
      </c>
      <c r="L18" s="1" t="s">
        <v>1507</v>
      </c>
      <c r="M18" s="9" t="s">
        <v>335</v>
      </c>
      <c r="N18" s="4" t="str">
        <f>VLOOKUP(H18,Clientes!B:D,3,)</f>
        <v>BANCO MORGAN STANLEY S/A</v>
      </c>
    </row>
    <row r="19" spans="1:14" x14ac:dyDescent="0.25">
      <c r="A19" s="4" t="str">
        <f t="shared" si="0"/>
        <v>DESPESA DE REPRESENTAÇÃO - JANTAR - TRADER - PEDRO JULIAO (121403-3688PB)</v>
      </c>
      <c r="B19" s="11">
        <v>46204</v>
      </c>
      <c r="C19" s="4">
        <v>817991</v>
      </c>
      <c r="D19" s="1" t="s">
        <v>2582</v>
      </c>
      <c r="E19" s="14">
        <v>-4826</v>
      </c>
      <c r="F19" s="5" t="s">
        <v>380</v>
      </c>
      <c r="G19" s="2">
        <v>46205</v>
      </c>
      <c r="H19" s="9">
        <v>80754</v>
      </c>
      <c r="I19" s="4"/>
      <c r="J19" s="4" t="s">
        <v>380</v>
      </c>
      <c r="K19" s="7" t="s">
        <v>2584</v>
      </c>
      <c r="L19" s="1" t="s">
        <v>2583</v>
      </c>
      <c r="M19" s="9" t="s">
        <v>335</v>
      </c>
      <c r="N19" s="4" t="str">
        <f>VLOOKUP(H19,Clientes!B:D,3,)</f>
        <v>BANCO MORGAN STANLEY S/A</v>
      </c>
    </row>
    <row r="20" spans="1:14" x14ac:dyDescent="0.25">
      <c r="A20" s="4" t="str">
        <f t="shared" si="0"/>
        <v>DESPESA DE REPRESENTAÇÃO - ALMOÇO - TRADER - TIAGO DAER (171936-3998EC)</v>
      </c>
      <c r="B20" s="11">
        <v>46204</v>
      </c>
      <c r="C20" s="4">
        <v>817991</v>
      </c>
      <c r="D20" s="1" t="s">
        <v>647</v>
      </c>
      <c r="E20" s="14">
        <v>-396</v>
      </c>
      <c r="F20" s="5" t="s">
        <v>447</v>
      </c>
      <c r="G20" s="2">
        <v>46205</v>
      </c>
      <c r="H20" s="9">
        <v>15501</v>
      </c>
      <c r="I20" s="4"/>
      <c r="J20" s="4" t="s">
        <v>447</v>
      </c>
      <c r="K20" s="7" t="s">
        <v>2585</v>
      </c>
      <c r="L20" s="1" t="s">
        <v>2586</v>
      </c>
      <c r="M20" s="9" t="s">
        <v>335</v>
      </c>
      <c r="N20" s="4" t="str">
        <f>VLOOKUP(H20,Clientes!B:D,3,)</f>
        <v>BANCO BTG PACTUAL S/A</v>
      </c>
    </row>
    <row r="21" spans="1:14" x14ac:dyDescent="0.25">
      <c r="A21" s="4" t="str">
        <f t="shared" si="0"/>
        <v>DESPESA DE REPRESENTAÇÃO - JANTAR - TRADER - IGOR CHIASSO MARQUES (142226-3688JT)</v>
      </c>
      <c r="B21" s="11">
        <v>46204</v>
      </c>
      <c r="C21" s="4">
        <v>817991</v>
      </c>
      <c r="D21" s="1" t="s">
        <v>23</v>
      </c>
      <c r="E21" s="14">
        <v>-2739</v>
      </c>
      <c r="F21" s="5" t="s">
        <v>380</v>
      </c>
      <c r="G21" s="2">
        <v>46205</v>
      </c>
      <c r="H21" s="9">
        <v>80749</v>
      </c>
      <c r="I21" s="4"/>
      <c r="J21" s="4" t="s">
        <v>380</v>
      </c>
      <c r="K21" s="7" t="s">
        <v>2587</v>
      </c>
      <c r="L21" s="1" t="s">
        <v>1961</v>
      </c>
      <c r="M21" s="9" t="s">
        <v>335</v>
      </c>
      <c r="N21" s="4" t="str">
        <f>VLOOKUP(H21,Clientes!B:D,3,)</f>
        <v>BANCO XP S/A</v>
      </c>
    </row>
    <row r="22" spans="1:14" x14ac:dyDescent="0.25">
      <c r="A22" s="4" t="str">
        <f t="shared" si="0"/>
        <v>DESPESA DE REPRESENTAÇÃO - CONDOMINIO E IPTU - FLAT - BROKER - CHRISTIANO MARCONDES DE BARROS LIMA (AGENDA 42452)</v>
      </c>
      <c r="B22" s="11">
        <v>46204</v>
      </c>
      <c r="C22" s="4">
        <v>817991</v>
      </c>
      <c r="D22" s="1" t="s">
        <v>60</v>
      </c>
      <c r="E22" s="14">
        <v>-477.5</v>
      </c>
      <c r="F22" s="5" t="s">
        <v>422</v>
      </c>
      <c r="G22" s="2">
        <v>46206</v>
      </c>
      <c r="H22" s="9">
        <v>1170</v>
      </c>
      <c r="I22" s="4"/>
      <c r="J22" s="4" t="s">
        <v>429</v>
      </c>
      <c r="K22" s="7" t="s">
        <v>2775</v>
      </c>
      <c r="L22" s="1" t="s">
        <v>60</v>
      </c>
      <c r="M22" s="9" t="s">
        <v>2</v>
      </c>
      <c r="N22" s="4" t="str">
        <f>VLOOKUP(H22,Clientes!B:D,3,)</f>
        <v>BGC LIQUIDEZ DTVM LTDA</v>
      </c>
    </row>
    <row r="23" spans="1:14" x14ac:dyDescent="0.25">
      <c r="A23" s="4" t="str">
        <f t="shared" si="0"/>
        <v>DESPESA DE REPRESENTAÇÃO - CONDOMINIO E IPTU - FLAT - BROKER - JOSE MAURICIO GOMES TEIXEIRA (AGENDA 42452)</v>
      </c>
      <c r="B23" s="11">
        <v>46204</v>
      </c>
      <c r="C23" s="4">
        <v>817991</v>
      </c>
      <c r="D23" s="1" t="s">
        <v>23</v>
      </c>
      <c r="E23" s="14">
        <v>-477.5</v>
      </c>
      <c r="F23" s="5" t="s">
        <v>422</v>
      </c>
      <c r="G23" s="2">
        <v>46206</v>
      </c>
      <c r="H23" s="9">
        <v>1170</v>
      </c>
      <c r="I23" s="4"/>
      <c r="J23" s="4" t="s">
        <v>429</v>
      </c>
      <c r="K23" s="7" t="s">
        <v>2775</v>
      </c>
      <c r="L23" s="1" t="s">
        <v>23</v>
      </c>
      <c r="M23" s="9" t="s">
        <v>2</v>
      </c>
      <c r="N23" s="4" t="str">
        <f>VLOOKUP(H23,Clientes!B:D,3,)</f>
        <v>BGC LIQUIDEZ DTVM LTDA</v>
      </c>
    </row>
    <row r="24" spans="1:14" x14ac:dyDescent="0.25">
      <c r="A24" s="4" t="str">
        <f t="shared" si="0"/>
        <v>DESPESA DE REPRESENTAÇÃO - CONDOMINIO E IPTU - FLAT - GESTOR - ANDRE HALL ACCIOLY (AGENDA 42452)</v>
      </c>
      <c r="B24" s="11">
        <v>46204</v>
      </c>
      <c r="C24" s="4">
        <v>817991</v>
      </c>
      <c r="D24" s="1" t="s">
        <v>423</v>
      </c>
      <c r="E24" s="14">
        <v>-955</v>
      </c>
      <c r="F24" s="5" t="s">
        <v>422</v>
      </c>
      <c r="G24" s="2">
        <v>46206</v>
      </c>
      <c r="H24" s="9">
        <v>1170</v>
      </c>
      <c r="I24" s="4"/>
      <c r="J24" s="4" t="s">
        <v>429</v>
      </c>
      <c r="K24" s="7" t="s">
        <v>2775</v>
      </c>
      <c r="L24" s="1" t="s">
        <v>742</v>
      </c>
      <c r="M24" s="9" t="s">
        <v>598</v>
      </c>
      <c r="N24" s="4" t="str">
        <f>VLOOKUP(H24,Clientes!B:D,3,)</f>
        <v>BGC LIQUIDEZ DTVM LTDA</v>
      </c>
    </row>
    <row r="25" spans="1:14" x14ac:dyDescent="0.25">
      <c r="A25" s="4" t="str">
        <f t="shared" si="0"/>
        <v>DESPESA DE REPRESENTAÇÃO - ALMOÇO EM BRASÍLIA MARIE COUSINE  - ACESSOR - JOÃO NOBRE  (AGENDA 42872)</v>
      </c>
      <c r="B25" s="11">
        <v>46204</v>
      </c>
      <c r="C25" s="4">
        <v>817991</v>
      </c>
      <c r="D25" s="1" t="s">
        <v>428</v>
      </c>
      <c r="E25" s="14">
        <v>-2739.12</v>
      </c>
      <c r="F25" s="5" t="s">
        <v>447</v>
      </c>
      <c r="G25" s="2">
        <v>46210</v>
      </c>
      <c r="H25" s="9">
        <v>1170</v>
      </c>
      <c r="I25" s="4"/>
      <c r="J25" s="4" t="s">
        <v>2591</v>
      </c>
      <c r="K25" s="7" t="s">
        <v>2594</v>
      </c>
      <c r="L25" s="1" t="s">
        <v>2595</v>
      </c>
      <c r="M25" s="9" t="s">
        <v>2929</v>
      </c>
      <c r="N25" s="4" t="str">
        <f>VLOOKUP(H25,Clientes!B:D,3,)</f>
        <v>BGC LIQUIDEZ DTVM LTDA</v>
      </c>
    </row>
    <row r="26" spans="1:14" x14ac:dyDescent="0.25">
      <c r="A26" s="4" t="str">
        <f t="shared" si="0"/>
        <v>DESPESA DE REPRESENTAÇÃO - JANTAR EM BRASÍLIA RUBAIYAT - DEPUTADO - DOUTOR LUIZINHO (AGENDA 42872)</v>
      </c>
      <c r="B26" s="11">
        <v>46204</v>
      </c>
      <c r="C26" s="4">
        <v>817991</v>
      </c>
      <c r="D26" s="1" t="s">
        <v>428</v>
      </c>
      <c r="E26" s="14">
        <v>-3721.09</v>
      </c>
      <c r="F26" s="5" t="s">
        <v>380</v>
      </c>
      <c r="G26" s="2">
        <v>46210</v>
      </c>
      <c r="H26" s="9">
        <v>1170</v>
      </c>
      <c r="I26" s="4"/>
      <c r="J26" s="4" t="s">
        <v>2592</v>
      </c>
      <c r="K26" s="7" t="s">
        <v>2594</v>
      </c>
      <c r="L26" s="1" t="s">
        <v>2596</v>
      </c>
      <c r="M26" s="9" t="s">
        <v>2598</v>
      </c>
      <c r="N26" s="4" t="str">
        <f>VLOOKUP(H26,Clientes!B:D,3,)</f>
        <v>BGC LIQUIDEZ DTVM LTDA</v>
      </c>
    </row>
    <row r="27" spans="1:14" x14ac:dyDescent="0.25">
      <c r="A27" s="4" t="str">
        <f t="shared" si="0"/>
        <v>DESPESA DE REPRESENTAÇÃO - ALMOÇO EM BRASÍLIA FOGO DE CHÃO - DEPUTADO - ISNALDO BULHÕES (AGENDA 42872)</v>
      </c>
      <c r="B27" s="11">
        <v>46204</v>
      </c>
      <c r="C27" s="4">
        <v>817991</v>
      </c>
      <c r="D27" s="1" t="s">
        <v>428</v>
      </c>
      <c r="E27" s="14">
        <v>-3096.2</v>
      </c>
      <c r="F27" s="5" t="s">
        <v>447</v>
      </c>
      <c r="G27" s="2">
        <v>46210</v>
      </c>
      <c r="H27" s="9">
        <v>1170</v>
      </c>
      <c r="I27" s="4"/>
      <c r="J27" s="4" t="s">
        <v>2593</v>
      </c>
      <c r="K27" s="7" t="s">
        <v>2594</v>
      </c>
      <c r="L27" s="1" t="s">
        <v>2597</v>
      </c>
      <c r="M27" s="9" t="s">
        <v>2598</v>
      </c>
      <c r="N27" s="4" t="str">
        <f>VLOOKUP(H27,Clientes!B:D,3,)</f>
        <v>BGC LIQUIDEZ DTVM LTDA</v>
      </c>
    </row>
    <row r="28" spans="1:14" x14ac:dyDescent="0.25">
      <c r="A28" s="4" t="str">
        <f t="shared" si="0"/>
        <v>DESPESA DE REPRESENTAÇÃO - TÁXI LONDRES - CEO - ERMINIO OLIVI LUCCI (AGENDA 42904)</v>
      </c>
      <c r="B28" s="11">
        <v>46204</v>
      </c>
      <c r="C28" s="4">
        <v>817991</v>
      </c>
      <c r="D28" s="1" t="s">
        <v>650</v>
      </c>
      <c r="E28" s="14">
        <v>-168.96</v>
      </c>
      <c r="F28" s="5" t="s">
        <v>388</v>
      </c>
      <c r="G28" s="2">
        <v>46210</v>
      </c>
      <c r="H28" s="9">
        <v>1170</v>
      </c>
      <c r="I28" s="4"/>
      <c r="J28" s="4" t="s">
        <v>2670</v>
      </c>
      <c r="K28" s="7" t="s">
        <v>2676</v>
      </c>
      <c r="L28" s="1" t="s">
        <v>650</v>
      </c>
      <c r="M28" s="9" t="s">
        <v>490</v>
      </c>
      <c r="N28" s="4" t="str">
        <f>VLOOKUP(H28,Clientes!B:D,3,)</f>
        <v>BGC LIQUIDEZ DTVM LTDA</v>
      </c>
    </row>
    <row r="29" spans="1:14" x14ac:dyDescent="0.25">
      <c r="A29" s="4" t="str">
        <f t="shared" si="0"/>
        <v>DESPESA DE REPRESENTAÇÃO - HOTEL EM LONDRES - CEO - ERMINIO OLIVI LUCCI (AGENDA 42904)</v>
      </c>
      <c r="B29" s="11">
        <v>46204</v>
      </c>
      <c r="C29" s="4">
        <v>817991</v>
      </c>
      <c r="D29" s="1" t="s">
        <v>650</v>
      </c>
      <c r="E29" s="14">
        <v>-3303.09</v>
      </c>
      <c r="F29" s="5" t="s">
        <v>422</v>
      </c>
      <c r="G29" s="2">
        <v>46210</v>
      </c>
      <c r="H29" s="9">
        <v>1170</v>
      </c>
      <c r="I29" s="4"/>
      <c r="J29" s="4" t="s">
        <v>2671</v>
      </c>
      <c r="K29" s="7" t="s">
        <v>2676</v>
      </c>
      <c r="L29" s="1" t="s">
        <v>650</v>
      </c>
      <c r="M29" s="9" t="s">
        <v>490</v>
      </c>
      <c r="N29" s="4" t="str">
        <f>VLOOKUP(H29,Clientes!B:D,3,)</f>
        <v>BGC LIQUIDEZ DTVM LTDA</v>
      </c>
    </row>
    <row r="30" spans="1:14" x14ac:dyDescent="0.25">
      <c r="A30" s="4" t="str">
        <f t="shared" si="0"/>
        <v>DESPESA DE REPRESENTAÇÃO - HOTEL EM PARIS - CEO - ERMINIO OLIVI LUCCI (AGENDA 42904)</v>
      </c>
      <c r="B30" s="11">
        <v>46204</v>
      </c>
      <c r="C30" s="4">
        <v>817991</v>
      </c>
      <c r="D30" s="1" t="s">
        <v>650</v>
      </c>
      <c r="E30" s="14">
        <v>-34168.129999999997</v>
      </c>
      <c r="F30" s="5" t="s">
        <v>422</v>
      </c>
      <c r="G30" s="2">
        <v>46210</v>
      </c>
      <c r="H30" s="9">
        <v>1170</v>
      </c>
      <c r="I30" s="4"/>
      <c r="J30" s="4" t="s">
        <v>2672</v>
      </c>
      <c r="K30" s="7" t="s">
        <v>2676</v>
      </c>
      <c r="L30" s="1" t="s">
        <v>650</v>
      </c>
      <c r="M30" s="9" t="s">
        <v>490</v>
      </c>
      <c r="N30" s="4" t="str">
        <f>VLOOKUP(H30,Clientes!B:D,3,)</f>
        <v>BGC LIQUIDEZ DTVM LTDA</v>
      </c>
    </row>
    <row r="31" spans="1:14" x14ac:dyDescent="0.25">
      <c r="A31" s="4" t="str">
        <f t="shared" si="0"/>
        <v>DESPESA DE REPRESENTAÇÃO - TÁXI EM PARIS - CEO - ERMINIO OLIVI LUCCI (AGENDA 42904)</v>
      </c>
      <c r="B31" s="11">
        <v>46204</v>
      </c>
      <c r="C31" s="4">
        <v>817991</v>
      </c>
      <c r="D31" s="1" t="s">
        <v>650</v>
      </c>
      <c r="E31" s="14">
        <v>-305.02999999999997</v>
      </c>
      <c r="F31" s="5" t="s">
        <v>388</v>
      </c>
      <c r="G31" s="2">
        <v>46210</v>
      </c>
      <c r="H31" s="9">
        <v>1170</v>
      </c>
      <c r="I31" s="4"/>
      <c r="J31" s="4" t="s">
        <v>2673</v>
      </c>
      <c r="K31" s="7" t="s">
        <v>2676</v>
      </c>
      <c r="L31" s="1" t="s">
        <v>650</v>
      </c>
      <c r="M31" s="9" t="s">
        <v>490</v>
      </c>
      <c r="N31" s="4" t="str">
        <f>VLOOKUP(H31,Clientes!B:D,3,)</f>
        <v>BGC LIQUIDEZ DTVM LTDA</v>
      </c>
    </row>
    <row r="32" spans="1:14" x14ac:dyDescent="0.25">
      <c r="A32" s="4" t="str">
        <f t="shared" si="0"/>
        <v>DESPESA DE REPRESENTAÇÃO - TAXI AEROPORTO PARA RESIDENCIA  - CEO - ERMINIO OLIVI LUCCI (AGENDA 42904)</v>
      </c>
      <c r="B32" s="11">
        <v>46204</v>
      </c>
      <c r="C32" s="4">
        <v>817991</v>
      </c>
      <c r="D32" s="1" t="s">
        <v>650</v>
      </c>
      <c r="E32" s="14">
        <v>-350</v>
      </c>
      <c r="F32" s="5" t="s">
        <v>388</v>
      </c>
      <c r="G32" s="2">
        <v>46210</v>
      </c>
      <c r="H32" s="9">
        <v>1170</v>
      </c>
      <c r="I32" s="4"/>
      <c r="J32" s="4" t="s">
        <v>2674</v>
      </c>
      <c r="K32" s="7" t="s">
        <v>2676</v>
      </c>
      <c r="L32" s="1" t="s">
        <v>650</v>
      </c>
      <c r="M32" s="9" t="s">
        <v>490</v>
      </c>
      <c r="N32" s="4" t="str">
        <f>VLOOKUP(H32,Clientes!B:D,3,)</f>
        <v>BGC LIQUIDEZ DTVM LTDA</v>
      </c>
    </row>
    <row r="33" spans="1:14" x14ac:dyDescent="0.25">
      <c r="A33" s="4" t="str">
        <f t="shared" si="0"/>
        <v>DESPESA DE REPRESENTAÇÃO - SNACKS BGCL - CEO - ERMINIO OLIVI LUCCI (AGENDA 42904)</v>
      </c>
      <c r="B33" s="11">
        <v>46204</v>
      </c>
      <c r="C33" s="4">
        <v>817991</v>
      </c>
      <c r="D33" s="1" t="s">
        <v>650</v>
      </c>
      <c r="E33" s="14">
        <v>-200</v>
      </c>
      <c r="F33" s="5" t="s">
        <v>389</v>
      </c>
      <c r="G33" s="2">
        <v>46210</v>
      </c>
      <c r="H33" s="9">
        <v>1170</v>
      </c>
      <c r="I33" s="4"/>
      <c r="J33" s="4" t="s">
        <v>1423</v>
      </c>
      <c r="K33" s="7" t="s">
        <v>2676</v>
      </c>
      <c r="L33" s="1" t="s">
        <v>650</v>
      </c>
      <c r="M33" s="9" t="s">
        <v>490</v>
      </c>
      <c r="N33" s="4" t="str">
        <f>VLOOKUP(H33,Clientes!B:D,3,)</f>
        <v>BGC LIQUIDEZ DTVM LTDA</v>
      </c>
    </row>
    <row r="34" spans="1:14" x14ac:dyDescent="0.25">
      <c r="A34" s="4" t="str">
        <f t="shared" si="0"/>
        <v>DESPESA DE REPRESENTAÇÃO - TRANSPORTE EXECUTIVO MENSAL DE JUNHO - CEO - ERMINIO OLIVI LUCCI (AGENDA 42904)</v>
      </c>
      <c r="B34" s="11">
        <v>46204</v>
      </c>
      <c r="C34" s="4">
        <v>817991</v>
      </c>
      <c r="D34" s="1" t="s">
        <v>650</v>
      </c>
      <c r="E34" s="14">
        <v>-4280</v>
      </c>
      <c r="F34" s="5" t="s">
        <v>388</v>
      </c>
      <c r="G34" s="2">
        <v>46210</v>
      </c>
      <c r="H34" s="9">
        <v>1170</v>
      </c>
      <c r="I34" s="4"/>
      <c r="J34" s="4" t="s">
        <v>2675</v>
      </c>
      <c r="K34" s="7" t="s">
        <v>2676</v>
      </c>
      <c r="L34" s="1" t="s">
        <v>650</v>
      </c>
      <c r="M34" s="9" t="s">
        <v>490</v>
      </c>
      <c r="N34" s="4" t="str">
        <f>VLOOKUP(H34,Clientes!B:D,3,)</f>
        <v>BGC LIQUIDEZ DTVM LTDA</v>
      </c>
    </row>
    <row r="35" spans="1:14" x14ac:dyDescent="0.25">
      <c r="A35" s="4" t="str">
        <f t="shared" si="0"/>
        <v>DESPESA DE REPRESENTAÇÃO - ALMOÇO COM A FUTURA E CLIENTES NO RJ - SALES - JOSE ANTONIO DEZENE JUNIOR (AGENDA 42864)</v>
      </c>
      <c r="B35" s="11">
        <v>46204</v>
      </c>
      <c r="C35" s="4">
        <v>817991</v>
      </c>
      <c r="D35" s="1" t="s">
        <v>428</v>
      </c>
      <c r="E35" s="14">
        <v>-5614.24</v>
      </c>
      <c r="F35" s="5" t="s">
        <v>447</v>
      </c>
      <c r="G35" s="2">
        <v>46211</v>
      </c>
      <c r="H35" s="9">
        <v>1170</v>
      </c>
      <c r="I35" s="4"/>
      <c r="J35" s="4" t="s">
        <v>2722</v>
      </c>
      <c r="K35" s="7" t="s">
        <v>2723</v>
      </c>
      <c r="L35" s="1" t="s">
        <v>428</v>
      </c>
      <c r="M35" s="9" t="s">
        <v>468</v>
      </c>
      <c r="N35" s="4" t="str">
        <f>VLOOKUP(H35,Clientes!B:D,3,)</f>
        <v>BGC LIQUIDEZ DTVM LTDA</v>
      </c>
    </row>
    <row r="36" spans="1:14" x14ac:dyDescent="0.25">
      <c r="A36" s="4" t="str">
        <f t="shared" si="0"/>
        <v>DESPESA DE REPRESENTAÇÃO - 2/2 - ALMOÇO COM CLIENTES NO LOUP EM 23/06 - SALES - JOSE ANTONIO DEZENE JUNIOR (AGENDA 42865)</v>
      </c>
      <c r="B36" s="11">
        <v>46204</v>
      </c>
      <c r="C36" s="4">
        <v>817991</v>
      </c>
      <c r="D36" s="1" t="s">
        <v>428</v>
      </c>
      <c r="E36" s="14">
        <v>-3152.7</v>
      </c>
      <c r="F36" s="5" t="s">
        <v>447</v>
      </c>
      <c r="G36" s="2">
        <v>46211</v>
      </c>
      <c r="H36" s="9">
        <v>1170</v>
      </c>
      <c r="I36" s="4"/>
      <c r="J36" s="4" t="s">
        <v>2589</v>
      </c>
      <c r="K36" s="7" t="s">
        <v>2590</v>
      </c>
      <c r="L36" s="1" t="s">
        <v>428</v>
      </c>
      <c r="M36" s="9" t="s">
        <v>468</v>
      </c>
      <c r="N36" s="4" t="str">
        <f>VLOOKUP(H36,Clientes!B:D,3,)</f>
        <v>BGC LIQUIDEZ DTVM LTDA</v>
      </c>
    </row>
    <row r="37" spans="1:14" x14ac:dyDescent="0.25">
      <c r="A37" s="4" t="str">
        <f t="shared" si="0"/>
        <v>DESPESA DE REPRESENTAÇÃO - TAXI PARA REUNIÃO - SALES - JOSE ANTONIO DEZENE JUNIOR (154518-3998JD)</v>
      </c>
      <c r="B37" s="11">
        <v>46204</v>
      </c>
      <c r="C37" s="4">
        <v>817991</v>
      </c>
      <c r="D37" s="1" t="s">
        <v>428</v>
      </c>
      <c r="E37" s="14">
        <v>-40</v>
      </c>
      <c r="F37" s="5" t="s">
        <v>388</v>
      </c>
      <c r="G37" s="2">
        <v>46211</v>
      </c>
      <c r="H37" s="9">
        <v>14479</v>
      </c>
      <c r="I37" s="4"/>
      <c r="J37" s="4" t="s">
        <v>2600</v>
      </c>
      <c r="K37" s="7" t="s">
        <v>2599</v>
      </c>
      <c r="L37" s="1" t="s">
        <v>428</v>
      </c>
      <c r="M37" s="9" t="s">
        <v>468</v>
      </c>
      <c r="N37" s="4" t="str">
        <f>VLOOKUP(H37,Clientes!B:D,3,)</f>
        <v>BANCO SANTANDER (BRASIL) S/A</v>
      </c>
    </row>
    <row r="38" spans="1:14" x14ac:dyDescent="0.25">
      <c r="A38" s="4" t="str">
        <f t="shared" si="0"/>
        <v>DESPESA DE REPRESENTAÇÃO - ALMOÇO - CONSULTOR  - LUCIANO DIAS (154901-3998JD)</v>
      </c>
      <c r="B38" s="11">
        <v>46204</v>
      </c>
      <c r="C38" s="4">
        <v>817991</v>
      </c>
      <c r="D38" s="1" t="s">
        <v>428</v>
      </c>
      <c r="E38" s="14">
        <v>-1059.94</v>
      </c>
      <c r="F38" s="5" t="s">
        <v>447</v>
      </c>
      <c r="G38" s="2">
        <v>46211</v>
      </c>
      <c r="H38" s="9">
        <v>14416</v>
      </c>
      <c r="I38" s="4"/>
      <c r="J38" s="4" t="s">
        <v>447</v>
      </c>
      <c r="K38" s="7" t="s">
        <v>2601</v>
      </c>
      <c r="L38" s="1" t="s">
        <v>2652</v>
      </c>
      <c r="M38" s="9" t="s">
        <v>2653</v>
      </c>
      <c r="N38" s="4" t="str">
        <f>VLOOKUP(H38,Clientes!B:D,3,)</f>
        <v>BANCO JP MORGAN S/A</v>
      </c>
    </row>
    <row r="39" spans="1:14" x14ac:dyDescent="0.25">
      <c r="A39" s="4" t="str">
        <f t="shared" si="0"/>
        <v>DESPESA DE REPRESENTAÇÃO - ALMOÇO - SALES - JOSE ANTONIO DEZENE JUNIOR (155431-3998JD)</v>
      </c>
      <c r="B39" s="11">
        <v>46204</v>
      </c>
      <c r="C39" s="4">
        <v>817991</v>
      </c>
      <c r="D39" s="1" t="s">
        <v>428</v>
      </c>
      <c r="E39" s="14">
        <v>-1396.68</v>
      </c>
      <c r="F39" s="5" t="s">
        <v>447</v>
      </c>
      <c r="G39" s="2">
        <v>46211</v>
      </c>
      <c r="H39" s="9">
        <v>82963</v>
      </c>
      <c r="I39" s="4"/>
      <c r="J39" s="4" t="s">
        <v>447</v>
      </c>
      <c r="K39" s="7" t="s">
        <v>2654</v>
      </c>
      <c r="L39" s="1" t="s">
        <v>428</v>
      </c>
      <c r="M39" s="9" t="s">
        <v>468</v>
      </c>
      <c r="N39" s="4" t="str">
        <f>VLOOKUP(H39,Clientes!B:D,3,)</f>
        <v>BANCO DAYCOVAL S/A</v>
      </c>
    </row>
    <row r="40" spans="1:14" x14ac:dyDescent="0.25">
      <c r="A40" s="4" t="str">
        <f t="shared" si="0"/>
        <v>DESPESA DE REPRESENTAÇÃO - ESTACIONAMENTO INTERNACIONAL PLAZA REUNIÃO BRAM - POLÍTICO - FERNANDO MONTEIRO (155240-3998JD)</v>
      </c>
      <c r="B40" s="11">
        <v>46204</v>
      </c>
      <c r="C40" s="4">
        <v>817991</v>
      </c>
      <c r="D40" s="1" t="s">
        <v>428</v>
      </c>
      <c r="E40" s="14">
        <v>-35</v>
      </c>
      <c r="F40" s="5" t="s">
        <v>388</v>
      </c>
      <c r="G40" s="2">
        <v>46211</v>
      </c>
      <c r="H40" s="9">
        <v>82467</v>
      </c>
      <c r="I40" s="4"/>
      <c r="J40" s="4" t="s">
        <v>2655</v>
      </c>
      <c r="K40" s="7" t="s">
        <v>2656</v>
      </c>
      <c r="L40" s="1" t="s">
        <v>582</v>
      </c>
      <c r="M40" s="9" t="s">
        <v>1774</v>
      </c>
      <c r="N40" s="4" t="str">
        <f>VLOOKUP(H40,Clientes!B:D,3,)</f>
        <v>BRAM - BRADESCO ASSET MANAGEMENT S/A DTVM</v>
      </c>
    </row>
    <row r="41" spans="1:14" x14ac:dyDescent="0.25">
      <c r="A41" s="4" t="str">
        <f t="shared" si="0"/>
        <v>DESPESA DE REPRESENTAÇÃO - TAXI PARA REUNIÃO COM SECRETÁRIO DE POLÍTICA ECONÔMICA DO MF - SALES - JOSE ANTONIO DEZENE JUNIOR (153903-3998JD)</v>
      </c>
      <c r="B41" s="11">
        <v>46204</v>
      </c>
      <c r="C41" s="4">
        <v>817991</v>
      </c>
      <c r="D41" s="1" t="s">
        <v>428</v>
      </c>
      <c r="E41" s="14">
        <v>-40</v>
      </c>
      <c r="F41" s="5" t="s">
        <v>388</v>
      </c>
      <c r="G41" s="2">
        <v>46211</v>
      </c>
      <c r="H41" s="9">
        <v>14479</v>
      </c>
      <c r="I41" s="4"/>
      <c r="J41" s="4" t="s">
        <v>2658</v>
      </c>
      <c r="K41" s="7" t="s">
        <v>2657</v>
      </c>
      <c r="L41" s="1" t="s">
        <v>428</v>
      </c>
      <c r="M41" s="9" t="s">
        <v>468</v>
      </c>
      <c r="N41" s="4" t="str">
        <f>VLOOKUP(H41,Clientes!B:D,3,)</f>
        <v>BANCO SANTANDER (BRASIL) S/A</v>
      </c>
    </row>
    <row r="42" spans="1:14" x14ac:dyDescent="0.25">
      <c r="A42" s="4" t="str">
        <f t="shared" si="0"/>
        <v>DESPESA DE REPRESENTAÇÃO - ALMOÇO - TRADER - DANIEL BARROS RODRIGUES COSTA (155806-3998JD)</v>
      </c>
      <c r="B42" s="11">
        <v>46204</v>
      </c>
      <c r="C42" s="4">
        <v>817991</v>
      </c>
      <c r="D42" s="1" t="s">
        <v>428</v>
      </c>
      <c r="E42" s="14">
        <v>-935.64</v>
      </c>
      <c r="F42" s="5" t="s">
        <v>447</v>
      </c>
      <c r="G42" s="2">
        <v>46211</v>
      </c>
      <c r="H42" s="9">
        <v>82010</v>
      </c>
      <c r="I42" s="4"/>
      <c r="J42" s="4" t="s">
        <v>447</v>
      </c>
      <c r="K42" s="7" t="s">
        <v>2659</v>
      </c>
      <c r="L42" s="1" t="s">
        <v>1577</v>
      </c>
      <c r="M42" s="9" t="s">
        <v>335</v>
      </c>
      <c r="N42" s="4" t="str">
        <f>VLOOKUP(H42,Clientes!B:D,3,)</f>
        <v>ITAU UNIBANCO ASSET - JANEIRO</v>
      </c>
    </row>
    <row r="43" spans="1:14" x14ac:dyDescent="0.25">
      <c r="A43" s="4" t="str">
        <f t="shared" si="0"/>
        <v>DESPESA DE REPRESENTAÇÃO - ALMOÇO - TRADER - DANIEL WEEKS  (155636-3998JD)</v>
      </c>
      <c r="B43" s="11">
        <v>46204</v>
      </c>
      <c r="C43" s="4">
        <v>817991</v>
      </c>
      <c r="D43" s="1" t="s">
        <v>428</v>
      </c>
      <c r="E43" s="14">
        <v>-1277.6500000000001</v>
      </c>
      <c r="F43" s="5" t="s">
        <v>447</v>
      </c>
      <c r="G43" s="2">
        <v>46211</v>
      </c>
      <c r="H43" s="9">
        <v>82639</v>
      </c>
      <c r="I43" s="4"/>
      <c r="J43" s="4" t="s">
        <v>447</v>
      </c>
      <c r="K43" s="7" t="s">
        <v>2660</v>
      </c>
      <c r="L43" s="1" t="s">
        <v>2661</v>
      </c>
      <c r="M43" s="9" t="s">
        <v>335</v>
      </c>
      <c r="N43" s="4" t="str">
        <f>VLOOKUP(H43,Clientes!B:D,3,)</f>
        <v>SAFRA ASSET CORRETORA DE TITULOS E VALORES MOBILIARIOS S.A.</v>
      </c>
    </row>
    <row r="44" spans="1:14" x14ac:dyDescent="0.25">
      <c r="A44" s="4" t="str">
        <f t="shared" si="0"/>
        <v>DESPESA DE REPRESENTAÇÃO - ALMOÇO - SALES - JOSE ANTONIO DEZENE JUNIOR (154701-3998JD)</v>
      </c>
      <c r="B44" s="11">
        <v>46204</v>
      </c>
      <c r="C44" s="4">
        <v>817991</v>
      </c>
      <c r="D44" s="1" t="s">
        <v>428</v>
      </c>
      <c r="E44" s="14">
        <v>-948.18</v>
      </c>
      <c r="F44" s="5" t="s">
        <v>447</v>
      </c>
      <c r="G44" s="2">
        <v>46211</v>
      </c>
      <c r="H44" s="9">
        <v>14416</v>
      </c>
      <c r="I44" s="4"/>
      <c r="J44" s="4" t="s">
        <v>447</v>
      </c>
      <c r="K44" s="7" t="s">
        <v>2662</v>
      </c>
      <c r="L44" s="1" t="s">
        <v>428</v>
      </c>
      <c r="M44" s="9" t="s">
        <v>468</v>
      </c>
      <c r="N44" s="4" t="str">
        <f>VLOOKUP(H44,Clientes!B:D,3,)</f>
        <v>BANCO JP MORGAN S/A</v>
      </c>
    </row>
    <row r="45" spans="1:14" x14ac:dyDescent="0.25">
      <c r="A45" s="4" t="str">
        <f t="shared" si="0"/>
        <v>DESPESA DE REPRESENTAÇÃO - ALMOÇO - TRADER - BRUNO SAVARIS (150610-3998RP)</v>
      </c>
      <c r="B45" s="11">
        <v>46204</v>
      </c>
      <c r="C45" s="4">
        <v>817991</v>
      </c>
      <c r="D45" s="1" t="s">
        <v>482</v>
      </c>
      <c r="E45" s="14">
        <v>-1670</v>
      </c>
      <c r="F45" s="5" t="s">
        <v>447</v>
      </c>
      <c r="G45" s="2">
        <v>46211</v>
      </c>
      <c r="H45" s="9">
        <v>83063</v>
      </c>
      <c r="I45" s="4"/>
      <c r="J45" s="4" t="s">
        <v>447</v>
      </c>
      <c r="K45" s="7" t="s">
        <v>2663</v>
      </c>
      <c r="L45" s="1" t="s">
        <v>522</v>
      </c>
      <c r="M45" s="9" t="s">
        <v>335</v>
      </c>
      <c r="N45" s="4" t="str">
        <f>VLOOKUP(H45,Clientes!B:D,3,)</f>
        <v>SCHONFELD STRATEGIC ADVISORS BRAZIL LTDA.</v>
      </c>
    </row>
    <row r="46" spans="1:14" x14ac:dyDescent="0.25">
      <c r="A46" s="4" t="str">
        <f t="shared" si="0"/>
        <v>DESPESA DE REPRESENTAÇÃO - ALMOÇO - GESTOR - MARCOS RETCHMAN (145933-3998CM)</v>
      </c>
      <c r="B46" s="11">
        <v>46204</v>
      </c>
      <c r="C46" s="4">
        <v>817991</v>
      </c>
      <c r="D46" s="1" t="s">
        <v>621</v>
      </c>
      <c r="E46" s="14">
        <v>-2271.92</v>
      </c>
      <c r="F46" s="5" t="s">
        <v>447</v>
      </c>
      <c r="G46" s="2">
        <v>46211</v>
      </c>
      <c r="H46" s="9">
        <v>79372</v>
      </c>
      <c r="I46" s="4"/>
      <c r="J46" s="4" t="s">
        <v>447</v>
      </c>
      <c r="K46" s="7" t="s">
        <v>2664</v>
      </c>
      <c r="L46" s="1" t="s">
        <v>2724</v>
      </c>
      <c r="M46" s="9" t="s">
        <v>598</v>
      </c>
      <c r="N46" s="4" t="str">
        <f>VLOOKUP(H46,Clientes!B:D,3,)</f>
        <v>ICATU VANGUARDA GESTAO DE RECURSOS LTDA</v>
      </c>
    </row>
    <row r="47" spans="1:14" x14ac:dyDescent="0.25">
      <c r="A47" s="4" t="str">
        <f t="shared" si="0"/>
        <v>DESPESA DE REPRESENTAÇÃO - ALMOÇO - TRADER - RUY BALIEIRO (095819-3998MC)</v>
      </c>
      <c r="B47" s="11">
        <v>46204</v>
      </c>
      <c r="C47" s="4">
        <v>817991</v>
      </c>
      <c r="D47" s="1" t="s">
        <v>428</v>
      </c>
      <c r="E47" s="14">
        <v>-923.21</v>
      </c>
      <c r="F47" s="5" t="s">
        <v>447</v>
      </c>
      <c r="G47" s="2">
        <v>46211</v>
      </c>
      <c r="H47" s="9">
        <v>144310</v>
      </c>
      <c r="I47" s="4"/>
      <c r="J47" s="4" t="s">
        <v>447</v>
      </c>
      <c r="K47" s="7" t="s">
        <v>2665</v>
      </c>
      <c r="L47" s="1" t="s">
        <v>1830</v>
      </c>
      <c r="M47" s="9" t="s">
        <v>335</v>
      </c>
      <c r="N47" s="4" t="str">
        <f>VLOOKUP(H47,Clientes!B:D,3,)</f>
        <v>BW GESTAO DE INVESTIMENTOS LTDA</v>
      </c>
    </row>
    <row r="48" spans="1:14" x14ac:dyDescent="0.25">
      <c r="A48" s="4" t="str">
        <f t="shared" si="0"/>
        <v>DESPESA DE REPRESENTAÇÃO - TAXI PARA REUNIÃO - SALES - MARCELLE DA SILVEIRA GIL CADILHE (094754-3998MC)</v>
      </c>
      <c r="B48" s="11">
        <v>46204</v>
      </c>
      <c r="C48" s="4">
        <v>817991</v>
      </c>
      <c r="D48" s="1" t="s">
        <v>428</v>
      </c>
      <c r="E48" s="14">
        <v>-95.2</v>
      </c>
      <c r="F48" s="5" t="s">
        <v>388</v>
      </c>
      <c r="G48" s="2">
        <v>46211</v>
      </c>
      <c r="H48" s="9">
        <v>82639</v>
      </c>
      <c r="I48" s="4"/>
      <c r="J48" s="4" t="s">
        <v>2600</v>
      </c>
      <c r="K48" s="7" t="s">
        <v>2666</v>
      </c>
      <c r="L48" s="1" t="s">
        <v>658</v>
      </c>
      <c r="M48" s="9" t="s">
        <v>468</v>
      </c>
      <c r="N48" s="4" t="str">
        <f>VLOOKUP(H48,Clientes!B:D,3,)</f>
        <v>SAFRA ASSET CORRETORA DE TITULOS E VALORES MOBILIARIOS S.A.</v>
      </c>
    </row>
    <row r="49" spans="1:14" x14ac:dyDescent="0.25">
      <c r="A49" s="4" t="str">
        <f t="shared" si="0"/>
        <v>DESPESA DE REPRESENTAÇÃO - TAXI PARA REUNIÃO NO RIO DE JANEIRO - SALES - MARCELLE DA SILVEIRA GIL CADILHE (094948-3998MC)</v>
      </c>
      <c r="B49" s="11">
        <v>46204</v>
      </c>
      <c r="C49" s="4">
        <v>817991</v>
      </c>
      <c r="D49" s="1" t="s">
        <v>428</v>
      </c>
      <c r="E49" s="14">
        <v>-90</v>
      </c>
      <c r="F49" s="5" t="s">
        <v>388</v>
      </c>
      <c r="G49" s="2">
        <v>46211</v>
      </c>
      <c r="H49" s="9">
        <v>12402</v>
      </c>
      <c r="I49" s="4"/>
      <c r="J49" s="4" t="s">
        <v>2667</v>
      </c>
      <c r="K49" s="7" t="s">
        <v>2668</v>
      </c>
      <c r="L49" s="1" t="s">
        <v>658</v>
      </c>
      <c r="M49" s="9" t="s">
        <v>468</v>
      </c>
      <c r="N49" s="4" t="str">
        <f>VLOOKUP(H49,Clientes!B:D,3,)</f>
        <v>TRUXT INVESTIMENTOS LTDA</v>
      </c>
    </row>
    <row r="50" spans="1:14" x14ac:dyDescent="0.25">
      <c r="A50" s="4" t="str">
        <f t="shared" si="0"/>
        <v>DESPESA DE REPRESENTAÇÃO - ALMOÇO - TRADER - BRUNO CESAR MIRANDA CARDOSO (112454-3998FP)</v>
      </c>
      <c r="B50" s="11">
        <v>46204</v>
      </c>
      <c r="C50" s="4">
        <v>817991</v>
      </c>
      <c r="D50" s="1" t="s">
        <v>503</v>
      </c>
      <c r="E50" s="14">
        <v>-1750.03</v>
      </c>
      <c r="F50" s="5" t="s">
        <v>447</v>
      </c>
      <c r="G50" s="2">
        <v>46211</v>
      </c>
      <c r="H50" s="9">
        <v>14416</v>
      </c>
      <c r="I50" s="4"/>
      <c r="J50" s="4" t="s">
        <v>447</v>
      </c>
      <c r="K50" s="7" t="s">
        <v>2669</v>
      </c>
      <c r="L50" s="1" t="s">
        <v>505</v>
      </c>
      <c r="M50" s="9" t="s">
        <v>335</v>
      </c>
      <c r="N50" s="4" t="str">
        <f>VLOOKUP(H50,Clientes!B:D,3,)</f>
        <v>BANCO JP MORGAN S/A</v>
      </c>
    </row>
    <row r="51" spans="1:14" x14ac:dyDescent="0.25">
      <c r="A51" s="4" t="str">
        <f t="shared" si="0"/>
        <v>DESPESA DE REPRESENTAÇÃO - ALMOÇO - TRADER - FELIPE TANAKA  (111328-3998AL)</v>
      </c>
      <c r="B51" s="11">
        <v>46204</v>
      </c>
      <c r="C51" s="4">
        <v>817991</v>
      </c>
      <c r="D51" s="1" t="s">
        <v>39</v>
      </c>
      <c r="E51" s="14">
        <v>-2780.93</v>
      </c>
      <c r="F51" s="5" t="s">
        <v>447</v>
      </c>
      <c r="G51" s="2">
        <v>46211</v>
      </c>
      <c r="H51" s="9">
        <v>14416</v>
      </c>
      <c r="I51" s="4"/>
      <c r="J51" s="4" t="s">
        <v>447</v>
      </c>
      <c r="K51" s="7" t="s">
        <v>2677</v>
      </c>
      <c r="L51" s="1" t="s">
        <v>2678</v>
      </c>
      <c r="M51" s="9" t="s">
        <v>335</v>
      </c>
      <c r="N51" s="4" t="str">
        <f>VLOOKUP(H51,Clientes!B:D,3,)</f>
        <v>BANCO JP MORGAN S/A</v>
      </c>
    </row>
    <row r="52" spans="1:14" x14ac:dyDescent="0.25">
      <c r="A52" s="4" t="str">
        <f t="shared" si="0"/>
        <v>DESPESA DE REPRESENTAÇÃO - ALMOÇO - TRADER - VINICIUS LOUCENCO DE OLIVEIRA (143717-3998FC)</v>
      </c>
      <c r="B52" s="11">
        <v>46204</v>
      </c>
      <c r="C52" s="4">
        <v>817991</v>
      </c>
      <c r="D52" s="1" t="s">
        <v>480</v>
      </c>
      <c r="E52" s="14">
        <v>-1174.18</v>
      </c>
      <c r="F52" s="5" t="s">
        <v>447</v>
      </c>
      <c r="G52" s="2">
        <v>46211</v>
      </c>
      <c r="H52" s="9">
        <v>79584</v>
      </c>
      <c r="I52" s="4"/>
      <c r="J52" s="4" t="s">
        <v>447</v>
      </c>
      <c r="K52" s="7" t="s">
        <v>2679</v>
      </c>
      <c r="L52" s="1" t="s">
        <v>1946</v>
      </c>
      <c r="M52" s="9" t="s">
        <v>335</v>
      </c>
      <c r="N52" s="4" t="str">
        <f>VLOOKUP(H52,Clientes!B:D,3,)</f>
        <v>RAIZEN ENERGIA S.A.</v>
      </c>
    </row>
    <row r="53" spans="1:14" x14ac:dyDescent="0.25">
      <c r="A53" s="4" t="str">
        <f t="shared" si="0"/>
        <v>DESPESA DE REPRESENTAÇÃO - ALMOÇO - TRADER - ANTONIO ANDRADE  (142142-3998AS)</v>
      </c>
      <c r="B53" s="11">
        <v>46204</v>
      </c>
      <c r="C53" s="4">
        <v>817991</v>
      </c>
      <c r="D53" s="1" t="s">
        <v>449</v>
      </c>
      <c r="E53" s="14">
        <v>-776</v>
      </c>
      <c r="F53" s="5" t="s">
        <v>447</v>
      </c>
      <c r="G53" s="2">
        <v>46211</v>
      </c>
      <c r="H53" s="9">
        <v>15501</v>
      </c>
      <c r="I53" s="4"/>
      <c r="J53" s="4" t="s">
        <v>447</v>
      </c>
      <c r="K53" s="7" t="s">
        <v>2680</v>
      </c>
      <c r="L53" s="1" t="s">
        <v>2681</v>
      </c>
      <c r="M53" s="9" t="s">
        <v>335</v>
      </c>
      <c r="N53" s="4" t="str">
        <f>VLOOKUP(H53,Clientes!B:D,3,)</f>
        <v>BANCO BTG PACTUAL S/A</v>
      </c>
    </row>
    <row r="54" spans="1:14" x14ac:dyDescent="0.25">
      <c r="A54" s="4" t="str">
        <f t="shared" si="0"/>
        <v>DESPESA DE REPRESENTAÇÃO - ALMOÇO - TRADER - PAULO DIEGO CETIN (075156-3998EC)</v>
      </c>
      <c r="B54" s="11">
        <v>46204</v>
      </c>
      <c r="C54" s="4">
        <v>817991</v>
      </c>
      <c r="D54" s="1" t="s">
        <v>378</v>
      </c>
      <c r="E54" s="14">
        <v>-1360.52</v>
      </c>
      <c r="F54" s="5" t="s">
        <v>447</v>
      </c>
      <c r="G54" s="2">
        <v>46211</v>
      </c>
      <c r="H54" s="9">
        <v>95007</v>
      </c>
      <c r="I54" s="4"/>
      <c r="J54" s="4" t="s">
        <v>447</v>
      </c>
      <c r="K54" s="7" t="s">
        <v>2927</v>
      </c>
      <c r="L54" s="1" t="s">
        <v>1998</v>
      </c>
      <c r="M54" s="9" t="s">
        <v>335</v>
      </c>
      <c r="N54" s="4" t="str">
        <f>VLOOKUP(H54,Clientes!B:D,3,)</f>
        <v>BANCO BNP PARIBAS BRASIL S/A</v>
      </c>
    </row>
    <row r="55" spans="1:14" x14ac:dyDescent="0.25">
      <c r="A55" s="4" t="str">
        <f t="shared" si="0"/>
        <v>DESPESA DE REPRESENTAÇÃO - HAPPY HOUR - TRADER - MARCELO SCHOLZ ISSA (093105-3998AA)</v>
      </c>
      <c r="B55" s="11">
        <v>46204</v>
      </c>
      <c r="C55" s="4">
        <v>817991</v>
      </c>
      <c r="D55" s="1" t="s">
        <v>379</v>
      </c>
      <c r="E55" s="14">
        <v>-684.66666666666663</v>
      </c>
      <c r="F55" s="5" t="s">
        <v>387</v>
      </c>
      <c r="G55" s="2">
        <v>46211</v>
      </c>
      <c r="H55" s="9">
        <v>81259</v>
      </c>
      <c r="I55" s="4"/>
      <c r="J55" s="4" t="s">
        <v>485</v>
      </c>
      <c r="K55" s="7" t="s">
        <v>2682</v>
      </c>
      <c r="L55" s="1" t="s">
        <v>681</v>
      </c>
      <c r="M55" s="9" t="s">
        <v>335</v>
      </c>
      <c r="N55" s="4" t="str">
        <f>VLOOKUP(H55,Clientes!B:D,3,)</f>
        <v>GOLDMAN SACHS DO BRASIL BANCO MULTIPLO S/A</v>
      </c>
    </row>
    <row r="56" spans="1:14" x14ac:dyDescent="0.25">
      <c r="A56" s="4" t="str">
        <f t="shared" si="0"/>
        <v>DESPESA DE REPRESENTAÇÃO - HAPPY HOUR - TRADER - MARCELO SCHOLZ ISSA (093105-3998AA)</v>
      </c>
      <c r="B56" s="11">
        <v>46204</v>
      </c>
      <c r="C56" s="4">
        <v>817991</v>
      </c>
      <c r="D56" s="1" t="s">
        <v>516</v>
      </c>
      <c r="E56" s="14">
        <v>-684.66666666666663</v>
      </c>
      <c r="F56" s="5" t="s">
        <v>387</v>
      </c>
      <c r="G56" s="2">
        <v>46211</v>
      </c>
      <c r="H56" s="9">
        <v>81259</v>
      </c>
      <c r="I56" s="4"/>
      <c r="J56" s="4" t="s">
        <v>485</v>
      </c>
      <c r="K56" s="7" t="s">
        <v>2682</v>
      </c>
      <c r="L56" s="1" t="s">
        <v>681</v>
      </c>
      <c r="M56" s="9" t="s">
        <v>335</v>
      </c>
      <c r="N56" s="4" t="str">
        <f>VLOOKUP(H56,Clientes!B:D,3,)</f>
        <v>GOLDMAN SACHS DO BRASIL BANCO MULTIPLO S/A</v>
      </c>
    </row>
    <row r="57" spans="1:14" x14ac:dyDescent="0.25">
      <c r="A57" s="4" t="str">
        <f t="shared" si="0"/>
        <v>DESPESA DE REPRESENTAÇÃO - HAPPY HOUR - TRADER - MARCELO SCHOLZ ISSA (093105-3998AA)</v>
      </c>
      <c r="B57" s="11">
        <v>46204</v>
      </c>
      <c r="C57" s="4">
        <v>817991</v>
      </c>
      <c r="D57" s="1" t="s">
        <v>132</v>
      </c>
      <c r="E57" s="14">
        <v>-684.66666666666663</v>
      </c>
      <c r="F57" s="5" t="s">
        <v>387</v>
      </c>
      <c r="G57" s="2">
        <v>46211</v>
      </c>
      <c r="H57" s="9">
        <v>81259</v>
      </c>
      <c r="I57" s="4"/>
      <c r="J57" s="4" t="s">
        <v>485</v>
      </c>
      <c r="K57" s="7" t="s">
        <v>2682</v>
      </c>
      <c r="L57" s="1" t="s">
        <v>681</v>
      </c>
      <c r="M57" s="9" t="s">
        <v>335</v>
      </c>
      <c r="N57" s="4" t="str">
        <f>VLOOKUP(H57,Clientes!B:D,3,)</f>
        <v>GOLDMAN SACHS DO BRASIL BANCO MULTIPLO S/A</v>
      </c>
    </row>
    <row r="58" spans="1:14" x14ac:dyDescent="0.25">
      <c r="A58" s="4" t="str">
        <f t="shared" si="0"/>
        <v>DESPESA DE REPRESENTAÇÃO - ALMOÇO - TRADER - JOAO VITOR CAIRES (141743-3998AC)</v>
      </c>
      <c r="B58" s="11">
        <v>46204</v>
      </c>
      <c r="C58" s="4">
        <v>817991</v>
      </c>
      <c r="D58" s="1" t="s">
        <v>624</v>
      </c>
      <c r="E58" s="14">
        <v>-1181</v>
      </c>
      <c r="F58" s="5" t="s">
        <v>447</v>
      </c>
      <c r="G58" s="2">
        <v>46211</v>
      </c>
      <c r="H58" s="9">
        <v>16705</v>
      </c>
      <c r="I58" s="4"/>
      <c r="J58" s="4" t="s">
        <v>447</v>
      </c>
      <c r="K58" s="7" t="s">
        <v>2683</v>
      </c>
      <c r="L58" s="1" t="s">
        <v>2684</v>
      </c>
      <c r="M58" s="9" t="s">
        <v>335</v>
      </c>
      <c r="N58" s="4" t="str">
        <f>VLOOKUP(H58,Clientes!B:D,3,)</f>
        <v>BANCO BRADESCO S/A</v>
      </c>
    </row>
    <row r="59" spans="1:14" x14ac:dyDescent="0.25">
      <c r="A59" s="4" t="str">
        <f t="shared" si="0"/>
        <v>DESPESA DE REPRESENTAÇÃO - HAPPY HOUR - TRADER - GUSTAVO BASCHIETO (125522-3998FB)</v>
      </c>
      <c r="B59" s="11">
        <v>46204</v>
      </c>
      <c r="C59" s="4">
        <v>817991</v>
      </c>
      <c r="D59" s="1" t="s">
        <v>624</v>
      </c>
      <c r="E59" s="14">
        <v>-2914</v>
      </c>
      <c r="F59" s="5" t="s">
        <v>387</v>
      </c>
      <c r="G59" s="2">
        <v>46211</v>
      </c>
      <c r="H59" s="9">
        <v>81259</v>
      </c>
      <c r="I59" s="4"/>
      <c r="J59" s="4" t="s">
        <v>485</v>
      </c>
      <c r="K59" s="7" t="s">
        <v>2685</v>
      </c>
      <c r="L59" s="1" t="s">
        <v>2686</v>
      </c>
      <c r="M59" s="9" t="s">
        <v>335</v>
      </c>
      <c r="N59" s="4" t="str">
        <f>VLOOKUP(H59,Clientes!B:D,3,)</f>
        <v>GOLDMAN SACHS DO BRASIL BANCO MULTIPLO S/A</v>
      </c>
    </row>
    <row r="60" spans="1:14" x14ac:dyDescent="0.25">
      <c r="A60" s="4" t="str">
        <f t="shared" si="0"/>
        <v>DESPESA DE REPRESENTAÇÃO - ALMOÇO - TRADER - DANIEL DE ARAUJO SANTAMARINHA (153333-3998JT)</v>
      </c>
      <c r="B60" s="11">
        <v>46204</v>
      </c>
      <c r="C60" s="4">
        <v>817991</v>
      </c>
      <c r="D60" s="1" t="s">
        <v>23</v>
      </c>
      <c r="E60" s="14">
        <v>-827</v>
      </c>
      <c r="F60" s="5" t="s">
        <v>447</v>
      </c>
      <c r="G60" s="2">
        <v>46211</v>
      </c>
      <c r="H60" s="9">
        <v>125262</v>
      </c>
      <c r="I60" s="4"/>
      <c r="J60" s="4" t="s">
        <v>447</v>
      </c>
      <c r="K60" s="7" t="s">
        <v>2688</v>
      </c>
      <c r="L60" s="1" t="s">
        <v>2439</v>
      </c>
      <c r="M60" s="9" t="s">
        <v>335</v>
      </c>
      <c r="N60" s="4" t="str">
        <f>VLOOKUP(H60,Clientes!B:D,3,)</f>
        <v>FUNDACAO PETROBRAS DE SEGURIDADE SOCIAL PETROS</v>
      </c>
    </row>
    <row r="61" spans="1:14" x14ac:dyDescent="0.25">
      <c r="A61" s="4" t="str">
        <f t="shared" si="0"/>
        <v>DESPESA DE REPRESENTAÇÃO - ALMOÇO - TRADER - MARCO BRIL (153519-3998JT)</v>
      </c>
      <c r="B61" s="11">
        <v>46204</v>
      </c>
      <c r="C61" s="4">
        <v>817991</v>
      </c>
      <c r="D61" s="1" t="s">
        <v>23</v>
      </c>
      <c r="E61" s="14">
        <v>-1462</v>
      </c>
      <c r="F61" s="5" t="s">
        <v>447</v>
      </c>
      <c r="G61" s="2">
        <v>46211</v>
      </c>
      <c r="H61" s="9">
        <v>12416</v>
      </c>
      <c r="I61" s="4"/>
      <c r="J61" s="4" t="s">
        <v>447</v>
      </c>
      <c r="K61" s="7" t="s">
        <v>2687</v>
      </c>
      <c r="L61" s="1" t="s">
        <v>2492</v>
      </c>
      <c r="M61" s="9" t="s">
        <v>335</v>
      </c>
      <c r="N61" s="4" t="str">
        <f>VLOOKUP(H61,Clientes!B:D,3,)</f>
        <v>MONGERAL AEGON INVESTIMENTOS LTDA</v>
      </c>
    </row>
    <row r="62" spans="1:14" x14ac:dyDescent="0.25">
      <c r="A62" s="4" t="str">
        <f t="shared" si="0"/>
        <v>DESPESA DE REPRESENTAÇÃO - PASSAGEM SÃO PAULO X RIO DE JANEIRO  - CEO - ERMINIO OLIVI LUCCI (AGENDA 42770)</v>
      </c>
      <c r="B62" s="11">
        <v>46204</v>
      </c>
      <c r="C62" s="4">
        <v>817991</v>
      </c>
      <c r="D62" s="1" t="s">
        <v>650</v>
      </c>
      <c r="E62" s="14">
        <v>-2645.07</v>
      </c>
      <c r="F62" s="5" t="s">
        <v>388</v>
      </c>
      <c r="G62" s="2">
        <v>46211</v>
      </c>
      <c r="H62" s="9">
        <v>1170</v>
      </c>
      <c r="I62" s="4"/>
      <c r="J62" s="4" t="s">
        <v>2689</v>
      </c>
      <c r="K62" s="7" t="s">
        <v>2692</v>
      </c>
      <c r="L62" s="1" t="s">
        <v>650</v>
      </c>
      <c r="M62" s="9" t="s">
        <v>490</v>
      </c>
      <c r="N62" s="4" t="str">
        <f>VLOOKUP(H62,Clientes!B:D,3,)</f>
        <v>BGC LIQUIDEZ DTVM LTDA</v>
      </c>
    </row>
    <row r="63" spans="1:14" x14ac:dyDescent="0.25">
      <c r="A63" s="4" t="str">
        <f t="shared" si="0"/>
        <v>DESPESA DE REPRESENTAÇÃO - HAPPY HOUR - TRADER - PEDRO HENRIQUE FERREIRA FUNDOS (153947-3998RU)</v>
      </c>
      <c r="B63" s="11">
        <v>46204</v>
      </c>
      <c r="C63" s="4">
        <v>817991</v>
      </c>
      <c r="D63" s="1" t="s">
        <v>652</v>
      </c>
      <c r="E63" s="14">
        <v>-1548.665</v>
      </c>
      <c r="F63" s="5" t="s">
        <v>387</v>
      </c>
      <c r="G63" s="2">
        <v>46213</v>
      </c>
      <c r="H63" s="9">
        <v>82963</v>
      </c>
      <c r="I63" s="4"/>
      <c r="J63" s="4" t="s">
        <v>485</v>
      </c>
      <c r="K63" s="7" t="s">
        <v>2693</v>
      </c>
      <c r="L63" s="1" t="s">
        <v>1089</v>
      </c>
      <c r="M63" s="9" t="s">
        <v>335</v>
      </c>
      <c r="N63" s="4" t="str">
        <f>VLOOKUP(H63,Clientes!B:D,3,)</f>
        <v>BANCO DAYCOVAL S/A</v>
      </c>
    </row>
    <row r="64" spans="1:14" x14ac:dyDescent="0.25">
      <c r="A64" s="4" t="str">
        <f t="shared" si="0"/>
        <v>DESPESA DE REPRESENTAÇÃO - HAPPY HOUR - TRADER - PEDRO HENRIQUE FERREIRA FUNDOS (153947-3998RU)</v>
      </c>
      <c r="B64" s="11">
        <v>46204</v>
      </c>
      <c r="C64" s="4">
        <v>817991</v>
      </c>
      <c r="D64" s="1" t="s">
        <v>647</v>
      </c>
      <c r="E64" s="14">
        <v>-1548.665</v>
      </c>
      <c r="F64" s="5" t="s">
        <v>387</v>
      </c>
      <c r="G64" s="2">
        <v>46213</v>
      </c>
      <c r="H64" s="9">
        <v>82963</v>
      </c>
      <c r="I64" s="4"/>
      <c r="J64" s="4" t="s">
        <v>485</v>
      </c>
      <c r="K64" s="7" t="s">
        <v>2693</v>
      </c>
      <c r="L64" s="1" t="s">
        <v>1089</v>
      </c>
      <c r="M64" s="9" t="s">
        <v>335</v>
      </c>
      <c r="N64" s="4" t="str">
        <f>VLOOKUP(H64,Clientes!B:D,3,)</f>
        <v>BANCO DAYCOVAL S/A</v>
      </c>
    </row>
    <row r="65" spans="1:14" x14ac:dyDescent="0.25">
      <c r="A65" s="4" t="str">
        <f t="shared" si="0"/>
        <v>DESPESA DE REPRESENTAÇÃO - JANTAR - TRADER - LEONARDO MASSAHIKO NAKAJIMA (171951-3998RU)</v>
      </c>
      <c r="B65" s="11">
        <v>46204</v>
      </c>
      <c r="C65" s="4">
        <v>817991</v>
      </c>
      <c r="D65" s="1" t="s">
        <v>652</v>
      </c>
      <c r="E65" s="14">
        <v>-2566.23</v>
      </c>
      <c r="F65" s="5" t="s">
        <v>380</v>
      </c>
      <c r="G65" s="2">
        <v>46213</v>
      </c>
      <c r="H65" s="9">
        <v>81499</v>
      </c>
      <c r="I65" s="4"/>
      <c r="J65" s="4" t="s">
        <v>380</v>
      </c>
      <c r="K65" s="7" t="s">
        <v>2694</v>
      </c>
      <c r="L65" s="1" t="s">
        <v>553</v>
      </c>
      <c r="M65" s="9" t="s">
        <v>335</v>
      </c>
      <c r="N65" s="4" t="str">
        <f>VLOOKUP(H65,Clientes!B:D,3,)</f>
        <v>PORTO SEGURO INVESTIMENTOS LTDA</v>
      </c>
    </row>
    <row r="66" spans="1:14" x14ac:dyDescent="0.25">
      <c r="A66" s="4" t="str">
        <f t="shared" si="0"/>
        <v>DESPESA DE REPRESENTAÇÃO - JANTAR - TRADER - LEONARDO MASSAHIKO NAKAJIMA (171951-3998RU)</v>
      </c>
      <c r="B66" s="11">
        <v>46204</v>
      </c>
      <c r="C66" s="4">
        <v>817991</v>
      </c>
      <c r="D66" s="1" t="s">
        <v>647</v>
      </c>
      <c r="E66" s="14">
        <v>-2566.23</v>
      </c>
      <c r="F66" s="5" t="s">
        <v>380</v>
      </c>
      <c r="G66" s="2">
        <v>46213</v>
      </c>
      <c r="H66" s="9">
        <v>81499</v>
      </c>
      <c r="I66" s="4"/>
      <c r="J66" s="4" t="s">
        <v>380</v>
      </c>
      <c r="K66" s="7" t="s">
        <v>2694</v>
      </c>
      <c r="L66" s="1" t="s">
        <v>553</v>
      </c>
      <c r="M66" s="9" t="s">
        <v>335</v>
      </c>
      <c r="N66" s="4" t="str">
        <f>VLOOKUP(H66,Clientes!B:D,3,)</f>
        <v>PORTO SEGURO INVESTIMENTOS LTDA</v>
      </c>
    </row>
    <row r="67" spans="1:14" x14ac:dyDescent="0.25">
      <c r="A67" s="4" t="str">
        <f t="shared" ref="A67:A130" si="1">CONCATENATE($J$1,J67,$I$3,M67,$I$3,L67,$I$1,K67,$I$2)</f>
        <v>DESPESA DE REPRESENTAÇÃO - ALMOÇO - TRADER - JOAO GABRIEL B MAGNER (084257-3998PI)</v>
      </c>
      <c r="B67" s="11">
        <v>46204</v>
      </c>
      <c r="C67" s="4">
        <v>817991</v>
      </c>
      <c r="D67" s="1" t="s">
        <v>772</v>
      </c>
      <c r="E67" s="14">
        <v>-2471</v>
      </c>
      <c r="F67" s="5" t="s">
        <v>447</v>
      </c>
      <c r="G67" s="2">
        <v>46213</v>
      </c>
      <c r="H67" s="9">
        <v>95007</v>
      </c>
      <c r="I67" s="4"/>
      <c r="J67" s="4" t="s">
        <v>447</v>
      </c>
      <c r="K67" s="7" t="s">
        <v>2695</v>
      </c>
      <c r="L67" s="1" t="s">
        <v>2090</v>
      </c>
      <c r="M67" s="9" t="s">
        <v>335</v>
      </c>
      <c r="N67" s="4" t="str">
        <f>VLOOKUP(H67,Clientes!B:D,3,)</f>
        <v>BANCO BNP PARIBAS BRASIL S/A</v>
      </c>
    </row>
    <row r="68" spans="1:14" x14ac:dyDescent="0.25">
      <c r="A68" s="4" t="str">
        <f t="shared" si="1"/>
        <v>DESPESA DE REPRESENTAÇÃO - HAPPY HOUR - TRADER - THOMAS CITRIN (124133-3998FB)</v>
      </c>
      <c r="B68" s="11">
        <v>46204</v>
      </c>
      <c r="C68" s="4">
        <v>817991</v>
      </c>
      <c r="D68" s="1" t="s">
        <v>624</v>
      </c>
      <c r="E68" s="14">
        <v>-1080</v>
      </c>
      <c r="F68" s="5" t="s">
        <v>387</v>
      </c>
      <c r="G68" s="2">
        <v>46213</v>
      </c>
      <c r="H68" s="9">
        <v>81718</v>
      </c>
      <c r="I68" s="4"/>
      <c r="J68" s="4" t="s">
        <v>485</v>
      </c>
      <c r="K68" s="7" t="s">
        <v>2696</v>
      </c>
      <c r="L68" s="1" t="s">
        <v>1124</v>
      </c>
      <c r="M68" s="9" t="s">
        <v>335</v>
      </c>
      <c r="N68" s="4" t="str">
        <f>VLOOKUP(H68,Clientes!B:D,3,)</f>
        <v>QUANTIQUE M3 INVESTMENTS LTDA</v>
      </c>
    </row>
    <row r="69" spans="1:14" x14ac:dyDescent="0.25">
      <c r="A69" s="4" t="str">
        <f t="shared" si="1"/>
        <v>DESPESA DE REPRESENTAÇÃO - ALUGUEL FLAT  - BROKER - CHRISTIANO MARCONDES DE BARROS LIMA (AGENDA 42582)</v>
      </c>
      <c r="B69" s="11">
        <v>46204</v>
      </c>
      <c r="C69" s="4">
        <v>817991</v>
      </c>
      <c r="D69" s="1" t="s">
        <v>60</v>
      </c>
      <c r="E69" s="14">
        <v>-1378.4549999999999</v>
      </c>
      <c r="F69" s="5" t="s">
        <v>422</v>
      </c>
      <c r="G69" s="2">
        <v>46213</v>
      </c>
      <c r="H69" s="9">
        <v>1170</v>
      </c>
      <c r="I69" s="4"/>
      <c r="J69" s="4" t="s">
        <v>425</v>
      </c>
      <c r="K69" s="7" t="s">
        <v>2721</v>
      </c>
      <c r="L69" s="1" t="s">
        <v>60</v>
      </c>
      <c r="M69" s="9" t="s">
        <v>2</v>
      </c>
      <c r="N69" s="4" t="str">
        <f>VLOOKUP(H69,Clientes!B:D,3,)</f>
        <v>BGC LIQUIDEZ DTVM LTDA</v>
      </c>
    </row>
    <row r="70" spans="1:14" x14ac:dyDescent="0.25">
      <c r="A70" s="4" t="str">
        <f t="shared" si="1"/>
        <v>DESPESA DE REPRESENTAÇÃO - ALUGUEL FLAT  - BROKER - JOSE MAURICIO GOMES TEIXEIRA (AGENDA 42582)</v>
      </c>
      <c r="B70" s="11">
        <v>46204</v>
      </c>
      <c r="C70" s="4">
        <v>817991</v>
      </c>
      <c r="D70" s="1" t="s">
        <v>23</v>
      </c>
      <c r="E70" s="14">
        <v>-1378.4549999999999</v>
      </c>
      <c r="F70" s="5" t="s">
        <v>422</v>
      </c>
      <c r="G70" s="2">
        <v>46213</v>
      </c>
      <c r="H70" s="9">
        <v>1170</v>
      </c>
      <c r="I70" s="4"/>
      <c r="J70" s="4" t="s">
        <v>425</v>
      </c>
      <c r="K70" s="7" t="s">
        <v>2721</v>
      </c>
      <c r="L70" s="1" t="s">
        <v>23</v>
      </c>
      <c r="M70" s="9" t="s">
        <v>2</v>
      </c>
      <c r="N70" s="4" t="str">
        <f>VLOOKUP(H70,Clientes!B:D,3,)</f>
        <v>BGC LIQUIDEZ DTVM LTDA</v>
      </c>
    </row>
    <row r="71" spans="1:14" x14ac:dyDescent="0.25">
      <c r="A71" s="4" t="str">
        <f t="shared" si="1"/>
        <v>DESPESA DE REPRESENTAÇÃO - ALUGUEL FLAT  - GESTOR - ANDRE HALL ACCIOLY (AGENDA 42582)</v>
      </c>
      <c r="B71" s="11">
        <v>46204</v>
      </c>
      <c r="C71" s="4">
        <v>817991</v>
      </c>
      <c r="D71" s="1" t="s">
        <v>423</v>
      </c>
      <c r="E71" s="14">
        <v>-2756.91</v>
      </c>
      <c r="F71" s="5" t="s">
        <v>422</v>
      </c>
      <c r="G71" s="2">
        <v>46213</v>
      </c>
      <c r="H71" s="9">
        <v>1170</v>
      </c>
      <c r="I71" s="4"/>
      <c r="J71" s="4" t="s">
        <v>425</v>
      </c>
      <c r="K71" s="7" t="s">
        <v>2721</v>
      </c>
      <c r="L71" s="1" t="s">
        <v>742</v>
      </c>
      <c r="M71" s="9" t="s">
        <v>598</v>
      </c>
      <c r="N71" s="4" t="str">
        <f>VLOOKUP(H71,Clientes!B:D,3,)</f>
        <v>BGC LIQUIDEZ DTVM LTDA</v>
      </c>
    </row>
    <row r="72" spans="1:14" x14ac:dyDescent="0.25">
      <c r="A72" s="4" t="str">
        <f t="shared" si="1"/>
        <v>DESPESA DE REPRESENTAÇÃO - UBER - SALES - MELISSA LEITE FIGUEIREDO ROCHA (EMAIL 04/08/2026)</v>
      </c>
      <c r="B72" s="11">
        <v>46204</v>
      </c>
      <c r="C72" s="4">
        <v>817991</v>
      </c>
      <c r="D72" s="1" t="s">
        <v>428</v>
      </c>
      <c r="E72" s="14">
        <v>-44.95</v>
      </c>
      <c r="F72" s="5" t="s">
        <v>388</v>
      </c>
      <c r="G72" s="2">
        <v>46216</v>
      </c>
      <c r="H72" s="9">
        <v>1170</v>
      </c>
      <c r="I72" s="4"/>
      <c r="J72" s="4" t="s">
        <v>659</v>
      </c>
      <c r="K72" s="7" t="s">
        <v>2802</v>
      </c>
      <c r="L72" s="1" t="s">
        <v>663</v>
      </c>
      <c r="M72" s="9" t="s">
        <v>468</v>
      </c>
      <c r="N72" s="4" t="str">
        <f>VLOOKUP(H72,Clientes!B:D,3,)</f>
        <v>BGC LIQUIDEZ DTVM LTDA</v>
      </c>
    </row>
    <row r="73" spans="1:14" x14ac:dyDescent="0.25">
      <c r="A73" s="4" t="str">
        <f t="shared" si="1"/>
        <v>DESPESA DE REPRESENTAÇÃO - EVENTO KAITAI NO OIZUMI SUSHI 1/2 - BROKER - ANDRE FERREIRA DOS SANTOS (AGENDA 43038)</v>
      </c>
      <c r="B73" s="11">
        <v>46204</v>
      </c>
      <c r="C73" s="4">
        <v>817991</v>
      </c>
      <c r="D73" s="1" t="s">
        <v>770</v>
      </c>
      <c r="E73" s="14">
        <v>-6307.5</v>
      </c>
      <c r="F73" s="5" t="s">
        <v>387</v>
      </c>
      <c r="G73" s="2">
        <v>46217</v>
      </c>
      <c r="H73" s="9">
        <v>1170</v>
      </c>
      <c r="I73" s="4"/>
      <c r="J73" s="4" t="s">
        <v>2930</v>
      </c>
      <c r="K73" s="7" t="s">
        <v>2720</v>
      </c>
      <c r="L73" s="1" t="s">
        <v>770</v>
      </c>
      <c r="M73" s="9" t="s">
        <v>2</v>
      </c>
      <c r="N73" s="4" t="str">
        <f>VLOOKUP(H73,Clientes!B:D,3,)</f>
        <v>BGC LIQUIDEZ DTVM LTDA</v>
      </c>
    </row>
    <row r="74" spans="1:14" x14ac:dyDescent="0.25">
      <c r="A74" s="4" t="str">
        <f t="shared" si="1"/>
        <v>DESPESA DE REPRESENTAÇÃO - EVENTO KAITAI NO OIZUMI SUSHI 1/2 - BROKER - CESAR MARIANO SCARAMBONE MENEZES (AGENDA 43038)</v>
      </c>
      <c r="B74" s="11">
        <v>46204</v>
      </c>
      <c r="C74" s="4">
        <v>817991</v>
      </c>
      <c r="D74" s="1" t="s">
        <v>621</v>
      </c>
      <c r="E74" s="14">
        <v>-6307.5</v>
      </c>
      <c r="F74" s="5" t="s">
        <v>387</v>
      </c>
      <c r="G74" s="2">
        <v>46217</v>
      </c>
      <c r="H74" s="9">
        <v>1170</v>
      </c>
      <c r="I74" s="4"/>
      <c r="J74" s="4" t="s">
        <v>2930</v>
      </c>
      <c r="K74" s="7" t="s">
        <v>2720</v>
      </c>
      <c r="L74" s="1" t="s">
        <v>621</v>
      </c>
      <c r="M74" s="9" t="s">
        <v>2</v>
      </c>
      <c r="N74" s="4" t="str">
        <f>VLOOKUP(H74,Clientes!B:D,3,)</f>
        <v>BGC LIQUIDEZ DTVM LTDA</v>
      </c>
    </row>
    <row r="75" spans="1:14" x14ac:dyDescent="0.25">
      <c r="A75" s="4" t="str">
        <f t="shared" si="1"/>
        <v>DESPESA DE REPRESENTAÇÃO - EVENTO KAITAI NO OIZUMI SUSHI 1/2 - BROKER - DANIEL TEIXEIRA SIQUEIRA GONÇALVES (AGENDA 43038)</v>
      </c>
      <c r="B75" s="11">
        <v>46204</v>
      </c>
      <c r="C75" s="4">
        <v>817991</v>
      </c>
      <c r="D75" s="1" t="s">
        <v>516</v>
      </c>
      <c r="E75" s="14">
        <v>-6307.5</v>
      </c>
      <c r="F75" s="5" t="s">
        <v>387</v>
      </c>
      <c r="G75" s="2">
        <v>46217</v>
      </c>
      <c r="H75" s="9">
        <v>1170</v>
      </c>
      <c r="I75" s="4"/>
      <c r="J75" s="4" t="s">
        <v>2930</v>
      </c>
      <c r="K75" s="7" t="s">
        <v>2720</v>
      </c>
      <c r="L75" s="1" t="s">
        <v>516</v>
      </c>
      <c r="M75" s="9" t="s">
        <v>2</v>
      </c>
      <c r="N75" s="4" t="str">
        <f>VLOOKUP(H75,Clientes!B:D,3,)</f>
        <v>BGC LIQUIDEZ DTVM LTDA</v>
      </c>
    </row>
    <row r="76" spans="1:14" x14ac:dyDescent="0.25">
      <c r="A76" s="4" t="str">
        <f t="shared" si="1"/>
        <v>DESPESA DE REPRESENTAÇÃO - EVENTO KAITAI NO OIZUMI SUSHI 1/2 - BROKER - FELIPE MEIRELLES RACCAH (AGENDA 43038)</v>
      </c>
      <c r="B76" s="11">
        <v>46204</v>
      </c>
      <c r="C76" s="4">
        <v>817991</v>
      </c>
      <c r="D76" s="1" t="s">
        <v>632</v>
      </c>
      <c r="E76" s="14">
        <v>-6307.5</v>
      </c>
      <c r="F76" s="5" t="s">
        <v>387</v>
      </c>
      <c r="G76" s="2">
        <v>46217</v>
      </c>
      <c r="H76" s="9">
        <v>1170</v>
      </c>
      <c r="I76" s="4"/>
      <c r="J76" s="4" t="s">
        <v>2930</v>
      </c>
      <c r="K76" s="7" t="s">
        <v>2720</v>
      </c>
      <c r="L76" s="1" t="s">
        <v>632</v>
      </c>
      <c r="M76" s="9" t="s">
        <v>2</v>
      </c>
      <c r="N76" s="4" t="str">
        <f>VLOOKUP(H76,Clientes!B:D,3,)</f>
        <v>BGC LIQUIDEZ DTVM LTDA</v>
      </c>
    </row>
    <row r="77" spans="1:14" x14ac:dyDescent="0.25">
      <c r="A77" s="4" t="str">
        <f t="shared" si="1"/>
        <v>DESPESA DE REPRESENTAÇÃO - SERVIÇO DE TRANSPORTE PARA CLIENTES DURANTE ROADSHOW EM BRASÍLIA  - SALES - JOSE ANTONIO DEZENE JUNIOR (AGENDA 42961)</v>
      </c>
      <c r="B77" s="11">
        <v>46204</v>
      </c>
      <c r="C77" s="4">
        <v>817991</v>
      </c>
      <c r="D77" s="1" t="s">
        <v>428</v>
      </c>
      <c r="E77" s="14">
        <v>-2398</v>
      </c>
      <c r="F77" s="5" t="s">
        <v>387</v>
      </c>
      <c r="G77" s="2">
        <v>46217</v>
      </c>
      <c r="H77" s="9">
        <v>1170</v>
      </c>
      <c r="I77" s="4"/>
      <c r="J77" s="4" t="s">
        <v>2834</v>
      </c>
      <c r="K77" s="7" t="s">
        <v>2835</v>
      </c>
      <c r="L77" s="1" t="s">
        <v>428</v>
      </c>
      <c r="M77" s="9" t="s">
        <v>468</v>
      </c>
      <c r="N77" s="4" t="str">
        <f>VLOOKUP(H77,Clientes!B:D,3,)</f>
        <v>BGC LIQUIDEZ DTVM LTDA</v>
      </c>
    </row>
    <row r="78" spans="1:14" x14ac:dyDescent="0.25">
      <c r="A78" s="4" t="str">
        <f t="shared" si="1"/>
        <v>DESPESA DE REPRESENTAÇÃO - PASSAGEM SÃO PAULO X VITÓRIA - BROKER - JUAREZ JOAQUIM DE LACERDA (AGENDA 42794)</v>
      </c>
      <c r="B78" s="11">
        <v>46204</v>
      </c>
      <c r="C78" s="4">
        <v>817991</v>
      </c>
      <c r="D78" s="1" t="s">
        <v>614</v>
      </c>
      <c r="E78" s="14">
        <v>-1142.1099999999999</v>
      </c>
      <c r="F78" s="5" t="s">
        <v>388</v>
      </c>
      <c r="G78" s="2">
        <v>46218</v>
      </c>
      <c r="H78" s="9">
        <v>1170</v>
      </c>
      <c r="I78" s="4"/>
      <c r="J78" s="4" t="s">
        <v>2705</v>
      </c>
      <c r="K78" s="7" t="s">
        <v>2706</v>
      </c>
      <c r="L78" s="1" t="s">
        <v>614</v>
      </c>
      <c r="M78" s="9" t="s">
        <v>2</v>
      </c>
      <c r="N78" s="4" t="str">
        <f>VLOOKUP(H78,Clientes!B:D,3,)</f>
        <v>BGC LIQUIDEZ DTVM LTDA</v>
      </c>
    </row>
    <row r="79" spans="1:14" x14ac:dyDescent="0.25">
      <c r="A79" s="4" t="str">
        <f t="shared" si="1"/>
        <v>DESPESA DE REPRESENTAÇÃO - PASSAGEM SÃO PAULO X VITÓRIA - BROKER - REINALDO ANDRE URBANO FILHO (AGENDA 42794)</v>
      </c>
      <c r="B79" s="11">
        <v>46204</v>
      </c>
      <c r="C79" s="4">
        <v>817991</v>
      </c>
      <c r="D79" s="1" t="s">
        <v>652</v>
      </c>
      <c r="E79" s="14">
        <v>-1664.51</v>
      </c>
      <c r="F79" s="5" t="s">
        <v>388</v>
      </c>
      <c r="G79" s="2">
        <v>46218</v>
      </c>
      <c r="H79" s="9">
        <v>1170</v>
      </c>
      <c r="I79" s="4"/>
      <c r="J79" s="4" t="s">
        <v>2705</v>
      </c>
      <c r="K79" s="7" t="s">
        <v>2706</v>
      </c>
      <c r="L79" s="1" t="s">
        <v>652</v>
      </c>
      <c r="M79" s="9" t="s">
        <v>2</v>
      </c>
      <c r="N79" s="4" t="str">
        <f>VLOOKUP(H79,Clientes!B:D,3,)</f>
        <v>BGC LIQUIDEZ DTVM LTDA</v>
      </c>
    </row>
    <row r="80" spans="1:14" x14ac:dyDescent="0.25">
      <c r="A80" s="4" t="str">
        <f t="shared" si="1"/>
        <v>DESPESA DE REPRESENTAÇÃO - PASSAGEM SÃO PAULO X CURITIBA - ECONOMISTA - FELIPE DE SA TAVARES (AGENDA 42794)</v>
      </c>
      <c r="B80" s="11">
        <v>46204</v>
      </c>
      <c r="C80" s="4">
        <v>817991</v>
      </c>
      <c r="D80" s="1" t="s">
        <v>768</v>
      </c>
      <c r="E80" s="14">
        <v>-2765.61</v>
      </c>
      <c r="F80" s="5" t="s">
        <v>388</v>
      </c>
      <c r="G80" s="2">
        <v>46218</v>
      </c>
      <c r="H80" s="9">
        <v>1170</v>
      </c>
      <c r="I80" s="4"/>
      <c r="J80" s="4" t="s">
        <v>2707</v>
      </c>
      <c r="K80" s="7" t="s">
        <v>2706</v>
      </c>
      <c r="L80" s="1" t="s">
        <v>768</v>
      </c>
      <c r="M80" s="9" t="s">
        <v>551</v>
      </c>
      <c r="N80" s="4" t="str">
        <f>VLOOKUP(H80,Clientes!B:D,3,)</f>
        <v>BGC LIQUIDEZ DTVM LTDA</v>
      </c>
    </row>
    <row r="81" spans="1:14" x14ac:dyDescent="0.25">
      <c r="A81" s="4" t="str">
        <f t="shared" si="1"/>
        <v>DESPESA DE REPRESENTAÇÃO - PASSAGEM SÃO PAULO X BELO HORIZONTE - ECONOMISTA - FELIPE DE SA TAVARES (AGENDA 42794)</v>
      </c>
      <c r="B81" s="11">
        <v>46204</v>
      </c>
      <c r="C81" s="4">
        <v>817991</v>
      </c>
      <c r="D81" s="1" t="s">
        <v>768</v>
      </c>
      <c r="E81" s="14">
        <v>-3930.31</v>
      </c>
      <c r="F81" s="5" t="s">
        <v>388</v>
      </c>
      <c r="G81" s="2">
        <v>46218</v>
      </c>
      <c r="H81" s="9">
        <v>1170</v>
      </c>
      <c r="I81" s="4"/>
      <c r="J81" s="4" t="s">
        <v>2708</v>
      </c>
      <c r="K81" s="7" t="s">
        <v>2706</v>
      </c>
      <c r="L81" s="1" t="s">
        <v>768</v>
      </c>
      <c r="M81" s="9" t="s">
        <v>551</v>
      </c>
      <c r="N81" s="4" t="str">
        <f>VLOOKUP(H81,Clientes!B:D,3,)</f>
        <v>BGC LIQUIDEZ DTVM LTDA</v>
      </c>
    </row>
    <row r="82" spans="1:14" x14ac:dyDescent="0.25">
      <c r="A82" s="4" t="str">
        <f t="shared" si="1"/>
        <v>DESPESA DE REPRESENTAÇÃO - PASSAGEM SÃO PAULO X VITÓRIA - ECONOMISTA - FELIPE DE SA TAVARES (AGENDA 42794)</v>
      </c>
      <c r="B82" s="11">
        <v>46204</v>
      </c>
      <c r="C82" s="4">
        <v>817991</v>
      </c>
      <c r="D82" s="1" t="s">
        <v>768</v>
      </c>
      <c r="E82" s="14">
        <v>-1495.92</v>
      </c>
      <c r="F82" s="5" t="s">
        <v>388</v>
      </c>
      <c r="G82" s="2">
        <v>46218</v>
      </c>
      <c r="H82" s="9">
        <v>1170</v>
      </c>
      <c r="I82" s="4"/>
      <c r="J82" s="4" t="s">
        <v>2705</v>
      </c>
      <c r="K82" s="7" t="s">
        <v>2706</v>
      </c>
      <c r="L82" s="1" t="s">
        <v>768</v>
      </c>
      <c r="M82" s="9" t="s">
        <v>551</v>
      </c>
      <c r="N82" s="4" t="str">
        <f>VLOOKUP(H82,Clientes!B:D,3,)</f>
        <v>BGC LIQUIDEZ DTVM LTDA</v>
      </c>
    </row>
    <row r="83" spans="1:14" x14ac:dyDescent="0.25">
      <c r="A83" s="4" t="str">
        <f t="shared" si="1"/>
        <v>DESPESA DE REPRESENTAÇÃO - PASSAGEM SÃO PAULO X BRASÍLIA  - SALES - MARCELLE DA SILVEIRA GIL CADILHE (AGENDA 42794)</v>
      </c>
      <c r="B83" s="11">
        <v>46204</v>
      </c>
      <c r="C83" s="4">
        <v>817991</v>
      </c>
      <c r="D83" s="1" t="s">
        <v>428</v>
      </c>
      <c r="E83" s="14">
        <v>-4091</v>
      </c>
      <c r="F83" s="5" t="s">
        <v>388</v>
      </c>
      <c r="G83" s="2">
        <v>46218</v>
      </c>
      <c r="H83" s="9">
        <v>1170</v>
      </c>
      <c r="I83" s="4"/>
      <c r="J83" s="4" t="s">
        <v>812</v>
      </c>
      <c r="K83" s="7" t="s">
        <v>2706</v>
      </c>
      <c r="L83" s="1" t="s">
        <v>658</v>
      </c>
      <c r="M83" s="9" t="s">
        <v>468</v>
      </c>
      <c r="N83" s="4" t="str">
        <f>VLOOKUP(H83,Clientes!B:D,3,)</f>
        <v>BGC LIQUIDEZ DTVM LTDA</v>
      </c>
    </row>
    <row r="84" spans="1:14" x14ac:dyDescent="0.25">
      <c r="A84" s="4" t="str">
        <f t="shared" si="1"/>
        <v>DESPESA DE REPRESENTAÇÃO - PASSAGEM SÃO PAULO X PORTO ALEGRE - SALES - JOSE ANTONIO DEZENE JUNIOR (AGENDA 42794)</v>
      </c>
      <c r="B84" s="11">
        <v>46204</v>
      </c>
      <c r="C84" s="4">
        <v>817991</v>
      </c>
      <c r="D84" s="1" t="s">
        <v>428</v>
      </c>
      <c r="E84" s="14">
        <v>-1963.76</v>
      </c>
      <c r="F84" s="5" t="s">
        <v>388</v>
      </c>
      <c r="G84" s="2">
        <v>46218</v>
      </c>
      <c r="H84" s="9">
        <v>1170</v>
      </c>
      <c r="I84" s="4"/>
      <c r="J84" s="4" t="s">
        <v>807</v>
      </c>
      <c r="K84" s="7" t="s">
        <v>2706</v>
      </c>
      <c r="L84" s="1" t="s">
        <v>428</v>
      </c>
      <c r="M84" s="9" t="s">
        <v>468</v>
      </c>
      <c r="N84" s="4" t="str">
        <f>VLOOKUP(H84,Clientes!B:D,3,)</f>
        <v>BGC LIQUIDEZ DTVM LTDA</v>
      </c>
    </row>
    <row r="85" spans="1:14" x14ac:dyDescent="0.25">
      <c r="A85" s="4" t="str">
        <f t="shared" si="1"/>
        <v>DESPESA DE REPRESENTAÇÃO - PASSAGEM RIO DE JANEIRO X SÃO PAULO - BROKER - CHRISTIANO MARCONDES DE BARROS LIMA (AGENDA 42794)</v>
      </c>
      <c r="B85" s="11">
        <v>46204</v>
      </c>
      <c r="C85" s="4">
        <v>817991</v>
      </c>
      <c r="D85" s="1" t="s">
        <v>60</v>
      </c>
      <c r="E85" s="14">
        <v>-767.1</v>
      </c>
      <c r="F85" s="5" t="s">
        <v>388</v>
      </c>
      <c r="G85" s="2">
        <v>46218</v>
      </c>
      <c r="H85" s="9">
        <v>1170</v>
      </c>
      <c r="I85" s="4"/>
      <c r="J85" s="4" t="s">
        <v>495</v>
      </c>
      <c r="K85" s="7" t="s">
        <v>2706</v>
      </c>
      <c r="L85" s="1" t="s">
        <v>60</v>
      </c>
      <c r="M85" s="9" t="s">
        <v>2</v>
      </c>
      <c r="N85" s="4" t="str">
        <f>VLOOKUP(H85,Clientes!B:D,3,)</f>
        <v>BGC LIQUIDEZ DTVM LTDA</v>
      </c>
    </row>
    <row r="86" spans="1:14" x14ac:dyDescent="0.25">
      <c r="A86" s="4" t="str">
        <f t="shared" si="1"/>
        <v>DESPESA DE REPRESENTAÇÃO - PASSAGEM RIO DE JANEIRO X SÃO PAULO - BROKER - BRUNO FERREIRA GOMES (AGENDA 42794)</v>
      </c>
      <c r="B86" s="11">
        <v>46204</v>
      </c>
      <c r="C86" s="4">
        <v>817991</v>
      </c>
      <c r="D86" s="1" t="s">
        <v>23</v>
      </c>
      <c r="E86" s="14">
        <v>-633.16999999999996</v>
      </c>
      <c r="F86" s="5" t="s">
        <v>388</v>
      </c>
      <c r="G86" s="2">
        <v>46218</v>
      </c>
      <c r="H86" s="9">
        <v>1170</v>
      </c>
      <c r="I86" s="4"/>
      <c r="J86" s="4" t="s">
        <v>495</v>
      </c>
      <c r="K86" s="7" t="s">
        <v>2706</v>
      </c>
      <c r="L86" s="1" t="s">
        <v>664</v>
      </c>
      <c r="M86" s="9" t="s">
        <v>2</v>
      </c>
      <c r="N86" s="4" t="str">
        <f>VLOOKUP(H86,Clientes!B:D,3,)</f>
        <v>BGC LIQUIDEZ DTVM LTDA</v>
      </c>
    </row>
    <row r="87" spans="1:14" x14ac:dyDescent="0.25">
      <c r="A87" s="4" t="str">
        <f t="shared" si="1"/>
        <v>DESPESA DE REPRESENTAÇÃO - PASSAGEM RIO DE JANEIRO X SÃO PAULO - BROKER - BRUNO FERREIRA GOMES (AGENDA 42794)</v>
      </c>
      <c r="B87" s="11">
        <v>46204</v>
      </c>
      <c r="C87" s="4">
        <v>817991</v>
      </c>
      <c r="D87" s="1" t="s">
        <v>23</v>
      </c>
      <c r="E87" s="14">
        <v>-646.05999999999995</v>
      </c>
      <c r="F87" s="5" t="s">
        <v>388</v>
      </c>
      <c r="G87" s="2">
        <v>46218</v>
      </c>
      <c r="H87" s="9">
        <v>1170</v>
      </c>
      <c r="I87" s="4"/>
      <c r="J87" s="4" t="s">
        <v>495</v>
      </c>
      <c r="K87" s="7" t="s">
        <v>2706</v>
      </c>
      <c r="L87" s="1" t="s">
        <v>664</v>
      </c>
      <c r="M87" s="9" t="s">
        <v>2</v>
      </c>
      <c r="N87" s="4" t="str">
        <f>VLOOKUP(H87,Clientes!B:D,3,)</f>
        <v>BGC LIQUIDEZ DTVM LTDA</v>
      </c>
    </row>
    <row r="88" spans="1:14" x14ac:dyDescent="0.25">
      <c r="A88" s="4" t="str">
        <f t="shared" si="1"/>
        <v>DESPESA DE REPRESENTAÇÃO - PASSAGEM RIO DE JANEIRO X SÃO PAULO - BROKER - CHRISTIANO MARCONDES DE BARROS LIMA (AGENDA 42794)</v>
      </c>
      <c r="B88" s="11">
        <v>46204</v>
      </c>
      <c r="C88" s="4">
        <v>817991</v>
      </c>
      <c r="D88" s="1" t="s">
        <v>60</v>
      </c>
      <c r="E88" s="14">
        <v>-1168.78</v>
      </c>
      <c r="F88" s="5" t="s">
        <v>388</v>
      </c>
      <c r="G88" s="2">
        <v>46218</v>
      </c>
      <c r="H88" s="9">
        <v>1170</v>
      </c>
      <c r="I88" s="4"/>
      <c r="J88" s="4" t="s">
        <v>495</v>
      </c>
      <c r="K88" s="7" t="s">
        <v>2706</v>
      </c>
      <c r="L88" s="1" t="s">
        <v>60</v>
      </c>
      <c r="M88" s="9" t="s">
        <v>2</v>
      </c>
      <c r="N88" s="4" t="str">
        <f>VLOOKUP(H88,Clientes!B:D,3,)</f>
        <v>BGC LIQUIDEZ DTVM LTDA</v>
      </c>
    </row>
    <row r="89" spans="1:14" x14ac:dyDescent="0.25">
      <c r="A89" s="4" t="str">
        <f t="shared" si="1"/>
        <v>DESPESA DE REPRESENTAÇÃO - PASSAGEM RIO DE JANEIRO X SÃO PAULO - BROKER - RODRIGO ZARKO VITAL BRASIL (AGENDA 42794)</v>
      </c>
      <c r="B89" s="11">
        <v>46204</v>
      </c>
      <c r="C89" s="4">
        <v>817991</v>
      </c>
      <c r="D89" s="1" t="s">
        <v>60</v>
      </c>
      <c r="E89" s="14">
        <v>-767.1</v>
      </c>
      <c r="F89" s="5" t="s">
        <v>388</v>
      </c>
      <c r="G89" s="2">
        <v>46218</v>
      </c>
      <c r="H89" s="9">
        <v>1170</v>
      </c>
      <c r="I89" s="4"/>
      <c r="J89" s="4" t="s">
        <v>495</v>
      </c>
      <c r="K89" s="7" t="s">
        <v>2706</v>
      </c>
      <c r="L89" s="1" t="s">
        <v>672</v>
      </c>
      <c r="M89" s="9" t="s">
        <v>2</v>
      </c>
      <c r="N89" s="4" t="str">
        <f>VLOOKUP(H89,Clientes!B:D,3,)</f>
        <v>BGC LIQUIDEZ DTVM LTDA</v>
      </c>
    </row>
    <row r="90" spans="1:14" x14ac:dyDescent="0.25">
      <c r="A90" s="4" t="str">
        <f t="shared" si="1"/>
        <v>DESPESA DE REPRESENTAÇÃO - PASSAGEM RIO DE JANEIRO X SÃO PAULO - BROKER - CHRISTIANO MARCONDES DE BARROS LIMA (AGENDA 42794)</v>
      </c>
      <c r="B90" s="11">
        <v>46204</v>
      </c>
      <c r="C90" s="4">
        <v>817991</v>
      </c>
      <c r="D90" s="1" t="s">
        <v>60</v>
      </c>
      <c r="E90" s="14">
        <v>-703.01</v>
      </c>
      <c r="F90" s="5" t="s">
        <v>388</v>
      </c>
      <c r="G90" s="2">
        <v>46218</v>
      </c>
      <c r="H90" s="9">
        <v>1170</v>
      </c>
      <c r="I90" s="4"/>
      <c r="J90" s="4" t="s">
        <v>495</v>
      </c>
      <c r="K90" s="7" t="s">
        <v>2706</v>
      </c>
      <c r="L90" s="1" t="s">
        <v>60</v>
      </c>
      <c r="M90" s="9" t="s">
        <v>2</v>
      </c>
      <c r="N90" s="4" t="str">
        <f>VLOOKUP(H90,Clientes!B:D,3,)</f>
        <v>BGC LIQUIDEZ DTVM LTDA</v>
      </c>
    </row>
    <row r="91" spans="1:14" x14ac:dyDescent="0.25">
      <c r="A91" s="4" t="str">
        <f t="shared" si="1"/>
        <v>DESPESA DE REPRESENTAÇÃO - PASSAGEM RIO DE JANEIRO X SÃO PAULO - BROKER - ANDRE WATT VIANNA (AGENDA 42794)</v>
      </c>
      <c r="B91" s="11">
        <v>46204</v>
      </c>
      <c r="C91" s="4">
        <v>817991</v>
      </c>
      <c r="D91" s="1" t="s">
        <v>23</v>
      </c>
      <c r="E91" s="14">
        <v>-699.64</v>
      </c>
      <c r="F91" s="5" t="s">
        <v>388</v>
      </c>
      <c r="G91" s="2">
        <v>46218</v>
      </c>
      <c r="H91" s="9">
        <v>1170</v>
      </c>
      <c r="I91" s="4"/>
      <c r="J91" s="4" t="s">
        <v>495</v>
      </c>
      <c r="K91" s="7" t="s">
        <v>2706</v>
      </c>
      <c r="L91" s="1" t="s">
        <v>670</v>
      </c>
      <c r="M91" s="9" t="s">
        <v>2</v>
      </c>
      <c r="N91" s="4" t="str">
        <f>VLOOKUP(H91,Clientes!B:D,3,)</f>
        <v>BGC LIQUIDEZ DTVM LTDA</v>
      </c>
    </row>
    <row r="92" spans="1:14" x14ac:dyDescent="0.25">
      <c r="A92" s="4" t="str">
        <f t="shared" si="1"/>
        <v>DESPESA DE REPRESENTAÇÃO - CARTÃO CORPORATIVO NACIONAL - CEO - ERMINIO OLIVI LUCCI (AGENDA 42925)</v>
      </c>
      <c r="B92" s="11">
        <v>46204</v>
      </c>
      <c r="C92" s="4">
        <v>817991</v>
      </c>
      <c r="D92" s="1" t="s">
        <v>650</v>
      </c>
      <c r="E92" s="14">
        <v>-3346.27</v>
      </c>
      <c r="F92" s="5" t="s">
        <v>389</v>
      </c>
      <c r="G92" s="2">
        <v>46218</v>
      </c>
      <c r="H92" s="9">
        <v>1170</v>
      </c>
      <c r="I92" s="4"/>
      <c r="J92" s="4" t="s">
        <v>984</v>
      </c>
      <c r="K92" s="7" t="s">
        <v>2710</v>
      </c>
      <c r="L92" s="1" t="s">
        <v>650</v>
      </c>
      <c r="M92" s="9" t="s">
        <v>490</v>
      </c>
      <c r="N92" s="4" t="str">
        <f>VLOOKUP(H92,Clientes!B:D,3,)</f>
        <v>BGC LIQUIDEZ DTVM LTDA</v>
      </c>
    </row>
    <row r="93" spans="1:14" x14ac:dyDescent="0.25">
      <c r="A93" s="4" t="str">
        <f t="shared" si="1"/>
        <v>DESPESA DE REPRESENTAÇÃO - CARTÃO CORPORATIVO INTERNACIONAL - CEO - ERMINIO OLIVI LUCCI (AGENDA 42925)</v>
      </c>
      <c r="B93" s="11">
        <v>46204</v>
      </c>
      <c r="C93" s="4">
        <v>817991</v>
      </c>
      <c r="D93" s="1" t="s">
        <v>650</v>
      </c>
      <c r="E93" s="14">
        <v>-9431.6</v>
      </c>
      <c r="F93" s="5" t="s">
        <v>389</v>
      </c>
      <c r="G93" s="2">
        <v>46218</v>
      </c>
      <c r="H93" s="9">
        <v>1170</v>
      </c>
      <c r="I93" s="4"/>
      <c r="J93" s="4" t="s">
        <v>983</v>
      </c>
      <c r="K93" s="7" t="s">
        <v>2710</v>
      </c>
      <c r="L93" s="1" t="s">
        <v>650</v>
      </c>
      <c r="M93" s="9" t="s">
        <v>490</v>
      </c>
      <c r="N93" s="4" t="str">
        <f>VLOOKUP(H93,Clientes!B:D,3,)</f>
        <v>BGC LIQUIDEZ DTVM LTDA</v>
      </c>
    </row>
    <row r="94" spans="1:14" x14ac:dyDescent="0.25">
      <c r="A94" s="4" t="str">
        <f t="shared" si="1"/>
        <v>DESPESA DE REPRESENTAÇÃO - EVENTO B HOTEL BRASÍLIA - BROKER - ANTÔNIO MARTINS NETO (AGENDA 42925)</v>
      </c>
      <c r="B94" s="11">
        <v>46204</v>
      </c>
      <c r="C94" s="4">
        <v>817991</v>
      </c>
      <c r="D94" s="1" t="s">
        <v>626</v>
      </c>
      <c r="E94" s="14">
        <v>-653.8888888888888</v>
      </c>
      <c r="F94" s="5" t="s">
        <v>387</v>
      </c>
      <c r="G94" s="2">
        <v>46218</v>
      </c>
      <c r="H94" s="9">
        <v>1170</v>
      </c>
      <c r="I94" s="4"/>
      <c r="J94" s="4" t="s">
        <v>1771</v>
      </c>
      <c r="K94" s="7" t="s">
        <v>2710</v>
      </c>
      <c r="L94" s="1" t="s">
        <v>626</v>
      </c>
      <c r="M94" s="9" t="s">
        <v>2</v>
      </c>
      <c r="N94" s="4" t="str">
        <f>VLOOKUP(H94,Clientes!B:D,3,)</f>
        <v>BGC LIQUIDEZ DTVM LTDA</v>
      </c>
    </row>
    <row r="95" spans="1:14" x14ac:dyDescent="0.25">
      <c r="A95" s="4" t="str">
        <f t="shared" si="1"/>
        <v>DESPESA DE REPRESENTAÇÃO - EVENTO B HOTEL BRASÍLIA - BROKER - BRENO MELLO DOS SANTOS (AGENDA 42925)</v>
      </c>
      <c r="B95" s="11">
        <v>46204</v>
      </c>
      <c r="C95" s="4">
        <v>817991</v>
      </c>
      <c r="D95" s="1" t="s">
        <v>993</v>
      </c>
      <c r="E95" s="14">
        <v>-653.8888888888888</v>
      </c>
      <c r="F95" s="5" t="s">
        <v>387</v>
      </c>
      <c r="G95" s="2">
        <v>46218</v>
      </c>
      <c r="H95" s="9">
        <v>1170</v>
      </c>
      <c r="I95" s="4"/>
      <c r="J95" s="4" t="s">
        <v>1771</v>
      </c>
      <c r="K95" s="7" t="s">
        <v>2710</v>
      </c>
      <c r="L95" s="1" t="s">
        <v>993</v>
      </c>
      <c r="M95" s="9" t="s">
        <v>2</v>
      </c>
      <c r="N95" s="4" t="str">
        <f>VLOOKUP(H95,Clientes!B:D,3,)</f>
        <v>BGC LIQUIDEZ DTVM LTDA</v>
      </c>
    </row>
    <row r="96" spans="1:14" x14ac:dyDescent="0.25">
      <c r="A96" s="4" t="str">
        <f t="shared" si="1"/>
        <v>DESPESA DE REPRESENTAÇÃO - EVENTO B HOTEL BRASÍLIA - BROKER - FABIO SOARES PFAENDER (AGENDA 42925)</v>
      </c>
      <c r="B96" s="11">
        <v>46204</v>
      </c>
      <c r="C96" s="4">
        <v>817991</v>
      </c>
      <c r="D96" s="1" t="s">
        <v>503</v>
      </c>
      <c r="E96" s="14">
        <v>-653.8888888888888</v>
      </c>
      <c r="F96" s="5" t="s">
        <v>387</v>
      </c>
      <c r="G96" s="2">
        <v>46218</v>
      </c>
      <c r="H96" s="9">
        <v>1170</v>
      </c>
      <c r="I96" s="4"/>
      <c r="J96" s="4" t="s">
        <v>1771</v>
      </c>
      <c r="K96" s="7" t="s">
        <v>2710</v>
      </c>
      <c r="L96" s="1" t="s">
        <v>503</v>
      </c>
      <c r="M96" s="9" t="s">
        <v>2</v>
      </c>
      <c r="N96" s="4" t="str">
        <f>VLOOKUP(H96,Clientes!B:D,3,)</f>
        <v>BGC LIQUIDEZ DTVM LTDA</v>
      </c>
    </row>
    <row r="97" spans="1:14" x14ac:dyDescent="0.25">
      <c r="A97" s="4" t="str">
        <f t="shared" si="1"/>
        <v>DESPESA DE REPRESENTAÇÃO - EVENTO B HOTEL BRASÍLIA - BROKER - GUSTAVO D ELBOUX FERRIELLO (AGENDA 42925)</v>
      </c>
      <c r="B97" s="11">
        <v>46204</v>
      </c>
      <c r="C97" s="4">
        <v>817991</v>
      </c>
      <c r="D97" s="1" t="s">
        <v>615</v>
      </c>
      <c r="E97" s="14">
        <v>-653.8888888888888</v>
      </c>
      <c r="F97" s="5" t="s">
        <v>387</v>
      </c>
      <c r="G97" s="2">
        <v>46218</v>
      </c>
      <c r="H97" s="9">
        <v>1170</v>
      </c>
      <c r="I97" s="4"/>
      <c r="J97" s="4" t="s">
        <v>1771</v>
      </c>
      <c r="K97" s="7" t="s">
        <v>2710</v>
      </c>
      <c r="L97" s="1" t="s">
        <v>615</v>
      </c>
      <c r="M97" s="9" t="s">
        <v>2</v>
      </c>
      <c r="N97" s="4" t="str">
        <f>VLOOKUP(H97,Clientes!B:D,3,)</f>
        <v>BGC LIQUIDEZ DTVM LTDA</v>
      </c>
    </row>
    <row r="98" spans="1:14" x14ac:dyDescent="0.25">
      <c r="A98" s="4" t="str">
        <f t="shared" si="1"/>
        <v>DESPESA DE REPRESENTAÇÃO - EVENTO B HOTEL BRASÍLIA - BROKER - RICARDO ANDRE VASCONCELOS RAMOS (AGENDA 42925)</v>
      </c>
      <c r="B98" s="11">
        <v>46204</v>
      </c>
      <c r="C98" s="4">
        <v>817991</v>
      </c>
      <c r="D98" s="1" t="s">
        <v>604</v>
      </c>
      <c r="E98" s="14">
        <v>-653.8888888888888</v>
      </c>
      <c r="F98" s="5" t="s">
        <v>387</v>
      </c>
      <c r="G98" s="2">
        <v>46218</v>
      </c>
      <c r="H98" s="9">
        <v>1170</v>
      </c>
      <c r="I98" s="4"/>
      <c r="J98" s="4" t="s">
        <v>1771</v>
      </c>
      <c r="K98" s="7" t="s">
        <v>2710</v>
      </c>
      <c r="L98" s="1" t="s">
        <v>604</v>
      </c>
      <c r="M98" s="9" t="s">
        <v>2</v>
      </c>
      <c r="N98" s="4" t="str">
        <f>VLOOKUP(H98,Clientes!B:D,3,)</f>
        <v>BGC LIQUIDEZ DTVM LTDA</v>
      </c>
    </row>
    <row r="99" spans="1:14" x14ac:dyDescent="0.25">
      <c r="A99" s="4" t="str">
        <f t="shared" si="1"/>
        <v>DESPESA DE REPRESENTAÇÃO - EVENTO B HOTEL BRASÍLIA - BROKER - WESLEY MARQUES DA SILVA (AGENDA 42925)</v>
      </c>
      <c r="B99" s="11">
        <v>46204</v>
      </c>
      <c r="C99" s="4">
        <v>817991</v>
      </c>
      <c r="D99" s="1" t="s">
        <v>1310</v>
      </c>
      <c r="E99" s="14">
        <v>-653.8888888888888</v>
      </c>
      <c r="F99" s="5" t="s">
        <v>387</v>
      </c>
      <c r="G99" s="2">
        <v>46218</v>
      </c>
      <c r="H99" s="9">
        <v>1170</v>
      </c>
      <c r="I99" s="4"/>
      <c r="J99" s="4" t="s">
        <v>1771</v>
      </c>
      <c r="K99" s="7" t="s">
        <v>2710</v>
      </c>
      <c r="L99" s="1" t="s">
        <v>1310</v>
      </c>
      <c r="M99" s="9" t="s">
        <v>2</v>
      </c>
      <c r="N99" s="4" t="str">
        <f>VLOOKUP(H99,Clientes!B:D,3,)</f>
        <v>BGC LIQUIDEZ DTVM LTDA</v>
      </c>
    </row>
    <row r="100" spans="1:14" x14ac:dyDescent="0.25">
      <c r="A100" s="4" t="str">
        <f t="shared" si="1"/>
        <v>DESPESA DE REPRESENTAÇÃO - EVENTO B HOTEL BRASÍLIA - BROKER - ENRICO BORTPLUZO CASSIANO (AGENDA 42925)</v>
      </c>
      <c r="B100" s="11">
        <v>46204</v>
      </c>
      <c r="C100" s="4">
        <v>817991</v>
      </c>
      <c r="D100" s="1" t="s">
        <v>647</v>
      </c>
      <c r="E100" s="14">
        <v>-1961.6666666666667</v>
      </c>
      <c r="F100" s="5" t="s">
        <v>387</v>
      </c>
      <c r="G100" s="2">
        <v>46218</v>
      </c>
      <c r="H100" s="9">
        <v>1170</v>
      </c>
      <c r="I100" s="4"/>
      <c r="J100" s="4" t="s">
        <v>1771</v>
      </c>
      <c r="K100" s="7" t="s">
        <v>2710</v>
      </c>
      <c r="L100" s="1" t="s">
        <v>647</v>
      </c>
      <c r="M100" s="9" t="s">
        <v>2</v>
      </c>
      <c r="N100" s="4" t="str">
        <f>VLOOKUP(H100,Clientes!B:D,3,)</f>
        <v>BGC LIQUIDEZ DTVM LTDA</v>
      </c>
    </row>
    <row r="101" spans="1:14" x14ac:dyDescent="0.25">
      <c r="A101" s="4" t="str">
        <f t="shared" si="1"/>
        <v>DESPESA DE REPRESENTAÇÃO - ALMOÇO - TRADER - DAVID LANFRANQUI JÚNIOR (155515-3998DG)</v>
      </c>
      <c r="B101" s="11">
        <v>46204</v>
      </c>
      <c r="C101" s="4">
        <v>817991</v>
      </c>
      <c r="D101" s="1" t="s">
        <v>516</v>
      </c>
      <c r="E101" s="14">
        <v>-1467.87</v>
      </c>
      <c r="F101" s="5" t="s">
        <v>447</v>
      </c>
      <c r="G101" s="2">
        <v>46219</v>
      </c>
      <c r="H101" s="9">
        <v>80510</v>
      </c>
      <c r="I101" s="4"/>
      <c r="J101" s="4" t="s">
        <v>447</v>
      </c>
      <c r="K101" s="7" t="s">
        <v>2711</v>
      </c>
      <c r="L101" s="1" t="s">
        <v>2389</v>
      </c>
      <c r="M101" s="9" t="s">
        <v>335</v>
      </c>
      <c r="N101" s="4" t="str">
        <f>VLOOKUP(H101,Clientes!B:D,3,)</f>
        <v>ITAU UNIBANCO ASSET - TACO</v>
      </c>
    </row>
    <row r="102" spans="1:14" x14ac:dyDescent="0.25">
      <c r="A102" s="4" t="str">
        <f t="shared" si="1"/>
        <v>DESPESA DE REPRESENTAÇÃO - ALMOÇO - TRADER - GUSTAVO BEVILACQUA NASCIMENTO (155945-3998JV)</v>
      </c>
      <c r="B102" s="11">
        <v>46204</v>
      </c>
      <c r="C102" s="4">
        <v>817991</v>
      </c>
      <c r="D102" s="1" t="s">
        <v>459</v>
      </c>
      <c r="E102" s="14">
        <v>-1319.84</v>
      </c>
      <c r="F102" s="5" t="s">
        <v>447</v>
      </c>
      <c r="G102" s="2">
        <v>46219</v>
      </c>
      <c r="H102" s="9">
        <v>81794</v>
      </c>
      <c r="I102" s="4"/>
      <c r="J102" s="4" t="s">
        <v>447</v>
      </c>
      <c r="K102" s="7" t="s">
        <v>2712</v>
      </c>
      <c r="L102" s="1" t="s">
        <v>2526</v>
      </c>
      <c r="M102" s="9" t="s">
        <v>335</v>
      </c>
      <c r="N102" s="4" t="str">
        <f>VLOOKUP(H102,Clientes!B:D,3,)</f>
        <v>BRAZA BANK S/A BANCO DE CAMBIO</v>
      </c>
    </row>
    <row r="103" spans="1:14" x14ac:dyDescent="0.25">
      <c r="A103" s="4" t="str">
        <f t="shared" si="1"/>
        <v>DESPESA DE REPRESENTAÇÃO - ALMOÇO - TRADER - SAMUEL ALVES (144852-3998FB)</v>
      </c>
      <c r="B103" s="11">
        <v>46204</v>
      </c>
      <c r="C103" s="4">
        <v>817991</v>
      </c>
      <c r="D103" s="1" t="s">
        <v>477</v>
      </c>
      <c r="E103" s="14">
        <v>-403.41</v>
      </c>
      <c r="F103" s="5" t="s">
        <v>447</v>
      </c>
      <c r="G103" s="2">
        <v>46219</v>
      </c>
      <c r="H103" s="9">
        <v>82639</v>
      </c>
      <c r="I103" s="4"/>
      <c r="J103" s="4" t="s">
        <v>447</v>
      </c>
      <c r="K103" s="7" t="s">
        <v>2713</v>
      </c>
      <c r="L103" s="1" t="s">
        <v>2714</v>
      </c>
      <c r="M103" s="9" t="s">
        <v>335</v>
      </c>
      <c r="N103" s="4" t="str">
        <f>VLOOKUP(H103,Clientes!B:D,3,)</f>
        <v>SAFRA ASSET CORRETORA DE TITULOS E VALORES MOBILIARIOS S.A.</v>
      </c>
    </row>
    <row r="104" spans="1:14" x14ac:dyDescent="0.25">
      <c r="A104" s="4" t="str">
        <f t="shared" si="1"/>
        <v>DESPESA DE REPRESENTAÇÃO - ALMOÇO COM ABFINTECH - TRADER - DIEGO PEREZ (153549-3998JL)</v>
      </c>
      <c r="B104" s="11">
        <v>46204</v>
      </c>
      <c r="C104" s="4">
        <v>817991</v>
      </c>
      <c r="D104" s="1" t="s">
        <v>614</v>
      </c>
      <c r="E104" s="14">
        <v>-802.3</v>
      </c>
      <c r="F104" s="5" t="s">
        <v>447</v>
      </c>
      <c r="G104" s="2">
        <v>46219</v>
      </c>
      <c r="H104" s="9">
        <v>1170</v>
      </c>
      <c r="I104" s="4"/>
      <c r="J104" s="4" t="s">
        <v>2715</v>
      </c>
      <c r="K104" s="7" t="s">
        <v>2716</v>
      </c>
      <c r="L104" s="1" t="s">
        <v>595</v>
      </c>
      <c r="M104" s="9" t="s">
        <v>335</v>
      </c>
      <c r="N104" s="4" t="str">
        <f>VLOOKUP(H104,Clientes!B:D,3,)</f>
        <v>BGC LIQUIDEZ DTVM LTDA</v>
      </c>
    </row>
    <row r="105" spans="1:14" x14ac:dyDescent="0.25">
      <c r="A105" s="4" t="str">
        <f t="shared" si="1"/>
        <v>DESPESA DE REPRESENTAÇÃO - JANTAR - TRADER - VINICIUS FERREIRA (084254-3998PI)</v>
      </c>
      <c r="B105" s="11">
        <v>46204</v>
      </c>
      <c r="C105" s="4">
        <v>817991</v>
      </c>
      <c r="D105" s="1" t="s">
        <v>772</v>
      </c>
      <c r="E105" s="14">
        <v>-390</v>
      </c>
      <c r="F105" s="5" t="s">
        <v>380</v>
      </c>
      <c r="G105" s="2">
        <v>46219</v>
      </c>
      <c r="H105" s="9">
        <v>79157</v>
      </c>
      <c r="I105" s="4"/>
      <c r="J105" s="4" t="s">
        <v>380</v>
      </c>
      <c r="K105" s="7" t="s">
        <v>2717</v>
      </c>
      <c r="L105" s="1" t="s">
        <v>2069</v>
      </c>
      <c r="M105" s="9" t="s">
        <v>335</v>
      </c>
      <c r="N105" s="4" t="str">
        <f>VLOOKUP(H105,Clientes!B:D,3,)</f>
        <v>BANCO SOCIETE GENERALE BRASIL S/A</v>
      </c>
    </row>
    <row r="106" spans="1:14" x14ac:dyDescent="0.25">
      <c r="A106" s="4" t="str">
        <f t="shared" si="1"/>
        <v>DESPESA DE REPRESENTAÇÃO - UBER - BROKER - JUAREZ JOAQUIM DE LACERDA (EMAIL 04/08/2026)</v>
      </c>
      <c r="B106" s="11">
        <v>46204</v>
      </c>
      <c r="C106" s="4">
        <v>817991</v>
      </c>
      <c r="D106" s="1" t="s">
        <v>614</v>
      </c>
      <c r="E106" s="14">
        <v>-84.91</v>
      </c>
      <c r="F106" s="5" t="s">
        <v>388</v>
      </c>
      <c r="G106" s="2">
        <v>46219</v>
      </c>
      <c r="H106" s="9">
        <v>1170</v>
      </c>
      <c r="I106" s="4"/>
      <c r="J106" s="4" t="s">
        <v>659</v>
      </c>
      <c r="K106" s="7" t="s">
        <v>2802</v>
      </c>
      <c r="L106" s="1" t="s">
        <v>614</v>
      </c>
      <c r="M106" s="9" t="s">
        <v>2</v>
      </c>
      <c r="N106" s="4" t="str">
        <f>VLOOKUP(H106,Clientes!B:D,3,)</f>
        <v>BGC LIQUIDEZ DTVM LTDA</v>
      </c>
    </row>
    <row r="107" spans="1:14" x14ac:dyDescent="0.25">
      <c r="A107" s="4" t="str">
        <f t="shared" si="1"/>
        <v>DESPESA DE REPRESENTAÇÃO - MENSALIDADE DA ASSOCIAÇÃO AO WTC BUSSINESS CLUB - CEO - ERMINIO OLIVI LUCCI (AGENDA 42831)</v>
      </c>
      <c r="B107" s="11">
        <v>46204</v>
      </c>
      <c r="C107" s="4">
        <v>817991</v>
      </c>
      <c r="D107" s="1" t="s">
        <v>650</v>
      </c>
      <c r="E107" s="14">
        <v>-2000</v>
      </c>
      <c r="F107" s="5" t="s">
        <v>389</v>
      </c>
      <c r="G107" s="2">
        <v>46223</v>
      </c>
      <c r="H107" s="9">
        <v>1170</v>
      </c>
      <c r="I107" s="4"/>
      <c r="J107" s="4" t="s">
        <v>507</v>
      </c>
      <c r="K107" s="7" t="s">
        <v>2709</v>
      </c>
      <c r="L107" s="1" t="s">
        <v>650</v>
      </c>
      <c r="M107" s="9" t="s">
        <v>490</v>
      </c>
      <c r="N107" s="4" t="str">
        <f>VLOOKUP(H107,Clientes!B:D,3,)</f>
        <v>BGC LIQUIDEZ DTVM LTDA</v>
      </c>
    </row>
    <row r="108" spans="1:14" x14ac:dyDescent="0.25">
      <c r="A108" s="4" t="str">
        <f t="shared" si="1"/>
        <v>DESPESA DE REPRESENTAÇÃO - HOTEL GRAND BITTAR EM BRASÍLIA  - SALES - MARCELLE DA SILVEIRA GIL CADILHE (AGENDA 42979)</v>
      </c>
      <c r="B108" s="11">
        <v>46204</v>
      </c>
      <c r="C108" s="4">
        <v>817991</v>
      </c>
      <c r="D108" s="1" t="s">
        <v>428</v>
      </c>
      <c r="E108" s="14">
        <v>-481.71</v>
      </c>
      <c r="F108" s="5" t="s">
        <v>422</v>
      </c>
      <c r="G108" s="2">
        <v>46223</v>
      </c>
      <c r="H108" s="9">
        <v>1170</v>
      </c>
      <c r="I108" s="4"/>
      <c r="J108" s="4" t="s">
        <v>2718</v>
      </c>
      <c r="K108" s="7" t="s">
        <v>2719</v>
      </c>
      <c r="L108" s="1" t="s">
        <v>658</v>
      </c>
      <c r="M108" s="9" t="s">
        <v>468</v>
      </c>
      <c r="N108" s="4" t="str">
        <f>VLOOKUP(H108,Clientes!B:D,3,)</f>
        <v>BGC LIQUIDEZ DTVM LTDA</v>
      </c>
    </row>
    <row r="109" spans="1:14" x14ac:dyDescent="0.25">
      <c r="A109" s="4" t="str">
        <f t="shared" si="1"/>
        <v>DESPESA DE REPRESENTAÇÃO - HOTEL RADISSON BLU SÃO PAULO - CONSULTORA - CLAUDIA TAVARES FERNANDES (AGENDA 43037)</v>
      </c>
      <c r="B109" s="11">
        <v>46204</v>
      </c>
      <c r="C109" s="4">
        <v>817991</v>
      </c>
      <c r="D109" s="1" t="s">
        <v>539</v>
      </c>
      <c r="E109" s="14">
        <v>-3285.45</v>
      </c>
      <c r="F109" s="5" t="s">
        <v>422</v>
      </c>
      <c r="G109" s="2">
        <v>46225</v>
      </c>
      <c r="H109" s="9">
        <v>1170</v>
      </c>
      <c r="I109" s="4"/>
      <c r="J109" s="4" t="s">
        <v>1638</v>
      </c>
      <c r="K109" s="7" t="s">
        <v>2725</v>
      </c>
      <c r="L109" s="1" t="s">
        <v>539</v>
      </c>
      <c r="M109" s="9" t="s">
        <v>654</v>
      </c>
      <c r="N109" s="4" t="str">
        <f>VLOOKUP(H109,Clientes!B:D,3,)</f>
        <v>BGC LIQUIDEZ DTVM LTDA</v>
      </c>
    </row>
    <row r="110" spans="1:14" x14ac:dyDescent="0.25">
      <c r="A110" s="4" t="str">
        <f t="shared" si="1"/>
        <v>DESPESA DE REPRESENTAÇÃO - UBER - SALES - MARCELLE DA SILVEIRA GIL CADILHE (EMAIL 04/08/2026)</v>
      </c>
      <c r="B110" s="11">
        <v>46204</v>
      </c>
      <c r="C110" s="4">
        <v>817991</v>
      </c>
      <c r="D110" s="1" t="s">
        <v>428</v>
      </c>
      <c r="E110" s="14">
        <v>-368.47</v>
      </c>
      <c r="F110" s="5" t="s">
        <v>388</v>
      </c>
      <c r="G110" s="2">
        <v>46225</v>
      </c>
      <c r="H110" s="9">
        <v>1170</v>
      </c>
      <c r="I110" s="4"/>
      <c r="J110" s="4" t="s">
        <v>659</v>
      </c>
      <c r="K110" s="7" t="s">
        <v>2802</v>
      </c>
      <c r="L110" s="1" t="s">
        <v>658</v>
      </c>
      <c r="M110" s="9" t="s">
        <v>468</v>
      </c>
      <c r="N110" s="4" t="str">
        <f>VLOOKUP(H110,Clientes!B:D,3,)</f>
        <v>BGC LIQUIDEZ DTVM LTDA</v>
      </c>
    </row>
    <row r="111" spans="1:14" x14ac:dyDescent="0.25">
      <c r="A111" s="4" t="str">
        <f t="shared" si="1"/>
        <v>DESPESA DE REPRESENTAÇÃO - ALMOÇO - TRADER - MATHEUS KWON (172402-3998FB)</v>
      </c>
      <c r="B111" s="11">
        <v>46204</v>
      </c>
      <c r="C111" s="4">
        <v>817991</v>
      </c>
      <c r="D111" s="1" t="s">
        <v>477</v>
      </c>
      <c r="E111" s="14">
        <v>-618.11</v>
      </c>
      <c r="F111" s="5" t="s">
        <v>447</v>
      </c>
      <c r="G111" s="2">
        <v>46226</v>
      </c>
      <c r="H111" s="9">
        <v>12413</v>
      </c>
      <c r="I111" s="4"/>
      <c r="J111" s="4" t="s">
        <v>447</v>
      </c>
      <c r="K111" s="7" t="s">
        <v>2726</v>
      </c>
      <c r="L111" s="1" t="s">
        <v>2543</v>
      </c>
      <c r="M111" s="9" t="s">
        <v>335</v>
      </c>
      <c r="N111" s="4" t="str">
        <f>VLOOKUP(H111,Clientes!B:D,3,)</f>
        <v>KAPITALO INVESTIMENTOS LTDA</v>
      </c>
    </row>
    <row r="112" spans="1:14" x14ac:dyDescent="0.25">
      <c r="A112" s="4" t="str">
        <f t="shared" si="1"/>
        <v>DESPESA DE REPRESENTAÇÃO - ALMOÇO - TRADER - FELIPE OLIVARES (162104-3688FB)</v>
      </c>
      <c r="B112" s="11">
        <v>46204</v>
      </c>
      <c r="C112" s="4">
        <v>817991</v>
      </c>
      <c r="D112" s="1" t="s">
        <v>477</v>
      </c>
      <c r="E112" s="14">
        <v>-904</v>
      </c>
      <c r="F112" s="5" t="s">
        <v>447</v>
      </c>
      <c r="G112" s="2">
        <v>46226</v>
      </c>
      <c r="H112" s="9">
        <v>82639</v>
      </c>
      <c r="I112" s="4"/>
      <c r="J112" s="4" t="s">
        <v>447</v>
      </c>
      <c r="K112" s="7" t="s">
        <v>2928</v>
      </c>
      <c r="L112" s="1" t="s">
        <v>2727</v>
      </c>
      <c r="M112" s="9" t="s">
        <v>335</v>
      </c>
      <c r="N112" s="4" t="str">
        <f>VLOOKUP(H112,Clientes!B:D,3,)</f>
        <v>SAFRA ASSET CORRETORA DE TITULOS E VALORES MOBILIARIOS S.A.</v>
      </c>
    </row>
    <row r="113" spans="1:14" x14ac:dyDescent="0.25">
      <c r="A113" s="4" t="str">
        <f t="shared" si="1"/>
        <v>DESPESA DE REPRESENTAÇÃO - ALMOÇO - GESTOR - DANIEL YUITI (135704-3998JL)</v>
      </c>
      <c r="B113" s="11">
        <v>46204</v>
      </c>
      <c r="C113" s="4">
        <v>817991</v>
      </c>
      <c r="D113" s="1" t="s">
        <v>614</v>
      </c>
      <c r="E113" s="14">
        <v>-1012.94</v>
      </c>
      <c r="F113" s="5" t="s">
        <v>447</v>
      </c>
      <c r="G113" s="2">
        <v>46226</v>
      </c>
      <c r="H113" s="9">
        <v>15781</v>
      </c>
      <c r="I113" s="4"/>
      <c r="J113" s="4" t="s">
        <v>447</v>
      </c>
      <c r="K113" s="7" t="s">
        <v>2728</v>
      </c>
      <c r="L113" s="1" t="s">
        <v>2729</v>
      </c>
      <c r="M113" s="9" t="s">
        <v>598</v>
      </c>
      <c r="N113" s="4" t="str">
        <f>VLOOKUP(H113,Clientes!B:D,3,)</f>
        <v>BANCO SAFRA S/A</v>
      </c>
    </row>
    <row r="114" spans="1:14" x14ac:dyDescent="0.25">
      <c r="A114" s="4" t="str">
        <f t="shared" si="1"/>
        <v>DESPESA DE REPRESENTAÇÃO - ESTACIONAMENTO EM VISITA AO BANESTES - ECONOMISTA - FELIPE DE SA TAVARES (101653-3998JL)</v>
      </c>
      <c r="B114" s="11">
        <v>46204</v>
      </c>
      <c r="C114" s="4">
        <v>817991</v>
      </c>
      <c r="D114" s="1" t="s">
        <v>614</v>
      </c>
      <c r="E114" s="14">
        <v>-70</v>
      </c>
      <c r="F114" s="5" t="s">
        <v>388</v>
      </c>
      <c r="G114" s="2">
        <v>46226</v>
      </c>
      <c r="H114" s="9">
        <v>1170</v>
      </c>
      <c r="I114" s="4"/>
      <c r="J114" s="4" t="s">
        <v>2730</v>
      </c>
      <c r="K114" s="7" t="s">
        <v>2731</v>
      </c>
      <c r="L114" s="1" t="s">
        <v>768</v>
      </c>
      <c r="M114" s="9" t="s">
        <v>551</v>
      </c>
      <c r="N114" s="4" t="str">
        <f>VLOOKUP(H114,Clientes!B:D,3,)</f>
        <v>BGC LIQUIDEZ DTVM LTDA</v>
      </c>
    </row>
    <row r="115" spans="1:14" x14ac:dyDescent="0.25">
      <c r="A115" s="4" t="str">
        <f t="shared" si="1"/>
        <v>DESPESA DE REPRESENTAÇÃO - ALMOÇO COM BANESTES - TRADER - MARCOS AMARAL VARGAS (100739-3998JL)</v>
      </c>
      <c r="B115" s="11">
        <v>46204</v>
      </c>
      <c r="C115" s="4">
        <v>817991</v>
      </c>
      <c r="D115" s="1" t="s">
        <v>614</v>
      </c>
      <c r="E115" s="14">
        <v>-554.4</v>
      </c>
      <c r="F115" s="5" t="s">
        <v>447</v>
      </c>
      <c r="G115" s="2">
        <v>46226</v>
      </c>
      <c r="H115" s="9">
        <v>1170</v>
      </c>
      <c r="I115" s="4"/>
      <c r="J115" s="4" t="s">
        <v>2732</v>
      </c>
      <c r="K115" s="7" t="s">
        <v>2733</v>
      </c>
      <c r="L115" s="1" t="s">
        <v>2734</v>
      </c>
      <c r="M115" s="9" t="s">
        <v>335</v>
      </c>
      <c r="N115" s="4" t="str">
        <f>VLOOKUP(H115,Clientes!B:D,3,)</f>
        <v>BGC LIQUIDEZ DTVM LTDA</v>
      </c>
    </row>
    <row r="116" spans="1:14" x14ac:dyDescent="0.25">
      <c r="A116" s="4" t="str">
        <f t="shared" si="1"/>
        <v>DESPESA DE REPRESENTAÇÃO - CAFÉ DA MANHÃ COM BANESTES - GERENTE  - FLAVIA GOMES (101311-3998JL)</v>
      </c>
      <c r="B116" s="11">
        <v>46204</v>
      </c>
      <c r="C116" s="4">
        <v>817991</v>
      </c>
      <c r="D116" s="1" t="s">
        <v>614</v>
      </c>
      <c r="E116" s="14">
        <v>-144.93</v>
      </c>
      <c r="F116" s="5" t="s">
        <v>771</v>
      </c>
      <c r="G116" s="2">
        <v>46226</v>
      </c>
      <c r="H116" s="9">
        <v>1170</v>
      </c>
      <c r="I116" s="4"/>
      <c r="J116" s="4" t="s">
        <v>2736</v>
      </c>
      <c r="K116" s="7" t="s">
        <v>2735</v>
      </c>
      <c r="L116" s="1" t="s">
        <v>2737</v>
      </c>
      <c r="M116" s="9" t="s">
        <v>2738</v>
      </c>
      <c r="N116" s="4" t="str">
        <f>VLOOKUP(H116,Clientes!B:D,3,)</f>
        <v>BGC LIQUIDEZ DTVM LTDA</v>
      </c>
    </row>
    <row r="117" spans="1:14" x14ac:dyDescent="0.25">
      <c r="A117" s="4" t="str">
        <f t="shared" si="1"/>
        <v>DESPESA DE REPRESENTAÇÃO - ALMOÇO - TRADER - LEONARDO MACHADO (130716-3998MP)</v>
      </c>
      <c r="B117" s="11">
        <v>46204</v>
      </c>
      <c r="C117" s="4">
        <v>817991</v>
      </c>
      <c r="D117" s="1" t="s">
        <v>477</v>
      </c>
      <c r="E117" s="14">
        <v>-187.04</v>
      </c>
      <c r="F117" s="5" t="s">
        <v>447</v>
      </c>
      <c r="G117" s="2">
        <v>46226</v>
      </c>
      <c r="H117" s="9">
        <v>80111</v>
      </c>
      <c r="I117" s="4"/>
      <c r="J117" s="4" t="s">
        <v>447</v>
      </c>
      <c r="K117" s="7" t="s">
        <v>2739</v>
      </c>
      <c r="L117" s="1" t="s">
        <v>499</v>
      </c>
      <c r="M117" s="9" t="s">
        <v>335</v>
      </c>
      <c r="N117" s="4" t="str">
        <f>VLOOKUP(H117,Clientes!B:D,3,)</f>
        <v>IBIUNA GESTAO DE RECURSOS LTDA</v>
      </c>
    </row>
    <row r="118" spans="1:14" x14ac:dyDescent="0.25">
      <c r="A118" s="4" t="str">
        <f t="shared" si="1"/>
        <v>DESPESA DE REPRESENTAÇÃO - ALMOÇO - TRADER - MAURO OKUMA LACERDA (175940-3998EA)</v>
      </c>
      <c r="B118" s="11">
        <v>46204</v>
      </c>
      <c r="C118" s="4">
        <v>817991</v>
      </c>
      <c r="D118" s="1" t="s">
        <v>653</v>
      </c>
      <c r="E118" s="14">
        <v>-1198.93</v>
      </c>
      <c r="F118" s="5" t="s">
        <v>447</v>
      </c>
      <c r="G118" s="2">
        <v>46226</v>
      </c>
      <c r="H118" s="9">
        <v>12413</v>
      </c>
      <c r="I118" s="4"/>
      <c r="J118" s="4" t="s">
        <v>447</v>
      </c>
      <c r="K118" s="7" t="s">
        <v>2740</v>
      </c>
      <c r="L118" s="1" t="s">
        <v>780</v>
      </c>
      <c r="M118" s="9" t="s">
        <v>335</v>
      </c>
      <c r="N118" s="4" t="str">
        <f>VLOOKUP(H118,Clientes!B:D,3,)</f>
        <v>KAPITALO INVESTIMENTOS LTDA</v>
      </c>
    </row>
    <row r="119" spans="1:14" x14ac:dyDescent="0.25">
      <c r="A119" s="4" t="str">
        <f t="shared" si="1"/>
        <v>DESPESA DE REPRESENTAÇÃO - ALMOÇO - TRADER - VAGNER ENRICO CASTILHO ALVES (143226-3998EA)</v>
      </c>
      <c r="B119" s="11">
        <v>46204</v>
      </c>
      <c r="C119" s="4">
        <v>817991</v>
      </c>
      <c r="D119" s="1" t="s">
        <v>653</v>
      </c>
      <c r="E119" s="14">
        <v>-474.23</v>
      </c>
      <c r="F119" s="5" t="s">
        <v>447</v>
      </c>
      <c r="G119" s="2">
        <v>46226</v>
      </c>
      <c r="H119" s="9">
        <v>16705</v>
      </c>
      <c r="I119" s="4"/>
      <c r="J119" s="4" t="s">
        <v>447</v>
      </c>
      <c r="K119" s="7" t="s">
        <v>2741</v>
      </c>
      <c r="L119" s="1" t="s">
        <v>2541</v>
      </c>
      <c r="M119" s="9" t="s">
        <v>335</v>
      </c>
      <c r="N119" s="4" t="str">
        <f>VLOOKUP(H119,Clientes!B:D,3,)</f>
        <v>BANCO BRADESCO S/A</v>
      </c>
    </row>
    <row r="120" spans="1:14" x14ac:dyDescent="0.25">
      <c r="A120" s="4" t="str">
        <f t="shared" si="1"/>
        <v>DESPESA DE REPRESENTAÇÃO - ALMOÇO - TRADER - RODRIGO NASCIMENTO (174846-3998AV)</v>
      </c>
      <c r="B120" s="11">
        <v>46204</v>
      </c>
      <c r="C120" s="4">
        <v>817991</v>
      </c>
      <c r="D120" s="1" t="s">
        <v>23</v>
      </c>
      <c r="E120" s="14">
        <v>-1192</v>
      </c>
      <c r="F120" s="5" t="s">
        <v>447</v>
      </c>
      <c r="G120" s="2">
        <v>46226</v>
      </c>
      <c r="H120" s="9">
        <v>80828</v>
      </c>
      <c r="I120" s="4"/>
      <c r="J120" s="4" t="s">
        <v>447</v>
      </c>
      <c r="K120" s="7" t="s">
        <v>2742</v>
      </c>
      <c r="L120" s="1" t="s">
        <v>2743</v>
      </c>
      <c r="M120" s="9" t="s">
        <v>335</v>
      </c>
      <c r="N120" s="4" t="str">
        <f>VLOOKUP(H120,Clientes!B:D,3,)</f>
        <v>CAPSTONE PARTNERS GESTAO DE RECURSOS LTDA</v>
      </c>
    </row>
    <row r="121" spans="1:14" x14ac:dyDescent="0.25">
      <c r="A121" s="4" t="str">
        <f t="shared" si="1"/>
        <v>DESPESA DE REPRESENTAÇÃO - ALMOÇO - TRADER - THIAGO DIAS MARINHEIRO (174507-3998AV)</v>
      </c>
      <c r="B121" s="11">
        <v>46204</v>
      </c>
      <c r="C121" s="4">
        <v>817991</v>
      </c>
      <c r="D121" s="1" t="s">
        <v>23</v>
      </c>
      <c r="E121" s="14">
        <v>-928</v>
      </c>
      <c r="F121" s="5" t="s">
        <v>447</v>
      </c>
      <c r="G121" s="2">
        <v>46226</v>
      </c>
      <c r="H121" s="9">
        <v>81259</v>
      </c>
      <c r="I121" s="4"/>
      <c r="J121" s="4" t="s">
        <v>447</v>
      </c>
      <c r="K121" s="7" t="s">
        <v>2744</v>
      </c>
      <c r="L121" s="1" t="s">
        <v>735</v>
      </c>
      <c r="M121" s="9" t="s">
        <v>335</v>
      </c>
      <c r="N121" s="4" t="str">
        <f>VLOOKUP(H121,Clientes!B:D,3,)</f>
        <v>GOLDMAN SACHS DO BRASIL BANCO MULTIPLO S/A</v>
      </c>
    </row>
    <row r="122" spans="1:14" x14ac:dyDescent="0.25">
      <c r="A122" s="4" t="str">
        <f t="shared" si="1"/>
        <v>DESPESA DE REPRESENTAÇÃO - ALMOÇO - TRADER - VINICIUS FERREIRA (083956-3998PI)</v>
      </c>
      <c r="B122" s="11">
        <v>46204</v>
      </c>
      <c r="C122" s="4">
        <v>817991</v>
      </c>
      <c r="D122" s="1" t="s">
        <v>772</v>
      </c>
      <c r="E122" s="14">
        <v>-4522</v>
      </c>
      <c r="F122" s="5" t="s">
        <v>447</v>
      </c>
      <c r="G122" s="2">
        <v>46226</v>
      </c>
      <c r="H122" s="9">
        <v>79157</v>
      </c>
      <c r="I122" s="4"/>
      <c r="J122" s="4" t="s">
        <v>447</v>
      </c>
      <c r="K122" s="7" t="s">
        <v>2745</v>
      </c>
      <c r="L122" s="1" t="s">
        <v>2069</v>
      </c>
      <c r="M122" s="9" t="s">
        <v>335</v>
      </c>
      <c r="N122" s="4" t="str">
        <f>VLOOKUP(H122,Clientes!B:D,3,)</f>
        <v>BANCO SOCIETE GENERALE BRASIL S/A</v>
      </c>
    </row>
    <row r="123" spans="1:14" x14ac:dyDescent="0.25">
      <c r="A123" s="4" t="str">
        <f t="shared" si="1"/>
        <v>DESPESA DE REPRESENTAÇÃO - JANTAR - TRADER - CESAR KENZO NAKAGAWA KIMURA (180135-3998FP)</v>
      </c>
      <c r="B123" s="11">
        <v>46204</v>
      </c>
      <c r="C123" s="4">
        <v>817991</v>
      </c>
      <c r="D123" s="1" t="s">
        <v>503</v>
      </c>
      <c r="E123" s="14">
        <v>-1537.93</v>
      </c>
      <c r="F123" s="5" t="s">
        <v>380</v>
      </c>
      <c r="G123" s="2">
        <v>46226</v>
      </c>
      <c r="H123" s="9">
        <v>81771</v>
      </c>
      <c r="I123" s="4"/>
      <c r="J123" s="4" t="s">
        <v>380</v>
      </c>
      <c r="K123" s="7" t="s">
        <v>2746</v>
      </c>
      <c r="L123" s="1" t="s">
        <v>2067</v>
      </c>
      <c r="M123" s="9" t="s">
        <v>335</v>
      </c>
      <c r="N123" s="4" t="str">
        <f>VLOOKUP(H123,Clientes!B:D,3,)</f>
        <v>BANCO JP MORGAN S/A</v>
      </c>
    </row>
    <row r="124" spans="1:14" x14ac:dyDescent="0.25">
      <c r="A124" s="4" t="str">
        <f t="shared" si="1"/>
        <v>DESPESA DE REPRESENTAÇÃO - ALMOÇO - TRADER - GABRIEL DINI PECOLI (151500-3998JV)</v>
      </c>
      <c r="B124" s="11">
        <v>46204</v>
      </c>
      <c r="C124" s="4">
        <v>817991</v>
      </c>
      <c r="D124" s="1" t="s">
        <v>459</v>
      </c>
      <c r="E124" s="14">
        <v>-1220.4000000000001</v>
      </c>
      <c r="F124" s="5" t="s">
        <v>447</v>
      </c>
      <c r="G124" s="2">
        <v>46226</v>
      </c>
      <c r="H124" s="9">
        <v>80064</v>
      </c>
      <c r="I124" s="4"/>
      <c r="J124" s="4" t="s">
        <v>447</v>
      </c>
      <c r="K124" s="7" t="s">
        <v>2747</v>
      </c>
      <c r="L124" s="1" t="s">
        <v>2004</v>
      </c>
      <c r="M124" s="9" t="s">
        <v>335</v>
      </c>
      <c r="N124" s="4" t="str">
        <f>VLOOKUP(H124,Clientes!B:D,3,)</f>
        <v>MORGAN STANLEY ADMINISTRADORA DE CARTEIRAS S/A</v>
      </c>
    </row>
    <row r="125" spans="1:14" x14ac:dyDescent="0.25">
      <c r="A125" s="4" t="str">
        <f t="shared" si="1"/>
        <v>DESPESA DE REPRESENTAÇÃO - ALMOÇO - TRADER - GUILHERME PACHECO (135956-3998AC)</v>
      </c>
      <c r="B125" s="11">
        <v>46204</v>
      </c>
      <c r="C125" s="4">
        <v>817991</v>
      </c>
      <c r="D125" s="1" t="s">
        <v>331</v>
      </c>
      <c r="E125" s="14">
        <v>-969.24</v>
      </c>
      <c r="F125" s="5" t="s">
        <v>447</v>
      </c>
      <c r="G125" s="2">
        <v>46226</v>
      </c>
      <c r="H125" s="9">
        <v>15781</v>
      </c>
      <c r="I125" s="4"/>
      <c r="J125" s="4" t="s">
        <v>447</v>
      </c>
      <c r="K125" s="7" t="s">
        <v>2748</v>
      </c>
      <c r="L125" s="1" t="s">
        <v>949</v>
      </c>
      <c r="M125" s="9" t="s">
        <v>335</v>
      </c>
      <c r="N125" s="4" t="str">
        <f>VLOOKUP(H125,Clientes!B:D,3,)</f>
        <v>BANCO SAFRA S/A</v>
      </c>
    </row>
    <row r="126" spans="1:14" x14ac:dyDescent="0.25">
      <c r="A126" s="4" t="str">
        <f t="shared" si="1"/>
        <v>DESPESA DE REPRESENTAÇÃO - JANTAR - TRADER - FILIPE L SALGADO FERREIRA (124306-3998CB)</v>
      </c>
      <c r="B126" s="11">
        <v>46204</v>
      </c>
      <c r="C126" s="4">
        <v>817991</v>
      </c>
      <c r="D126" s="1" t="s">
        <v>132</v>
      </c>
      <c r="E126" s="14">
        <v>-904</v>
      </c>
      <c r="F126" s="5" t="s">
        <v>380</v>
      </c>
      <c r="G126" s="2">
        <v>46226</v>
      </c>
      <c r="H126" s="9">
        <v>79460</v>
      </c>
      <c r="I126" s="4"/>
      <c r="J126" s="4" t="s">
        <v>380</v>
      </c>
      <c r="K126" s="7" t="s">
        <v>2749</v>
      </c>
      <c r="L126" s="1" t="s">
        <v>2474</v>
      </c>
      <c r="M126" s="9" t="s">
        <v>335</v>
      </c>
      <c r="N126" s="4" t="str">
        <f>VLOOKUP(H126,Clientes!B:D,3,)</f>
        <v>ITAU UNIBANCO S/A</v>
      </c>
    </row>
    <row r="127" spans="1:14" x14ac:dyDescent="0.25">
      <c r="A127" s="4" t="str">
        <f t="shared" si="1"/>
        <v>DESPESA DE REPRESENTAÇÃO - JANTAR - TRADER - VITOR BALBACHEVSKY (155122-3998MP)</v>
      </c>
      <c r="B127" s="11">
        <v>46204</v>
      </c>
      <c r="C127" s="4">
        <v>817991</v>
      </c>
      <c r="D127" s="1" t="s">
        <v>477</v>
      </c>
      <c r="E127" s="14">
        <v>-1838.51</v>
      </c>
      <c r="F127" s="5" t="s">
        <v>380</v>
      </c>
      <c r="G127" s="2">
        <v>46226</v>
      </c>
      <c r="H127" s="9">
        <v>83043</v>
      </c>
      <c r="I127" s="4"/>
      <c r="J127" s="4" t="s">
        <v>380</v>
      </c>
      <c r="K127" s="7" t="s">
        <v>2750</v>
      </c>
      <c r="L127" s="1" t="s">
        <v>1217</v>
      </c>
      <c r="M127" s="9" t="s">
        <v>335</v>
      </c>
      <c r="N127" s="4" t="str">
        <f>VLOOKUP(H127,Clientes!B:D,3,)</f>
        <v>BANCO MORGAN STANLEY S/A</v>
      </c>
    </row>
    <row r="128" spans="1:14" x14ac:dyDescent="0.25">
      <c r="A128" s="4" t="str">
        <f t="shared" si="1"/>
        <v>DESPESA DE REPRESENTAÇÃO - JANTAR - TRADER - GABRIEL PEREIRA BAPTISTELA (113103-3998RP)</v>
      </c>
      <c r="B128" s="11">
        <v>46204</v>
      </c>
      <c r="C128" s="4">
        <v>817991</v>
      </c>
      <c r="D128" s="1" t="s">
        <v>482</v>
      </c>
      <c r="E128" s="14">
        <v>-1990</v>
      </c>
      <c r="F128" s="5" t="s">
        <v>380</v>
      </c>
      <c r="G128" s="2">
        <v>46226</v>
      </c>
      <c r="H128" s="9">
        <v>95014</v>
      </c>
      <c r="I128" s="4"/>
      <c r="J128" s="4" t="s">
        <v>380</v>
      </c>
      <c r="K128" s="7" t="s">
        <v>2751</v>
      </c>
      <c r="L128" s="1" t="s">
        <v>275</v>
      </c>
      <c r="M128" s="9" t="s">
        <v>335</v>
      </c>
      <c r="N128" s="4" t="str">
        <f>VLOOKUP(H128,Clientes!B:D,3,)</f>
        <v>BANCO BNP PARIBAS BRASIL S/A</v>
      </c>
    </row>
    <row r="129" spans="1:14" x14ac:dyDescent="0.25">
      <c r="A129" s="4" t="str">
        <f t="shared" si="1"/>
        <v>DESPESA DE REPRESENTAÇÃO - ALMOÇO - GESTOR - ANDRE PIMENTEL (151426-3998AS)</v>
      </c>
      <c r="B129" s="11">
        <v>46204</v>
      </c>
      <c r="C129" s="4">
        <v>817991</v>
      </c>
      <c r="D129" s="1" t="s">
        <v>449</v>
      </c>
      <c r="E129" s="14">
        <v>-1768</v>
      </c>
      <c r="F129" s="5" t="s">
        <v>447</v>
      </c>
      <c r="G129" s="2">
        <v>46226</v>
      </c>
      <c r="H129" s="9">
        <v>80691</v>
      </c>
      <c r="I129" s="4"/>
      <c r="J129" s="4" t="s">
        <v>447</v>
      </c>
      <c r="K129" s="7" t="s">
        <v>2752</v>
      </c>
      <c r="L129" s="1" t="s">
        <v>925</v>
      </c>
      <c r="M129" s="9" t="s">
        <v>598</v>
      </c>
      <c r="N129" s="4" t="str">
        <f>VLOOKUP(H129,Clientes!B:D,3,)</f>
        <v>UJAY CAPITAL INVESTIMENTOS LTDA</v>
      </c>
    </row>
    <row r="130" spans="1:14" x14ac:dyDescent="0.25">
      <c r="A130" s="4" t="str">
        <f t="shared" si="1"/>
        <v>DESPESA DE REPRESENTAÇÃO - ALMOÇO - TRADER - ANDRE ALBUQUERQUE BAUM (145718-3998FB)</v>
      </c>
      <c r="B130" s="11">
        <v>46204</v>
      </c>
      <c r="C130" s="4">
        <v>817991</v>
      </c>
      <c r="D130" s="1" t="s">
        <v>475</v>
      </c>
      <c r="E130" s="14">
        <v>-433.92</v>
      </c>
      <c r="F130" s="5" t="s">
        <v>447</v>
      </c>
      <c r="G130" s="2">
        <v>46226</v>
      </c>
      <c r="H130" s="9">
        <v>12413</v>
      </c>
      <c r="I130" s="4"/>
      <c r="J130" s="4" t="s">
        <v>447</v>
      </c>
      <c r="K130" s="7" t="s">
        <v>2753</v>
      </c>
      <c r="L130" s="1" t="s">
        <v>473</v>
      </c>
      <c r="M130" s="9" t="s">
        <v>335</v>
      </c>
      <c r="N130" s="4" t="str">
        <f>VLOOKUP(H130,Clientes!B:D,3,)</f>
        <v>KAPITALO INVESTIMENTOS LTDA</v>
      </c>
    </row>
    <row r="131" spans="1:14" x14ac:dyDescent="0.25">
      <c r="A131" s="4" t="str">
        <f t="shared" ref="A131:A161" si="2">CONCATENATE($J$1,J131,$I$3,M131,$I$3,L131,$I$1,K131,$I$2)</f>
        <v>DESPESA DE REPRESENTAÇÃO - ALMOÇO - TRADER - ANDRE ALBUQUERQUE BAUM (145718-3998FB)</v>
      </c>
      <c r="B131" s="11">
        <v>46204</v>
      </c>
      <c r="C131" s="4">
        <v>817991</v>
      </c>
      <c r="D131" s="1" t="s">
        <v>632</v>
      </c>
      <c r="E131" s="14">
        <v>-433.92</v>
      </c>
      <c r="F131" s="5" t="s">
        <v>447</v>
      </c>
      <c r="G131" s="2">
        <v>46226</v>
      </c>
      <c r="H131" s="9">
        <v>12413</v>
      </c>
      <c r="I131" s="4"/>
      <c r="J131" s="4" t="s">
        <v>447</v>
      </c>
      <c r="K131" s="7" t="s">
        <v>2753</v>
      </c>
      <c r="L131" s="1" t="s">
        <v>473</v>
      </c>
      <c r="M131" s="9" t="s">
        <v>335</v>
      </c>
      <c r="N131" s="4" t="str">
        <f>VLOOKUP(H131,Clientes!B:D,3,)</f>
        <v>KAPITALO INVESTIMENTOS LTDA</v>
      </c>
    </row>
    <row r="132" spans="1:14" x14ac:dyDescent="0.25">
      <c r="A132" s="4" t="str">
        <f t="shared" si="2"/>
        <v>DESPESA DE REPRESENTAÇÃO - ALMOÇO - TRADER - FERNANDO SCARPA R LEITE (104527-3998FR)</v>
      </c>
      <c r="B132" s="11">
        <v>46204</v>
      </c>
      <c r="C132" s="4">
        <v>817991</v>
      </c>
      <c r="D132" s="1" t="s">
        <v>632</v>
      </c>
      <c r="E132" s="14">
        <v>-791.5</v>
      </c>
      <c r="F132" s="5" t="s">
        <v>447</v>
      </c>
      <c r="G132" s="2">
        <v>46226</v>
      </c>
      <c r="H132" s="9">
        <v>80375</v>
      </c>
      <c r="I132" s="4"/>
      <c r="J132" s="4" t="s">
        <v>447</v>
      </c>
      <c r="K132" s="7" t="s">
        <v>2754</v>
      </c>
      <c r="L132" s="1" t="s">
        <v>630</v>
      </c>
      <c r="M132" s="9" t="s">
        <v>335</v>
      </c>
      <c r="N132" s="4" t="str">
        <f>VLOOKUP(H132,Clientes!B:D,3,)</f>
        <v>ITAU UNIBANCO S/A</v>
      </c>
    </row>
    <row r="133" spans="1:14" x14ac:dyDescent="0.25">
      <c r="A133" s="4" t="str">
        <f t="shared" si="2"/>
        <v>DESPESA DE REPRESENTAÇÃO - JANTAR - TRADER - BERNARDO MACHADO URBAN (110455-3998FC)</v>
      </c>
      <c r="B133" s="11">
        <v>46204</v>
      </c>
      <c r="C133" s="4">
        <v>817991</v>
      </c>
      <c r="D133" s="1" t="s">
        <v>480</v>
      </c>
      <c r="E133" s="14">
        <v>-837.33</v>
      </c>
      <c r="F133" s="5" t="s">
        <v>380</v>
      </c>
      <c r="G133" s="2">
        <v>46226</v>
      </c>
      <c r="H133" s="9">
        <v>79449</v>
      </c>
      <c r="I133" s="4"/>
      <c r="J133" s="4" t="s">
        <v>380</v>
      </c>
      <c r="K133" s="7" t="s">
        <v>2755</v>
      </c>
      <c r="L133" s="1" t="s">
        <v>1819</v>
      </c>
      <c r="M133" s="9" t="s">
        <v>335</v>
      </c>
      <c r="N133" s="4" t="str">
        <f>VLOOKUP(H133,Clientes!B:D,3,)</f>
        <v>BANCO CREDIT AGRICOLE BRASIL S/A</v>
      </c>
    </row>
    <row r="134" spans="1:14" x14ac:dyDescent="0.25">
      <c r="A134" s="4" t="str">
        <f t="shared" si="2"/>
        <v>DESPESA DE REPRESENTAÇÃO - HAPPY HOUR - TRADER - CAIO TADAYOSHI SATO (094351-3998AA)</v>
      </c>
      <c r="B134" s="11">
        <v>46204</v>
      </c>
      <c r="C134" s="4">
        <v>817991</v>
      </c>
      <c r="D134" s="1" t="s">
        <v>379</v>
      </c>
      <c r="E134" s="14">
        <v>-2200.34</v>
      </c>
      <c r="F134" s="5" t="s">
        <v>387</v>
      </c>
      <c r="G134" s="2">
        <v>46226</v>
      </c>
      <c r="H134" s="9">
        <v>81259</v>
      </c>
      <c r="I134" s="4"/>
      <c r="J134" s="4" t="s">
        <v>485</v>
      </c>
      <c r="K134" s="7" t="s">
        <v>2756</v>
      </c>
      <c r="L134" s="1" t="s">
        <v>1516</v>
      </c>
      <c r="M134" s="9" t="s">
        <v>335</v>
      </c>
      <c r="N134" s="4" t="str">
        <f>VLOOKUP(H134,Clientes!B:D,3,)</f>
        <v>GOLDMAN SACHS DO BRASIL BANCO MULTIPLO S/A</v>
      </c>
    </row>
    <row r="135" spans="1:14" x14ac:dyDescent="0.25">
      <c r="A135" s="4" t="str">
        <f t="shared" si="2"/>
        <v>DESPESA DE REPRESENTAÇÃO - HAPPY HOUR - TRADER - CAIO TADAYOSHI SATO (094351-3998AA)</v>
      </c>
      <c r="B135" s="11">
        <v>46204</v>
      </c>
      <c r="C135" s="4">
        <v>817991</v>
      </c>
      <c r="D135" s="1" t="s">
        <v>480</v>
      </c>
      <c r="E135" s="14">
        <v>-2200.33</v>
      </c>
      <c r="F135" s="5" t="s">
        <v>387</v>
      </c>
      <c r="G135" s="2">
        <v>46226</v>
      </c>
      <c r="H135" s="9">
        <v>81259</v>
      </c>
      <c r="I135" s="4"/>
      <c r="J135" s="4" t="s">
        <v>485</v>
      </c>
      <c r="K135" s="7" t="s">
        <v>2756</v>
      </c>
      <c r="L135" s="1" t="s">
        <v>1516</v>
      </c>
      <c r="M135" s="9" t="s">
        <v>335</v>
      </c>
      <c r="N135" s="4" t="str">
        <f>VLOOKUP(H135,Clientes!B:D,3,)</f>
        <v>GOLDMAN SACHS DO BRASIL BANCO MULTIPLO S/A</v>
      </c>
    </row>
    <row r="136" spans="1:14" x14ac:dyDescent="0.25">
      <c r="A136" s="4" t="str">
        <f t="shared" si="2"/>
        <v>DESPESA DE REPRESENTAÇÃO - HAPPY HOUR - TRADER - CAIO TADAYOSHI SATO (094351-3998AA)</v>
      </c>
      <c r="B136" s="11">
        <v>46204</v>
      </c>
      <c r="C136" s="4">
        <v>817991</v>
      </c>
      <c r="D136" s="1" t="s">
        <v>516</v>
      </c>
      <c r="E136" s="14">
        <v>-2200.33</v>
      </c>
      <c r="F136" s="5" t="s">
        <v>387</v>
      </c>
      <c r="G136" s="2">
        <v>46226</v>
      </c>
      <c r="H136" s="9">
        <v>81259</v>
      </c>
      <c r="I136" s="4"/>
      <c r="J136" s="4" t="s">
        <v>485</v>
      </c>
      <c r="K136" s="7" t="s">
        <v>2756</v>
      </c>
      <c r="L136" s="1" t="s">
        <v>1516</v>
      </c>
      <c r="M136" s="9" t="s">
        <v>335</v>
      </c>
      <c r="N136" s="4" t="str">
        <f>VLOOKUP(H136,Clientes!B:D,3,)</f>
        <v>GOLDMAN SACHS DO BRASIL BANCO MULTIPLO S/A</v>
      </c>
    </row>
    <row r="137" spans="1:14" x14ac:dyDescent="0.25">
      <c r="A137" s="4" t="str">
        <f t="shared" si="2"/>
        <v>DESPESA DE REPRESENTAÇÃO - CAFÉS DA MANHÃS/ALMOÇOS COM FENICS MARKET DATA - SALES - ROBERT HENDRIK SCHARRINGA (102700-3998RS)</v>
      </c>
      <c r="B137" s="11">
        <v>46204</v>
      </c>
      <c r="C137" s="4">
        <v>817991</v>
      </c>
      <c r="D137" s="1" t="s">
        <v>769</v>
      </c>
      <c r="E137" s="14">
        <v>-1524.85</v>
      </c>
      <c r="F137" s="5" t="s">
        <v>387</v>
      </c>
      <c r="G137" s="2">
        <v>46226</v>
      </c>
      <c r="H137" s="9">
        <v>1170</v>
      </c>
      <c r="I137" s="4"/>
      <c r="J137" s="4" t="s">
        <v>2757</v>
      </c>
      <c r="K137" s="7" t="s">
        <v>2758</v>
      </c>
      <c r="L137" s="1" t="s">
        <v>769</v>
      </c>
      <c r="M137" s="9" t="s">
        <v>468</v>
      </c>
      <c r="N137" s="4" t="str">
        <f>VLOOKUP(H137,Clientes!B:D,3,)</f>
        <v>BGC LIQUIDEZ DTVM LTDA</v>
      </c>
    </row>
    <row r="138" spans="1:14" x14ac:dyDescent="0.25">
      <c r="A138" s="4" t="str">
        <f t="shared" si="2"/>
        <v>DESPESA DE REPRESENTAÇÃO - ALMOÇO - TRADER - LEONARDO PEIXOTO MACEDO (143829-3998AM)</v>
      </c>
      <c r="B138" s="11">
        <v>46204</v>
      </c>
      <c r="C138" s="4">
        <v>817991</v>
      </c>
      <c r="D138" s="1" t="s">
        <v>626</v>
      </c>
      <c r="E138" s="14">
        <v>-1023.78</v>
      </c>
      <c r="F138" s="5" t="s">
        <v>447</v>
      </c>
      <c r="G138" s="2">
        <v>46226</v>
      </c>
      <c r="H138" s="9">
        <v>80883</v>
      </c>
      <c r="I138" s="4"/>
      <c r="J138" s="4" t="s">
        <v>447</v>
      </c>
      <c r="K138" s="7" t="s">
        <v>2759</v>
      </c>
      <c r="L138" s="1" t="s">
        <v>1428</v>
      </c>
      <c r="M138" s="9" t="s">
        <v>335</v>
      </c>
      <c r="N138" s="4" t="str">
        <f>VLOOKUP(H138,Clientes!B:D,3,)</f>
        <v>GENOA CAPITAL GESTORA DE RECURSOS LTDA</v>
      </c>
    </row>
    <row r="139" spans="1:14" x14ac:dyDescent="0.25">
      <c r="A139" s="4" t="str">
        <f t="shared" si="2"/>
        <v>DESPESA DE REPRESENTAÇÃO - ALMOÇO - TRADER - LUCAS MAGDALENA G FATORI (151805-3998AM)</v>
      </c>
      <c r="B139" s="11">
        <v>46204</v>
      </c>
      <c r="C139" s="4">
        <v>817991</v>
      </c>
      <c r="D139" s="1" t="s">
        <v>626</v>
      </c>
      <c r="E139" s="14">
        <v>-763</v>
      </c>
      <c r="F139" s="5" t="s">
        <v>447</v>
      </c>
      <c r="G139" s="2">
        <v>46226</v>
      </c>
      <c r="H139" s="9">
        <v>82467</v>
      </c>
      <c r="I139" s="4"/>
      <c r="J139" s="4" t="s">
        <v>447</v>
      </c>
      <c r="K139" s="7" t="s">
        <v>2760</v>
      </c>
      <c r="L139" s="1" t="s">
        <v>2761</v>
      </c>
      <c r="M139" s="9" t="s">
        <v>335</v>
      </c>
      <c r="N139" s="4" t="str">
        <f>VLOOKUP(H139,Clientes!B:D,3,)</f>
        <v>BRAM - BRADESCO ASSET MANAGEMENT S/A DTVM</v>
      </c>
    </row>
    <row r="140" spans="1:14" x14ac:dyDescent="0.25">
      <c r="A140" s="4" t="str">
        <f t="shared" si="2"/>
        <v>DESPESA DE REPRESENTAÇÃO - ALMOÇO - TRADER - BRUNO BERNARDES (151948-3998AM)</v>
      </c>
      <c r="B140" s="11">
        <v>46204</v>
      </c>
      <c r="C140" s="4">
        <v>817991</v>
      </c>
      <c r="D140" s="1" t="s">
        <v>626</v>
      </c>
      <c r="E140" s="14">
        <v>-503.64</v>
      </c>
      <c r="F140" s="5" t="s">
        <v>447</v>
      </c>
      <c r="G140" s="2">
        <v>46226</v>
      </c>
      <c r="H140" s="9">
        <v>80195</v>
      </c>
      <c r="I140" s="4"/>
      <c r="J140" s="4" t="s">
        <v>447</v>
      </c>
      <c r="K140" s="7" t="s">
        <v>2762</v>
      </c>
      <c r="L140" s="1" t="s">
        <v>197</v>
      </c>
      <c r="M140" s="9" t="s">
        <v>335</v>
      </c>
      <c r="N140" s="4" t="str">
        <f>VLOOKUP(H140,Clientes!B:D,3,)</f>
        <v>BANCO SANTANDER S/A (HISPANO)</v>
      </c>
    </row>
    <row r="141" spans="1:14" x14ac:dyDescent="0.25">
      <c r="A141" s="4" t="str">
        <f t="shared" si="2"/>
        <v>DESPESA DE REPRESENTAÇÃO - ALMOÇO - TRADER - LUCAS MAGDALENA G FATORI (145909-3998AM)</v>
      </c>
      <c r="B141" s="11">
        <v>46204</v>
      </c>
      <c r="C141" s="4">
        <v>817991</v>
      </c>
      <c r="D141" s="1" t="s">
        <v>626</v>
      </c>
      <c r="E141" s="14">
        <v>-1029.43</v>
      </c>
      <c r="F141" s="5" t="s">
        <v>447</v>
      </c>
      <c r="G141" s="2">
        <v>46226</v>
      </c>
      <c r="H141" s="9">
        <v>82467</v>
      </c>
      <c r="I141" s="4"/>
      <c r="J141" s="4" t="s">
        <v>447</v>
      </c>
      <c r="K141" s="7" t="s">
        <v>2763</v>
      </c>
      <c r="L141" s="1" t="s">
        <v>2761</v>
      </c>
      <c r="M141" s="9" t="s">
        <v>335</v>
      </c>
      <c r="N141" s="4" t="str">
        <f>VLOOKUP(H141,Clientes!B:D,3,)</f>
        <v>BRAM - BRADESCO ASSET MANAGEMENT S/A DTVM</v>
      </c>
    </row>
    <row r="142" spans="1:14" x14ac:dyDescent="0.25">
      <c r="A142" s="4" t="str">
        <f t="shared" si="2"/>
        <v>DESPESA DE REPRESENTAÇÃO - CONDOMINIO E IPTU - FLAT - BROKER - PAULO GUILHERME MENEZES FELIX (AGENDA 42449)</v>
      </c>
      <c r="B142" s="11">
        <v>46204</v>
      </c>
      <c r="C142" s="4">
        <v>817991</v>
      </c>
      <c r="D142" s="1" t="s">
        <v>424</v>
      </c>
      <c r="E142" s="14">
        <v>-4244.83</v>
      </c>
      <c r="F142" s="5" t="s">
        <v>422</v>
      </c>
      <c r="G142" s="2">
        <v>46227</v>
      </c>
      <c r="H142" s="9">
        <v>1170</v>
      </c>
      <c r="I142" s="4"/>
      <c r="J142" s="4" t="s">
        <v>429</v>
      </c>
      <c r="K142" s="7" t="s">
        <v>2776</v>
      </c>
      <c r="L142" s="1" t="s">
        <v>424</v>
      </c>
      <c r="M142" s="9" t="s">
        <v>2</v>
      </c>
      <c r="N142" s="4" t="str">
        <f>VLOOKUP(H142,Clientes!B:D,3,)</f>
        <v>BGC LIQUIDEZ DTVM LTDA</v>
      </c>
    </row>
    <row r="143" spans="1:14" x14ac:dyDescent="0.25">
      <c r="A143" s="4" t="str">
        <f t="shared" si="2"/>
        <v>DESPESA DE REPRESENTAÇÃO - ALUGUEL FLAT  - BROKER - PAULO GUILHERME MENEZES FELIX (AGENDA 42448)</v>
      </c>
      <c r="B143" s="11">
        <v>46204</v>
      </c>
      <c r="C143" s="4">
        <v>817991</v>
      </c>
      <c r="D143" s="1" t="s">
        <v>424</v>
      </c>
      <c r="E143" s="14">
        <v>-977.17</v>
      </c>
      <c r="F143" s="5" t="s">
        <v>422</v>
      </c>
      <c r="G143" s="2">
        <v>46227</v>
      </c>
      <c r="H143" s="9">
        <v>1170</v>
      </c>
      <c r="I143" s="4"/>
      <c r="J143" s="4" t="s">
        <v>425</v>
      </c>
      <c r="K143" s="7" t="s">
        <v>2777</v>
      </c>
      <c r="L143" s="1" t="s">
        <v>424</v>
      </c>
      <c r="M143" s="9" t="s">
        <v>2</v>
      </c>
      <c r="N143" s="4" t="str">
        <f>VLOOKUP(H143,Clientes!B:D,3,)</f>
        <v>BGC LIQUIDEZ DTVM LTDA</v>
      </c>
    </row>
    <row r="144" spans="1:14" x14ac:dyDescent="0.25">
      <c r="A144" s="4" t="str">
        <f t="shared" si="2"/>
        <v>DESPESA DE REPRESENTAÇÃO - HOTEL TIVOLI SÃO PAULO - CONSULTORA - CLAUDIA TAVARES FERNANDES (AGENDA 43126)</v>
      </c>
      <c r="B144" s="11">
        <v>46204</v>
      </c>
      <c r="C144" s="4">
        <v>817991</v>
      </c>
      <c r="D144" s="1" t="s">
        <v>539</v>
      </c>
      <c r="E144" s="14">
        <v>-2231.25</v>
      </c>
      <c r="F144" s="5" t="s">
        <v>422</v>
      </c>
      <c r="G144" s="2">
        <v>46232</v>
      </c>
      <c r="H144" s="9">
        <v>1170</v>
      </c>
      <c r="I144" s="4"/>
      <c r="J144" s="4" t="s">
        <v>2766</v>
      </c>
      <c r="K144" s="7" t="s">
        <v>2767</v>
      </c>
      <c r="L144" s="1" t="s">
        <v>539</v>
      </c>
      <c r="M144" s="9" t="s">
        <v>654</v>
      </c>
      <c r="N144" s="4" t="str">
        <f>VLOOKUP(H144,Clientes!B:D,3,)</f>
        <v>BGC LIQUIDEZ DTVM LTDA</v>
      </c>
    </row>
    <row r="145" spans="1:14" x14ac:dyDescent="0.25">
      <c r="A145" s="4" t="str">
        <f t="shared" si="2"/>
        <v>DESPESA DE REPRESENTAÇÃO - PASSAGEM SÃO PAULO X BRASÍLIA  - CONSULTORA - CLAUDIA TAVARES FERNANDES (AGENDA 43127)</v>
      </c>
      <c r="B145" s="11">
        <v>46204</v>
      </c>
      <c r="C145" s="4">
        <v>817991</v>
      </c>
      <c r="D145" s="1" t="s">
        <v>539</v>
      </c>
      <c r="E145" s="14">
        <v>-2869.15</v>
      </c>
      <c r="F145" s="5" t="s">
        <v>388</v>
      </c>
      <c r="G145" s="2">
        <v>46232</v>
      </c>
      <c r="H145" s="9">
        <v>1170</v>
      </c>
      <c r="I145" s="4"/>
      <c r="J145" s="4" t="s">
        <v>812</v>
      </c>
      <c r="K145" s="7" t="s">
        <v>2768</v>
      </c>
      <c r="L145" s="1" t="s">
        <v>539</v>
      </c>
      <c r="M145" s="9" t="s">
        <v>654</v>
      </c>
      <c r="N145" s="4" t="str">
        <f>VLOOKUP(H145,Clientes!B:D,3,)</f>
        <v>BGC LIQUIDEZ DTVM LTDA</v>
      </c>
    </row>
    <row r="146" spans="1:14" x14ac:dyDescent="0.25">
      <c r="A146" s="4" t="str">
        <f t="shared" si="2"/>
        <v>DESPESA DE REPRESENTAÇÃO - PASSAGEM SÃO PAULO X BRASÍLIA  - CONSULTORA - CLAUDIA TAVARES FERNANDES (AGENDA 43127)</v>
      </c>
      <c r="B146" s="11">
        <v>46204</v>
      </c>
      <c r="C146" s="4">
        <v>817991</v>
      </c>
      <c r="D146" s="1" t="s">
        <v>539</v>
      </c>
      <c r="E146" s="14">
        <v>-525.58000000000004</v>
      </c>
      <c r="F146" s="5" t="s">
        <v>388</v>
      </c>
      <c r="G146" s="2">
        <v>46232</v>
      </c>
      <c r="H146" s="9">
        <v>1170</v>
      </c>
      <c r="I146" s="4"/>
      <c r="J146" s="4" t="s">
        <v>812</v>
      </c>
      <c r="K146" s="7" t="s">
        <v>2768</v>
      </c>
      <c r="L146" s="1" t="s">
        <v>539</v>
      </c>
      <c r="M146" s="9" t="s">
        <v>654</v>
      </c>
      <c r="N146" s="4" t="str">
        <f>VLOOKUP(H146,Clientes!B:D,3,)</f>
        <v>BGC LIQUIDEZ DTVM LTDA</v>
      </c>
    </row>
    <row r="147" spans="1:14" x14ac:dyDescent="0.25">
      <c r="A147" s="4" t="str">
        <f t="shared" si="2"/>
        <v>DESPESA DE REPRESENTAÇÃO - PASSAGEM SÃO PAULO X CURITIBA - CONSULTORA - CLAUDIA TAVARES FERNANDES (AGENDA 43127)</v>
      </c>
      <c r="B147" s="11">
        <v>46204</v>
      </c>
      <c r="C147" s="4">
        <v>817991</v>
      </c>
      <c r="D147" s="1" t="s">
        <v>539</v>
      </c>
      <c r="E147" s="14">
        <v>-3899.78</v>
      </c>
      <c r="F147" s="5" t="s">
        <v>388</v>
      </c>
      <c r="G147" s="2">
        <v>46232</v>
      </c>
      <c r="H147" s="9">
        <v>1170</v>
      </c>
      <c r="I147" s="4"/>
      <c r="J147" s="4" t="s">
        <v>2707</v>
      </c>
      <c r="K147" s="7" t="s">
        <v>2768</v>
      </c>
      <c r="L147" s="1" t="s">
        <v>539</v>
      </c>
      <c r="M147" s="9" t="s">
        <v>654</v>
      </c>
      <c r="N147" s="4" t="str">
        <f>VLOOKUP(H147,Clientes!B:D,3,)</f>
        <v>BGC LIQUIDEZ DTVM LTDA</v>
      </c>
    </row>
    <row r="148" spans="1:14" x14ac:dyDescent="0.25">
      <c r="A148" s="4" t="str">
        <f t="shared" si="2"/>
        <v>DESPESA DE REPRESENTAÇÃO - PASSAGEM CAMPINAS X BRASÍLIA  - CONSULTORA - CLAUDIA TAVARES FERNANDES (AGENDA 43127)</v>
      </c>
      <c r="B148" s="11">
        <v>46204</v>
      </c>
      <c r="C148" s="4">
        <v>817991</v>
      </c>
      <c r="D148" s="1" t="s">
        <v>539</v>
      </c>
      <c r="E148" s="14">
        <v>-463.44</v>
      </c>
      <c r="F148" s="5" t="s">
        <v>388</v>
      </c>
      <c r="G148" s="2">
        <v>46232</v>
      </c>
      <c r="H148" s="9">
        <v>1170</v>
      </c>
      <c r="I148" s="4"/>
      <c r="J148" s="4" t="s">
        <v>2769</v>
      </c>
      <c r="K148" s="7" t="s">
        <v>2768</v>
      </c>
      <c r="L148" s="1" t="s">
        <v>539</v>
      </c>
      <c r="M148" s="9" t="s">
        <v>654</v>
      </c>
      <c r="N148" s="4" t="str">
        <f>VLOOKUP(H148,Clientes!B:D,3,)</f>
        <v>BGC LIQUIDEZ DTVM LTDA</v>
      </c>
    </row>
    <row r="149" spans="1:14" x14ac:dyDescent="0.25">
      <c r="A149" s="4" t="str">
        <f t="shared" si="2"/>
        <v>DESPESA DE REPRESENTAÇÃO - DEVOLUÇÃO DEPÓSITO DE GARANTIA DO FLAT - BROKER - CHRISTIANO MARCONDES DE BARROS LIMA (AGENDA 43256)</v>
      </c>
      <c r="B149" s="11">
        <v>46204</v>
      </c>
      <c r="C149" s="4">
        <v>817991</v>
      </c>
      <c r="D149" s="1" t="s">
        <v>60</v>
      </c>
      <c r="E149" s="14">
        <v>1148.33</v>
      </c>
      <c r="F149" s="5" t="s">
        <v>422</v>
      </c>
      <c r="G149" s="2">
        <v>46232</v>
      </c>
      <c r="H149" s="9">
        <v>1170</v>
      </c>
      <c r="I149" s="4"/>
      <c r="J149" s="4" t="s">
        <v>2838</v>
      </c>
      <c r="K149" s="7" t="s">
        <v>2839</v>
      </c>
      <c r="L149" s="1" t="s">
        <v>60</v>
      </c>
      <c r="M149" s="9" t="s">
        <v>2</v>
      </c>
      <c r="N149" s="4" t="str">
        <f>VLOOKUP(H149,Clientes!B:D,3,)</f>
        <v>BGC LIQUIDEZ DTVM LTDA</v>
      </c>
    </row>
    <row r="150" spans="1:14" x14ac:dyDescent="0.25">
      <c r="A150" s="4" t="str">
        <f t="shared" si="2"/>
        <v>DESPESA DE REPRESENTAÇÃO - DEVOLUÇÃO DEPÓSITO DE GARANTIA DO FLAT - BROKER - JOSE MAURICIO GOMES TEIXEIRA (AGENDA 43256)</v>
      </c>
      <c r="B150" s="11">
        <v>46204</v>
      </c>
      <c r="C150" s="4">
        <v>817991</v>
      </c>
      <c r="D150" s="1" t="s">
        <v>23</v>
      </c>
      <c r="E150" s="14">
        <v>1148.33</v>
      </c>
      <c r="F150" s="5" t="s">
        <v>422</v>
      </c>
      <c r="G150" s="2">
        <v>46232</v>
      </c>
      <c r="H150" s="9">
        <v>1170</v>
      </c>
      <c r="I150" s="4"/>
      <c r="J150" s="4" t="s">
        <v>2838</v>
      </c>
      <c r="K150" s="7" t="s">
        <v>2839</v>
      </c>
      <c r="L150" s="1" t="s">
        <v>23</v>
      </c>
      <c r="M150" s="9" t="s">
        <v>2</v>
      </c>
      <c r="N150" s="4" t="str">
        <f>VLOOKUP(H150,Clientes!B:D,3,)</f>
        <v>BGC LIQUIDEZ DTVM LTDA</v>
      </c>
    </row>
    <row r="151" spans="1:14" x14ac:dyDescent="0.25">
      <c r="A151" s="4" t="str">
        <f t="shared" si="2"/>
        <v>DESPESA DE REPRESENTAÇÃO - DEVOLUÇÃO DEPÓSITO DE GARANTIA DO FLAT - GESTOR - ANDRE HALL ACCIOLY (AGENDA 43256)</v>
      </c>
      <c r="B151" s="11">
        <v>46204</v>
      </c>
      <c r="C151" s="4">
        <v>817991</v>
      </c>
      <c r="D151" s="1" t="s">
        <v>423</v>
      </c>
      <c r="E151" s="14">
        <v>2296.66</v>
      </c>
      <c r="F151" s="5" t="s">
        <v>422</v>
      </c>
      <c r="G151" s="2">
        <v>46232</v>
      </c>
      <c r="H151" s="9">
        <v>1170</v>
      </c>
      <c r="I151" s="4"/>
      <c r="J151" s="4" t="s">
        <v>2838</v>
      </c>
      <c r="K151" s="7" t="s">
        <v>2839</v>
      </c>
      <c r="L151" s="1" t="s">
        <v>742</v>
      </c>
      <c r="M151" s="9" t="s">
        <v>598</v>
      </c>
      <c r="N151" s="4" t="str">
        <f>VLOOKUP(H151,Clientes!B:D,3,)</f>
        <v>BGC LIQUIDEZ DTVM LTDA</v>
      </c>
    </row>
    <row r="152" spans="1:14" x14ac:dyDescent="0.25">
      <c r="A152" s="4" t="str">
        <f t="shared" si="2"/>
        <v>DESPESA DE REPRESENTAÇÃO - PASSAGEM SÃO PAULO X PORTO ALEGRE - BROKER - NAYANA IVO DE ALMEIDA (AGENDA 43074)</v>
      </c>
      <c r="B152" s="11">
        <v>46204</v>
      </c>
      <c r="C152" s="4">
        <v>817991</v>
      </c>
      <c r="D152" s="1" t="s">
        <v>665</v>
      </c>
      <c r="E152" s="14">
        <v>-2992.31</v>
      </c>
      <c r="F152" s="5" t="s">
        <v>388</v>
      </c>
      <c r="G152" s="2">
        <v>46233</v>
      </c>
      <c r="H152" s="9">
        <v>1170</v>
      </c>
      <c r="I152" s="4"/>
      <c r="J152" s="4" t="s">
        <v>807</v>
      </c>
      <c r="K152" s="7" t="s">
        <v>2764</v>
      </c>
      <c r="L152" s="1" t="s">
        <v>665</v>
      </c>
      <c r="M152" s="9" t="s">
        <v>2</v>
      </c>
      <c r="N152" s="4" t="str">
        <f>VLOOKUP(H152,Clientes!B:D,3,)</f>
        <v>BGC LIQUIDEZ DTVM LTDA</v>
      </c>
    </row>
    <row r="153" spans="1:14" x14ac:dyDescent="0.25">
      <c r="A153" s="4" t="str">
        <f t="shared" si="2"/>
        <v>DESPESA DE REPRESENTAÇÃO - PASSAGEM SÃO PAULO X PORTO ALEGRE - BROKER - FELIPE MEIRELLES RACCAH (AGENDA 43074)</v>
      </c>
      <c r="B153" s="11">
        <v>46204</v>
      </c>
      <c r="C153" s="4">
        <v>817991</v>
      </c>
      <c r="D153" s="1" t="s">
        <v>632</v>
      </c>
      <c r="E153" s="14">
        <v>-2992.31</v>
      </c>
      <c r="F153" s="5" t="s">
        <v>388</v>
      </c>
      <c r="G153" s="2">
        <v>46233</v>
      </c>
      <c r="H153" s="9">
        <v>1170</v>
      </c>
      <c r="I153" s="4"/>
      <c r="J153" s="4" t="s">
        <v>807</v>
      </c>
      <c r="K153" s="7" t="s">
        <v>2764</v>
      </c>
      <c r="L153" s="1" t="s">
        <v>632</v>
      </c>
      <c r="M153" s="9" t="s">
        <v>2</v>
      </c>
      <c r="N153" s="4" t="str">
        <f>VLOOKUP(H153,Clientes!B:D,3,)</f>
        <v>BGC LIQUIDEZ DTVM LTDA</v>
      </c>
    </row>
    <row r="154" spans="1:14" x14ac:dyDescent="0.25">
      <c r="A154" s="4" t="str">
        <f t="shared" si="2"/>
        <v>DESPESA DE REPRESENTAÇÃO - PASSAGEM SÃO PAULO X RIO DE JANEIRO - BROKER - MATHEUS DE MORAES NASCIMENTO (AGENDA 43074)</v>
      </c>
      <c r="B154" s="11">
        <v>46204</v>
      </c>
      <c r="C154" s="4">
        <v>817991</v>
      </c>
      <c r="D154" s="1" t="s">
        <v>60</v>
      </c>
      <c r="E154" s="14">
        <v>-747.38</v>
      </c>
      <c r="F154" s="5" t="s">
        <v>388</v>
      </c>
      <c r="G154" s="2">
        <v>46233</v>
      </c>
      <c r="H154" s="9">
        <v>1170</v>
      </c>
      <c r="I154" s="4"/>
      <c r="J154" s="4" t="s">
        <v>756</v>
      </c>
      <c r="K154" s="7" t="s">
        <v>2764</v>
      </c>
      <c r="L154" s="1" t="s">
        <v>2765</v>
      </c>
      <c r="M154" s="9" t="s">
        <v>2</v>
      </c>
      <c r="N154" s="4" t="str">
        <f>VLOOKUP(H154,Clientes!B:D,3,)</f>
        <v>BGC LIQUIDEZ DTVM LTDA</v>
      </c>
    </row>
    <row r="155" spans="1:14" x14ac:dyDescent="0.25">
      <c r="A155" s="4" t="str">
        <f t="shared" si="2"/>
        <v>DESPESA DE REPRESENTAÇÃO - PASSAGEM SÃO PAULO X RIO DE JANEIRO - BROKER - JOSE MAURICIO GOMES TEIXEIRA (AGENDA 43074)</v>
      </c>
      <c r="B155" s="11">
        <v>46204</v>
      </c>
      <c r="C155" s="4">
        <v>817991</v>
      </c>
      <c r="D155" s="1" t="s">
        <v>23</v>
      </c>
      <c r="E155" s="14">
        <v>-693.51</v>
      </c>
      <c r="F155" s="5" t="s">
        <v>388</v>
      </c>
      <c r="G155" s="2">
        <v>46233</v>
      </c>
      <c r="H155" s="9">
        <v>1170</v>
      </c>
      <c r="I155" s="4"/>
      <c r="J155" s="4" t="s">
        <v>756</v>
      </c>
      <c r="K155" s="7" t="s">
        <v>2764</v>
      </c>
      <c r="L155" s="1" t="s">
        <v>23</v>
      </c>
      <c r="M155" s="9" t="s">
        <v>2</v>
      </c>
      <c r="N155" s="4" t="str">
        <f>VLOOKUP(H155,Clientes!B:D,3,)</f>
        <v>BGC LIQUIDEZ DTVM LTDA</v>
      </c>
    </row>
    <row r="156" spans="1:14" x14ac:dyDescent="0.25">
      <c r="A156" s="4" t="str">
        <f t="shared" si="2"/>
        <v>DESPESA DE REPRESENTAÇÃO - PASSAGEM SÃO PAULO X RIO DE JANEIRO - BROKER - ANDRE WATT VIANNA (AGENDA 43074)</v>
      </c>
      <c r="B156" s="11">
        <v>46204</v>
      </c>
      <c r="C156" s="4">
        <v>817991</v>
      </c>
      <c r="D156" s="1" t="s">
        <v>23</v>
      </c>
      <c r="E156" s="14">
        <v>-1060.6300000000001</v>
      </c>
      <c r="F156" s="5" t="s">
        <v>388</v>
      </c>
      <c r="G156" s="2">
        <v>46233</v>
      </c>
      <c r="H156" s="9">
        <v>1170</v>
      </c>
      <c r="I156" s="4"/>
      <c r="J156" s="4" t="s">
        <v>756</v>
      </c>
      <c r="K156" s="7" t="s">
        <v>2764</v>
      </c>
      <c r="L156" s="1" t="s">
        <v>670</v>
      </c>
      <c r="M156" s="9" t="s">
        <v>2</v>
      </c>
      <c r="N156" s="4" t="str">
        <f>VLOOKUP(H156,Clientes!B:D,3,)</f>
        <v>BGC LIQUIDEZ DTVM LTDA</v>
      </c>
    </row>
    <row r="157" spans="1:14" x14ac:dyDescent="0.25">
      <c r="A157" s="4" t="str">
        <f t="shared" si="2"/>
        <v>DESPESA DE REPRESENTAÇÃO - PASSAGEM SÃO PAULO X RIO DE JANEIRO - BROKER - ANDRE WATT VIANNA (AGENDA 43074)</v>
      </c>
      <c r="B157" s="11">
        <v>46204</v>
      </c>
      <c r="C157" s="4">
        <v>817991</v>
      </c>
      <c r="D157" s="1" t="s">
        <v>23</v>
      </c>
      <c r="E157" s="14">
        <v>-1808.12</v>
      </c>
      <c r="F157" s="5" t="s">
        <v>388</v>
      </c>
      <c r="G157" s="2">
        <v>46233</v>
      </c>
      <c r="H157" s="9">
        <v>1170</v>
      </c>
      <c r="I157" s="4"/>
      <c r="J157" s="4" t="s">
        <v>756</v>
      </c>
      <c r="K157" s="7" t="s">
        <v>2764</v>
      </c>
      <c r="L157" s="1" t="s">
        <v>670</v>
      </c>
      <c r="M157" s="9" t="s">
        <v>2</v>
      </c>
      <c r="N157" s="4" t="str">
        <f>VLOOKUP(H157,Clientes!B:D,3,)</f>
        <v>BGC LIQUIDEZ DTVM LTDA</v>
      </c>
    </row>
    <row r="158" spans="1:14" x14ac:dyDescent="0.25">
      <c r="A158" s="4" t="str">
        <f t="shared" si="2"/>
        <v>DESPESA DE REPRESENTAÇÃO - INGRESSOS EVENTO EXPERT XP INVESTIMENTOS - BROKER - EDRAS DURAES D ANUNCIACAO (104730-3998EA)</v>
      </c>
      <c r="B158" s="11">
        <v>46204</v>
      </c>
      <c r="C158" s="4">
        <v>817991</v>
      </c>
      <c r="D158" s="1" t="s">
        <v>653</v>
      </c>
      <c r="E158" s="14">
        <v>-2783</v>
      </c>
      <c r="F158" s="5" t="s">
        <v>387</v>
      </c>
      <c r="G158" s="2">
        <v>46233</v>
      </c>
      <c r="H158" s="9">
        <v>1170</v>
      </c>
      <c r="I158" s="4"/>
      <c r="J158" s="4" t="s">
        <v>2770</v>
      </c>
      <c r="K158" s="7" t="s">
        <v>2771</v>
      </c>
      <c r="L158" s="1" t="s">
        <v>653</v>
      </c>
      <c r="M158" s="9" t="s">
        <v>2</v>
      </c>
      <c r="N158" s="4" t="str">
        <f>VLOOKUP(H158,Clientes!B:D,3,)</f>
        <v>BGC LIQUIDEZ DTVM LTDA</v>
      </c>
    </row>
    <row r="159" spans="1:14" x14ac:dyDescent="0.25">
      <c r="A159" s="4" t="str">
        <f t="shared" si="2"/>
        <v>DESPESA DE REPRESENTAÇÃO - JANTAR - TRADER - GUILHERME ALVES DE PAULA (125404-3998BG)</v>
      </c>
      <c r="B159" s="11">
        <v>46204</v>
      </c>
      <c r="C159" s="4">
        <v>817991</v>
      </c>
      <c r="D159" s="1" t="s">
        <v>23</v>
      </c>
      <c r="E159" s="14">
        <v>-1603</v>
      </c>
      <c r="F159" s="5" t="s">
        <v>380</v>
      </c>
      <c r="G159" s="2">
        <v>46233</v>
      </c>
      <c r="H159" s="9">
        <v>81199</v>
      </c>
      <c r="I159" s="4"/>
      <c r="J159" s="4" t="s">
        <v>380</v>
      </c>
      <c r="K159" s="7" t="s">
        <v>2772</v>
      </c>
      <c r="L159" s="1" t="s">
        <v>390</v>
      </c>
      <c r="M159" s="9" t="s">
        <v>335</v>
      </c>
      <c r="N159" s="4" t="str">
        <f>VLOOKUP(H159,Clientes!B:D,3,)</f>
        <v>BANCO ORIGINAL S/A</v>
      </c>
    </row>
    <row r="160" spans="1:14" x14ac:dyDescent="0.25">
      <c r="A160" s="4" t="str">
        <f t="shared" si="2"/>
        <v>DESPESA DE REPRESENTAÇÃO - TRANSPORTE PARA VISITAS COM CLIENTES DA FENICS - SALES - ROBERT HENDRIK SCHARRINGA (103241-3998RS)</v>
      </c>
      <c r="B160" s="11">
        <v>46204</v>
      </c>
      <c r="C160" s="4">
        <v>817991</v>
      </c>
      <c r="D160" s="1" t="s">
        <v>769</v>
      </c>
      <c r="E160" s="14">
        <v>-665.1</v>
      </c>
      <c r="F160" s="5" t="s">
        <v>388</v>
      </c>
      <c r="G160" s="2">
        <v>46233</v>
      </c>
      <c r="H160" s="9">
        <v>1170</v>
      </c>
      <c r="I160" s="4"/>
      <c r="J160" s="4" t="s">
        <v>2773</v>
      </c>
      <c r="K160" s="7" t="s">
        <v>2774</v>
      </c>
      <c r="L160" s="1" t="s">
        <v>769</v>
      </c>
      <c r="M160" s="9" t="s">
        <v>468</v>
      </c>
      <c r="N160" s="4" t="str">
        <f>VLOOKUP(H160,Clientes!B:D,3,)</f>
        <v>BGC LIQUIDEZ DTVM LTDA</v>
      </c>
    </row>
    <row r="161" spans="1:14" x14ac:dyDescent="0.25">
      <c r="A161" s="4" t="str">
        <f t="shared" si="2"/>
        <v>DESPESA DE REPRESENTAÇÃO - CURSO TESOURO DIRETO SAINT PAUL - ECONOMISTA - FELIPE DE SA TAVARES (AGENDA 43070)</v>
      </c>
      <c r="B161" s="11">
        <v>46204</v>
      </c>
      <c r="C161" s="4">
        <v>817991</v>
      </c>
      <c r="D161" s="1" t="s">
        <v>558</v>
      </c>
      <c r="E161" s="14">
        <v>-69888</v>
      </c>
      <c r="F161" s="5" t="s">
        <v>389</v>
      </c>
      <c r="G161" s="2">
        <v>46234</v>
      </c>
      <c r="H161" s="9">
        <v>1170</v>
      </c>
      <c r="I161" s="4"/>
      <c r="J161" s="4" t="s">
        <v>2836</v>
      </c>
      <c r="K161" s="7" t="s">
        <v>2837</v>
      </c>
      <c r="L161" s="1" t="s">
        <v>768</v>
      </c>
      <c r="M161" s="9" t="s">
        <v>551</v>
      </c>
      <c r="N161" s="4" t="str">
        <f>VLOOKUP(H161,Clientes!B:D,3,)</f>
        <v>BGC LIQUIDEZ DTVM LTDA</v>
      </c>
    </row>
    <row r="162" spans="1:14" x14ac:dyDescent="0.25">
      <c r="A162" s="4"/>
      <c r="B162" s="11"/>
      <c r="C162" s="4"/>
      <c r="D162" s="1"/>
      <c r="E162" s="14"/>
      <c r="F162" s="5"/>
      <c r="G162" s="2"/>
      <c r="H162" s="9"/>
      <c r="I162" s="4"/>
      <c r="J162" s="4"/>
      <c r="K162" s="7"/>
      <c r="L162" s="1"/>
      <c r="M162" s="9"/>
      <c r="N162" s="4"/>
    </row>
    <row r="163" spans="1:14" x14ac:dyDescent="0.25">
      <c r="A163" s="4"/>
      <c r="B163" s="11"/>
      <c r="C163" s="4"/>
      <c r="D163" s="1"/>
      <c r="E163" s="14"/>
      <c r="F163" s="5"/>
      <c r="G163" s="2"/>
      <c r="H163" s="9"/>
      <c r="I163" s="4"/>
      <c r="J163" s="4"/>
      <c r="K163" s="7"/>
      <c r="L163" s="1"/>
      <c r="M163" s="9"/>
      <c r="N163" s="4"/>
    </row>
    <row r="164" spans="1:14" x14ac:dyDescent="0.25">
      <c r="A164" s="4"/>
      <c r="B164" s="11"/>
      <c r="C164" s="4"/>
      <c r="D164" s="1"/>
      <c r="E164" s="14"/>
      <c r="F164" s="5"/>
      <c r="G164" s="2"/>
      <c r="H164" s="9"/>
      <c r="I164" s="4"/>
      <c r="J164" s="4"/>
      <c r="K164" s="7"/>
      <c r="L164" s="1"/>
      <c r="M164" s="9"/>
      <c r="N164" s="4"/>
    </row>
    <row r="165" spans="1:14" x14ac:dyDescent="0.25">
      <c r="A165" s="4"/>
      <c r="B165" s="11"/>
      <c r="C165" s="4"/>
      <c r="D165" s="1"/>
      <c r="E165" s="14"/>
      <c r="F165" s="5"/>
      <c r="G165" s="2"/>
      <c r="H165" s="9"/>
      <c r="I165" s="4"/>
      <c r="J165" s="4"/>
      <c r="K165" s="7"/>
      <c r="L165" s="1"/>
      <c r="M165" s="9"/>
      <c r="N165" s="4"/>
    </row>
    <row r="166" spans="1:14" x14ac:dyDescent="0.25">
      <c r="A166" s="4"/>
      <c r="B166" s="11"/>
      <c r="C166" s="4"/>
      <c r="D166" s="1"/>
      <c r="E166" s="14"/>
      <c r="F166" s="5"/>
      <c r="G166" s="2"/>
      <c r="H166" s="9"/>
      <c r="I166" s="4"/>
      <c r="J166" s="4"/>
      <c r="K166" s="7"/>
      <c r="L166" s="1"/>
      <c r="M166" s="9"/>
      <c r="N166" s="4"/>
    </row>
    <row r="167" spans="1:14" x14ac:dyDescent="0.25">
      <c r="A167" s="4"/>
      <c r="B167" s="11"/>
      <c r="C167" s="4"/>
      <c r="D167" s="1"/>
      <c r="E167" s="14"/>
      <c r="F167" s="5"/>
      <c r="G167" s="2"/>
      <c r="H167" s="9"/>
      <c r="I167" s="4"/>
      <c r="J167" s="4"/>
      <c r="K167" s="7"/>
      <c r="L167" s="1"/>
      <c r="M167" s="9"/>
      <c r="N167" s="4"/>
    </row>
    <row r="168" spans="1:14" x14ac:dyDescent="0.25">
      <c r="A168" s="4"/>
      <c r="B168" s="11"/>
      <c r="C168" s="4"/>
      <c r="D168" s="1"/>
      <c r="E168" s="14"/>
      <c r="F168" s="5"/>
      <c r="G168" s="2"/>
      <c r="H168" s="9"/>
      <c r="I168" s="4"/>
      <c r="J168" s="4"/>
      <c r="K168" s="7"/>
      <c r="L168" s="1"/>
      <c r="M168" s="9"/>
      <c r="N168" s="4"/>
    </row>
    <row r="169" spans="1:14" x14ac:dyDescent="0.25">
      <c r="A169" s="4"/>
      <c r="B169" s="11"/>
      <c r="C169" s="4"/>
      <c r="D169" s="1"/>
      <c r="E169" s="14"/>
      <c r="F169" s="5"/>
      <c r="G169" s="2"/>
      <c r="H169" s="9"/>
      <c r="I169" s="4"/>
      <c r="J169" s="4"/>
      <c r="K169" s="7"/>
      <c r="L169" s="1"/>
      <c r="M169" s="9"/>
      <c r="N169" s="4"/>
    </row>
    <row r="170" spans="1:14" x14ac:dyDescent="0.25">
      <c r="A170" s="4"/>
      <c r="B170" s="11"/>
      <c r="C170" s="4"/>
      <c r="D170" s="1"/>
      <c r="E170" s="14"/>
      <c r="F170" s="5"/>
      <c r="G170" s="2"/>
      <c r="H170" s="9"/>
      <c r="I170" s="4"/>
      <c r="J170" s="4"/>
      <c r="K170" s="7"/>
      <c r="L170" s="1"/>
      <c r="M170" s="9"/>
      <c r="N170" s="4"/>
    </row>
    <row r="171" spans="1:14" x14ac:dyDescent="0.25">
      <c r="A171" s="4"/>
      <c r="B171" s="11"/>
      <c r="C171" s="4"/>
      <c r="D171" s="1"/>
      <c r="E171" s="14"/>
      <c r="F171" s="5"/>
      <c r="G171" s="2"/>
      <c r="H171" s="9"/>
      <c r="I171" s="4"/>
      <c r="J171" s="4"/>
      <c r="K171" s="7"/>
      <c r="L171" s="1"/>
      <c r="M171" s="9"/>
      <c r="N171" s="4"/>
    </row>
    <row r="172" spans="1:14" x14ac:dyDescent="0.25">
      <c r="A172" s="4"/>
      <c r="B172" s="11"/>
      <c r="C172" s="4"/>
      <c r="D172" s="1"/>
      <c r="E172" s="14"/>
      <c r="F172" s="5"/>
      <c r="G172" s="2"/>
      <c r="H172" s="9"/>
      <c r="I172" s="4"/>
      <c r="J172" s="4"/>
      <c r="K172" s="7"/>
      <c r="L172" s="1"/>
      <c r="M172" s="9"/>
      <c r="N172" s="4"/>
    </row>
    <row r="173" spans="1:14" x14ac:dyDescent="0.25">
      <c r="A173" s="4"/>
      <c r="B173" s="11"/>
      <c r="C173" s="4"/>
      <c r="D173" s="1"/>
      <c r="E173" s="14"/>
      <c r="F173" s="5"/>
      <c r="G173" s="2"/>
      <c r="H173" s="9"/>
      <c r="I173" s="4"/>
      <c r="J173" s="4"/>
      <c r="K173" s="7"/>
      <c r="L173" s="1"/>
      <c r="M173" s="9"/>
      <c r="N173" s="4"/>
    </row>
    <row r="174" spans="1:14" x14ac:dyDescent="0.25">
      <c r="A174" s="4"/>
      <c r="B174" s="11"/>
      <c r="C174" s="4"/>
      <c r="D174" s="1"/>
      <c r="E174" s="14"/>
      <c r="F174" s="5"/>
      <c r="G174" s="2"/>
      <c r="H174" s="9"/>
      <c r="I174" s="4"/>
      <c r="J174" s="4"/>
      <c r="K174" s="7"/>
      <c r="L174" s="1"/>
      <c r="M174" s="9"/>
      <c r="N174" s="4"/>
    </row>
    <row r="175" spans="1:14" x14ac:dyDescent="0.25">
      <c r="A175" s="4"/>
      <c r="B175" s="11"/>
      <c r="C175" s="4"/>
      <c r="D175" s="1"/>
      <c r="E175" s="14"/>
      <c r="F175" s="5"/>
      <c r="G175" s="2"/>
      <c r="H175" s="9"/>
      <c r="I175" s="4"/>
      <c r="J175" s="4"/>
      <c r="K175" s="7"/>
      <c r="L175" s="1"/>
      <c r="M175" s="9"/>
      <c r="N175" s="4"/>
    </row>
    <row r="176" spans="1:14" x14ac:dyDescent="0.25">
      <c r="A176" s="4"/>
      <c r="B176" s="11"/>
      <c r="C176" s="4"/>
      <c r="D176" s="1"/>
      <c r="E176" s="14"/>
      <c r="F176" s="5"/>
      <c r="G176" s="2"/>
      <c r="H176" s="9"/>
      <c r="I176" s="4"/>
      <c r="J176" s="4"/>
      <c r="K176" s="7"/>
      <c r="L176" s="1"/>
      <c r="M176" s="9"/>
      <c r="N176" s="4"/>
    </row>
    <row r="177" spans="1:14" x14ac:dyDescent="0.25">
      <c r="A177" s="4"/>
      <c r="B177" s="11"/>
      <c r="C177" s="4"/>
      <c r="D177" s="1"/>
      <c r="E177" s="14"/>
      <c r="F177" s="5"/>
      <c r="G177" s="2"/>
      <c r="H177" s="9"/>
      <c r="I177" s="4"/>
      <c r="J177" s="4"/>
      <c r="K177" s="7"/>
      <c r="L177" s="1"/>
      <c r="M177" s="9"/>
      <c r="N177" s="4"/>
    </row>
    <row r="178" spans="1:14" x14ac:dyDescent="0.25">
      <c r="A178" s="4"/>
      <c r="B178" s="11"/>
      <c r="C178" s="4"/>
      <c r="D178" s="1"/>
      <c r="E178" s="14"/>
      <c r="F178" s="5"/>
      <c r="G178" s="2"/>
      <c r="H178" s="9"/>
      <c r="I178" s="4"/>
      <c r="J178" s="4"/>
      <c r="K178" s="7"/>
      <c r="L178" s="1"/>
      <c r="M178" s="9"/>
      <c r="N178" s="4"/>
    </row>
    <row r="179" spans="1:14" x14ac:dyDescent="0.25">
      <c r="A179" s="4"/>
      <c r="B179" s="11"/>
      <c r="C179" s="4"/>
      <c r="D179" s="1"/>
      <c r="E179" s="14"/>
      <c r="F179" s="5"/>
      <c r="G179" s="2"/>
      <c r="H179" s="9"/>
      <c r="I179" s="4"/>
      <c r="J179" s="4"/>
      <c r="K179" s="7"/>
      <c r="L179" s="1"/>
      <c r="M179" s="9"/>
      <c r="N179" s="4"/>
    </row>
    <row r="180" spans="1:14" x14ac:dyDescent="0.25">
      <c r="A180" s="4"/>
      <c r="B180" s="11"/>
      <c r="C180" s="4"/>
      <c r="D180" s="1"/>
      <c r="E180" s="14"/>
      <c r="F180" s="5"/>
      <c r="G180" s="2"/>
      <c r="H180" s="9"/>
      <c r="I180" s="4"/>
      <c r="J180" s="4"/>
      <c r="K180" s="7"/>
      <c r="L180" s="1"/>
      <c r="M180" s="9"/>
      <c r="N180" s="4"/>
    </row>
    <row r="181" spans="1:14" x14ac:dyDescent="0.25">
      <c r="A181" s="4"/>
      <c r="B181" s="11"/>
      <c r="C181" s="4"/>
      <c r="D181" s="1"/>
      <c r="E181" s="14"/>
      <c r="F181" s="5"/>
      <c r="G181" s="2"/>
      <c r="H181" s="9"/>
      <c r="I181" s="4"/>
      <c r="J181" s="4"/>
      <c r="K181" s="7"/>
      <c r="L181" s="1"/>
      <c r="M181" s="9"/>
      <c r="N181" s="4"/>
    </row>
    <row r="182" spans="1:14" x14ac:dyDescent="0.25">
      <c r="A182" s="4"/>
      <c r="B182" s="11"/>
      <c r="C182" s="4"/>
      <c r="D182" s="1"/>
      <c r="E182" s="14"/>
      <c r="F182" s="5"/>
      <c r="G182" s="2"/>
      <c r="H182" s="9"/>
      <c r="I182" s="4"/>
      <c r="J182" s="4"/>
      <c r="K182" s="7"/>
      <c r="L182" s="1"/>
      <c r="M182" s="9"/>
      <c r="N182" s="4"/>
    </row>
    <row r="183" spans="1:14" x14ac:dyDescent="0.25">
      <c r="A183" s="4"/>
      <c r="B183" s="11"/>
      <c r="C183" s="4"/>
      <c r="D183" s="1"/>
      <c r="E183" s="14"/>
      <c r="F183" s="5"/>
      <c r="G183" s="2"/>
      <c r="H183" s="9"/>
      <c r="I183" s="4"/>
      <c r="J183" s="4"/>
      <c r="K183" s="7"/>
      <c r="L183" s="1"/>
      <c r="M183" s="9"/>
      <c r="N183" s="4"/>
    </row>
    <row r="184" spans="1:14" x14ac:dyDescent="0.25">
      <c r="A184" s="4"/>
      <c r="B184" s="11"/>
      <c r="C184" s="4"/>
      <c r="D184" s="1"/>
      <c r="E184" s="14"/>
      <c r="F184" s="5"/>
      <c r="G184" s="2"/>
      <c r="H184" s="9"/>
      <c r="I184" s="4"/>
      <c r="J184" s="4"/>
      <c r="K184" s="7"/>
      <c r="L184" s="1"/>
      <c r="M184" s="9"/>
      <c r="N184" s="4"/>
    </row>
    <row r="185" spans="1:14" x14ac:dyDescent="0.25">
      <c r="A185" s="4"/>
      <c r="B185" s="11"/>
      <c r="C185" s="4"/>
      <c r="D185" s="1"/>
      <c r="E185" s="14"/>
      <c r="F185" s="5"/>
      <c r="G185" s="2"/>
      <c r="H185" s="9"/>
      <c r="I185" s="4"/>
      <c r="J185" s="4"/>
      <c r="K185" s="7"/>
      <c r="L185" s="1"/>
      <c r="M185" s="9"/>
      <c r="N185" s="4"/>
    </row>
    <row r="186" spans="1:14" x14ac:dyDescent="0.25">
      <c r="A186" s="4"/>
      <c r="B186" s="11"/>
      <c r="C186" s="4"/>
      <c r="D186" s="1"/>
      <c r="E186" s="14"/>
      <c r="F186" s="5"/>
      <c r="G186" s="2"/>
      <c r="H186" s="9"/>
      <c r="I186" s="4"/>
      <c r="J186" s="4"/>
      <c r="K186" s="7"/>
      <c r="L186" s="1"/>
      <c r="M186" s="9"/>
      <c r="N186" s="4"/>
    </row>
    <row r="187" spans="1:14" x14ac:dyDescent="0.25">
      <c r="A187" s="4"/>
      <c r="B187" s="11"/>
      <c r="C187" s="4"/>
      <c r="D187" s="1"/>
      <c r="E187" s="14"/>
      <c r="F187" s="5"/>
      <c r="G187" s="2"/>
      <c r="H187" s="9"/>
      <c r="I187" s="4"/>
      <c r="J187" s="4"/>
      <c r="K187" s="7"/>
      <c r="L187" s="1"/>
      <c r="M187" s="9"/>
      <c r="N187" s="4"/>
    </row>
    <row r="188" spans="1:14" x14ac:dyDescent="0.25">
      <c r="A188" s="4"/>
      <c r="B188" s="11"/>
      <c r="C188" s="4"/>
      <c r="D188" s="1"/>
      <c r="E188" s="14"/>
      <c r="F188" s="5"/>
      <c r="G188" s="2"/>
      <c r="H188" s="9"/>
      <c r="I188" s="4"/>
      <c r="J188" s="4"/>
      <c r="K188" s="7"/>
      <c r="L188" s="1"/>
      <c r="M188" s="9"/>
      <c r="N188" s="4"/>
    </row>
    <row r="189" spans="1:14" x14ac:dyDescent="0.25">
      <c r="A189" s="4"/>
      <c r="B189" s="11"/>
      <c r="C189" s="4"/>
      <c r="D189" s="1"/>
      <c r="E189" s="14"/>
      <c r="F189" s="5"/>
      <c r="G189" s="2"/>
      <c r="H189" s="9"/>
      <c r="I189" s="4"/>
      <c r="J189" s="4"/>
      <c r="K189" s="7"/>
      <c r="L189" s="1"/>
      <c r="M189" s="9"/>
      <c r="N189" s="4"/>
    </row>
    <row r="190" spans="1:14" x14ac:dyDescent="0.25">
      <c r="A190" s="4"/>
      <c r="B190" s="11"/>
      <c r="C190" s="4"/>
      <c r="D190" s="1"/>
      <c r="E190" s="14"/>
      <c r="F190" s="5"/>
      <c r="G190" s="2"/>
      <c r="H190" s="9"/>
      <c r="I190" s="4"/>
      <c r="J190" s="4"/>
      <c r="K190" s="7"/>
      <c r="L190" s="1"/>
      <c r="M190" s="9"/>
      <c r="N190" s="4"/>
    </row>
    <row r="191" spans="1:14" x14ac:dyDescent="0.25">
      <c r="A191" s="4"/>
      <c r="B191" s="11"/>
      <c r="C191" s="4"/>
      <c r="D191" s="1"/>
      <c r="E191" s="14"/>
      <c r="F191" s="5"/>
      <c r="G191" s="2"/>
      <c r="H191" s="9"/>
      <c r="I191" s="4"/>
      <c r="J191" s="4"/>
      <c r="K191" s="7"/>
      <c r="L191" s="1"/>
      <c r="M191" s="9"/>
      <c r="N191" s="4"/>
    </row>
    <row r="192" spans="1:14" x14ac:dyDescent="0.25">
      <c r="A192" s="4"/>
      <c r="B192" s="11"/>
      <c r="C192" s="4"/>
      <c r="D192" s="1"/>
      <c r="E192" s="14"/>
      <c r="F192" s="5"/>
      <c r="G192" s="2"/>
      <c r="H192" s="9"/>
      <c r="I192" s="4"/>
      <c r="J192" s="4"/>
      <c r="K192" s="7"/>
      <c r="L192" s="1"/>
      <c r="M192" s="9"/>
      <c r="N192" s="4"/>
    </row>
    <row r="193" spans="1:14" x14ac:dyDescent="0.25">
      <c r="A193" s="4"/>
      <c r="B193" s="11"/>
      <c r="C193" s="4"/>
      <c r="D193" s="1"/>
      <c r="E193" s="14"/>
      <c r="F193" s="5"/>
      <c r="G193" s="2"/>
      <c r="H193" s="9"/>
      <c r="I193" s="4"/>
      <c r="J193" s="4"/>
      <c r="K193" s="7"/>
      <c r="L193" s="1"/>
      <c r="M193" s="9"/>
      <c r="N193" s="4"/>
    </row>
    <row r="194" spans="1:14" x14ac:dyDescent="0.25">
      <c r="A194" s="4"/>
      <c r="B194" s="11"/>
      <c r="C194" s="4"/>
      <c r="D194" s="1"/>
      <c r="E194" s="14"/>
      <c r="F194" s="5"/>
      <c r="G194" s="2"/>
      <c r="H194" s="9"/>
      <c r="I194" s="4"/>
      <c r="J194" s="4"/>
      <c r="K194" s="7"/>
      <c r="L194" s="1"/>
      <c r="M194" s="9"/>
      <c r="N194" s="4"/>
    </row>
    <row r="195" spans="1:14" x14ac:dyDescent="0.25">
      <c r="A195" s="4"/>
      <c r="B195" s="11"/>
      <c r="C195" s="4"/>
      <c r="D195" s="1"/>
      <c r="E195" s="14"/>
      <c r="F195" s="5"/>
      <c r="G195" s="2"/>
      <c r="H195" s="9"/>
      <c r="I195" s="4"/>
      <c r="J195" s="4"/>
      <c r="K195" s="7"/>
      <c r="L195" s="1"/>
      <c r="M195" s="9"/>
      <c r="N195" s="4"/>
    </row>
    <row r="196" spans="1:14" x14ac:dyDescent="0.25">
      <c r="A196" s="4"/>
      <c r="B196" s="11"/>
      <c r="C196" s="4"/>
      <c r="D196" s="1"/>
      <c r="E196" s="14"/>
      <c r="F196" s="5"/>
      <c r="G196" s="2"/>
      <c r="H196" s="9"/>
      <c r="I196" s="4"/>
      <c r="J196" s="4"/>
      <c r="K196" s="7"/>
      <c r="L196" s="1"/>
      <c r="M196" s="9"/>
      <c r="N196" s="4"/>
    </row>
    <row r="197" spans="1:14" x14ac:dyDescent="0.25">
      <c r="A197" s="4"/>
      <c r="B197" s="11"/>
      <c r="C197" s="4"/>
      <c r="D197" s="1"/>
      <c r="E197" s="14"/>
      <c r="F197" s="5"/>
      <c r="G197" s="2"/>
      <c r="H197" s="9"/>
      <c r="I197" s="4"/>
      <c r="J197" s="4"/>
      <c r="K197" s="7"/>
      <c r="L197" s="1"/>
      <c r="M197" s="9"/>
      <c r="N197" s="4"/>
    </row>
    <row r="198" spans="1:14" x14ac:dyDescent="0.25">
      <c r="A198" s="4"/>
      <c r="B198" s="11"/>
      <c r="C198" s="4"/>
      <c r="D198" s="1"/>
      <c r="E198" s="14"/>
      <c r="F198" s="5"/>
      <c r="G198" s="2"/>
      <c r="H198" s="9"/>
      <c r="I198" s="4"/>
      <c r="J198" s="4"/>
      <c r="K198" s="7"/>
      <c r="L198" s="1"/>
      <c r="M198" s="9"/>
      <c r="N198" s="4"/>
    </row>
    <row r="199" spans="1:14" x14ac:dyDescent="0.25">
      <c r="A199" s="4"/>
      <c r="B199" s="11"/>
      <c r="C199" s="4"/>
      <c r="D199" s="1"/>
      <c r="E199" s="14"/>
      <c r="F199" s="5"/>
      <c r="G199" s="2"/>
      <c r="H199" s="9"/>
      <c r="I199" s="4"/>
      <c r="J199" s="4"/>
      <c r="K199" s="7"/>
      <c r="L199" s="1"/>
      <c r="M199" s="9"/>
      <c r="N199" s="4"/>
    </row>
    <row r="200" spans="1:14" x14ac:dyDescent="0.25">
      <c r="A200" s="4"/>
      <c r="B200" s="11"/>
      <c r="C200" s="4"/>
      <c r="D200" s="1"/>
      <c r="E200" s="14"/>
      <c r="F200" s="5"/>
      <c r="G200" s="2"/>
      <c r="H200" s="9"/>
      <c r="I200" s="4"/>
      <c r="J200" s="4"/>
      <c r="K200" s="7"/>
      <c r="L200" s="1"/>
      <c r="M200" s="9"/>
      <c r="N200" s="4"/>
    </row>
    <row r="201" spans="1:14" x14ac:dyDescent="0.25">
      <c r="A201" s="4"/>
      <c r="B201" s="11"/>
      <c r="C201" s="4"/>
      <c r="D201" s="1"/>
      <c r="E201" s="14"/>
      <c r="F201" s="5"/>
      <c r="G201" s="2"/>
      <c r="H201" s="9"/>
      <c r="I201" s="4"/>
      <c r="J201" s="4"/>
      <c r="K201" s="7"/>
      <c r="L201" s="1"/>
      <c r="M201" s="9"/>
      <c r="N201" s="4"/>
    </row>
    <row r="202" spans="1:14" x14ac:dyDescent="0.25">
      <c r="A202" s="4"/>
      <c r="B202" s="11"/>
      <c r="C202" s="4"/>
      <c r="D202" s="1"/>
      <c r="E202" s="14"/>
      <c r="F202" s="5"/>
      <c r="G202" s="2"/>
      <c r="H202" s="9"/>
      <c r="I202" s="4"/>
      <c r="J202" s="4"/>
      <c r="K202" s="7"/>
      <c r="L202" s="1"/>
      <c r="M202" s="9"/>
      <c r="N202" s="4"/>
    </row>
    <row r="203" spans="1:14" x14ac:dyDescent="0.25">
      <c r="A203" s="4"/>
      <c r="B203" s="11"/>
      <c r="C203" s="4"/>
      <c r="D203" s="1"/>
      <c r="E203" s="14"/>
      <c r="F203" s="5"/>
      <c r="G203" s="2"/>
      <c r="H203" s="9"/>
      <c r="I203" s="4"/>
      <c r="J203" s="4"/>
      <c r="K203" s="7"/>
      <c r="L203" s="1"/>
      <c r="M203" s="9"/>
      <c r="N203" s="4"/>
    </row>
    <row r="204" spans="1:14" x14ac:dyDescent="0.25">
      <c r="A204" s="4"/>
      <c r="B204" s="11"/>
      <c r="C204" s="4"/>
      <c r="D204" s="1"/>
      <c r="E204" s="14"/>
      <c r="F204" s="5"/>
      <c r="G204" s="2"/>
      <c r="H204" s="9"/>
      <c r="I204" s="4"/>
      <c r="J204" s="4"/>
      <c r="K204" s="7"/>
      <c r="L204" s="1"/>
      <c r="M204" s="9"/>
      <c r="N204" s="4"/>
    </row>
    <row r="205" spans="1:14" x14ac:dyDescent="0.25">
      <c r="A205" s="4"/>
      <c r="B205" s="11"/>
      <c r="C205" s="4"/>
      <c r="D205" s="1"/>
      <c r="E205" s="14"/>
      <c r="F205" s="5"/>
      <c r="G205" s="2"/>
      <c r="H205" s="9"/>
      <c r="I205" s="4"/>
      <c r="J205" s="4"/>
      <c r="K205" s="7"/>
      <c r="L205" s="1"/>
      <c r="M205" s="9"/>
      <c r="N205" s="4"/>
    </row>
    <row r="206" spans="1:14" x14ac:dyDescent="0.25">
      <c r="A206" s="4"/>
      <c r="B206" s="11"/>
      <c r="C206" s="4"/>
      <c r="D206" s="1"/>
      <c r="E206" s="14"/>
      <c r="F206" s="5"/>
      <c r="G206" s="2"/>
      <c r="H206" s="9"/>
      <c r="I206" s="4"/>
      <c r="J206" s="4"/>
      <c r="K206" s="7"/>
      <c r="L206" s="1"/>
      <c r="M206" s="9"/>
      <c r="N206" s="4"/>
    </row>
    <row r="207" spans="1:14" x14ac:dyDescent="0.25">
      <c r="A207" s="4"/>
      <c r="B207" s="11"/>
      <c r="C207" s="4"/>
      <c r="N207" s="4"/>
    </row>
    <row r="208" spans="1:14" x14ac:dyDescent="0.25">
      <c r="A208" s="4"/>
      <c r="B208" s="11"/>
      <c r="C208" s="4"/>
      <c r="N208" s="4"/>
    </row>
    <row r="209" spans="1:14" x14ac:dyDescent="0.25">
      <c r="A209" s="4"/>
      <c r="B209" s="11"/>
      <c r="C209" s="4"/>
      <c r="N209" s="4"/>
    </row>
  </sheetData>
  <autoFilter ref="A1:Q206" xr:uid="{BA84C643-DEE2-418B-9B46-50F1ABA3CD77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0834-5351-480F-8780-1482A51D16EF}">
  <sheetPr codeName="Sheet5" filterMode="1"/>
  <dimension ref="A1:P221"/>
  <sheetViews>
    <sheetView showGridLines="0" zoomScaleNormal="100" workbookViewId="0">
      <selection activeCell="D9" sqref="D9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</cols>
  <sheetData>
    <row r="1" spans="1:14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4" hidden="1" x14ac:dyDescent="0.25">
      <c r="A2" s="4" t="str">
        <f>CONCATENATE($J$1,J2,$I$3,M2,$I$3,L2,$I$1,K2,$I$2)</f>
        <v>DESPESA DE REPRESENTAÇÃO - AJUSTE REFERENTE AOS INGRESSOS PARA O JOGO ROLAND GARROS (DEBITAR DOS BROKERS) - TRADER - SEBASTIEN MACULAN (AGENDA 42481)</v>
      </c>
      <c r="B2" s="11">
        <v>46235</v>
      </c>
      <c r="C2" s="4">
        <v>817991</v>
      </c>
      <c r="D2" s="1" t="s">
        <v>650</v>
      </c>
      <c r="E2" s="14">
        <v>28135.5</v>
      </c>
      <c r="F2" s="5" t="s">
        <v>387</v>
      </c>
      <c r="G2" s="2">
        <v>46188</v>
      </c>
      <c r="H2" s="9">
        <v>1170</v>
      </c>
      <c r="I2" s="4" t="s">
        <v>333</v>
      </c>
      <c r="J2" s="5" t="s">
        <v>2932</v>
      </c>
      <c r="K2" s="9" t="s">
        <v>1633</v>
      </c>
      <c r="L2" s="1" t="s">
        <v>2118</v>
      </c>
      <c r="M2" s="9" t="s">
        <v>335</v>
      </c>
      <c r="N2" s="4" t="str">
        <f>VLOOKUP(H2,Clientes!B:D,3,)</f>
        <v>BGC LIQUIDEZ DTVM LTDA</v>
      </c>
    </row>
    <row r="3" spans="1:14" hidden="1" x14ac:dyDescent="0.25">
      <c r="A3" s="4" t="str">
        <f t="shared" ref="A3:A66" si="0">CONCATENATE($J$1,J3,$I$3,M3,$I$3,L3,$I$1,K3,$I$2)</f>
        <v>DESPESA DE REPRESENTAÇÃO - INGRESSOS PARA O JOGO ROLAND GARROS - TRADER - SEBASTIEN MACULAN (AGENDA 42481)</v>
      </c>
      <c r="B3" s="11">
        <v>46235</v>
      </c>
      <c r="C3" s="4">
        <v>817991</v>
      </c>
      <c r="D3" s="1" t="s">
        <v>516</v>
      </c>
      <c r="E3" s="14">
        <v>-14067.75</v>
      </c>
      <c r="F3" s="5" t="s">
        <v>387</v>
      </c>
      <c r="G3" s="2">
        <v>46188</v>
      </c>
      <c r="H3" s="9">
        <v>79258</v>
      </c>
      <c r="I3" s="4" t="s">
        <v>2931</v>
      </c>
      <c r="J3" s="5" t="s">
        <v>2801</v>
      </c>
      <c r="K3" s="9" t="s">
        <v>1633</v>
      </c>
      <c r="L3" s="9" t="s">
        <v>2118</v>
      </c>
      <c r="M3" s="9" t="s">
        <v>335</v>
      </c>
      <c r="N3" s="4" t="str">
        <f>VLOOKUP(H3,Clientes!B:D,3,)</f>
        <v>ITAU UNIBANCO S/A</v>
      </c>
    </row>
    <row r="4" spans="1:14" hidden="1" x14ac:dyDescent="0.25">
      <c r="A4" s="4" t="str">
        <f t="shared" si="0"/>
        <v>DESPESA DE REPRESENTAÇÃO - INGRESSOS PARA O JOGO ROLAND GARROS - TRADER - SEBASTIEN MACULAN (AGENDA 42481)</v>
      </c>
      <c r="B4" s="11">
        <v>46235</v>
      </c>
      <c r="C4" s="4">
        <v>817991</v>
      </c>
      <c r="D4" s="1" t="s">
        <v>604</v>
      </c>
      <c r="E4" s="14">
        <v>-14067.75</v>
      </c>
      <c r="F4" s="5" t="s">
        <v>387</v>
      </c>
      <c r="G4" s="2">
        <v>46188</v>
      </c>
      <c r="H4" s="9">
        <v>79258</v>
      </c>
      <c r="I4" s="4"/>
      <c r="J4" s="5" t="s">
        <v>2801</v>
      </c>
      <c r="K4" s="9" t="s">
        <v>1633</v>
      </c>
      <c r="L4" s="9" t="s">
        <v>2118</v>
      </c>
      <c r="M4" s="9" t="s">
        <v>335</v>
      </c>
      <c r="N4" s="4" t="str">
        <f>VLOOKUP(H4,Clientes!B:D,3,)</f>
        <v>ITAU UNIBANCO S/A</v>
      </c>
    </row>
    <row r="5" spans="1:14" hidden="1" x14ac:dyDescent="0.25">
      <c r="A5" s="4" t="str">
        <f t="shared" si="0"/>
        <v>DESPESA DE REPRESENTAÇÃO - HOTEL RADISSON RED CAMPINAS - CONSULTORA - CLAUDIA TAVARES FERNANDES (AGENDA 43217)</v>
      </c>
      <c r="B5" s="11">
        <v>46235</v>
      </c>
      <c r="C5" s="4">
        <v>817991</v>
      </c>
      <c r="D5" s="1" t="s">
        <v>539</v>
      </c>
      <c r="E5" s="14">
        <v>-892.5</v>
      </c>
      <c r="F5" s="2" t="s">
        <v>422</v>
      </c>
      <c r="G5" s="2">
        <v>46239</v>
      </c>
      <c r="H5" s="9">
        <v>1170</v>
      </c>
      <c r="I5" s="4"/>
      <c r="J5" s="4" t="s">
        <v>2778</v>
      </c>
      <c r="K5" s="7" t="s">
        <v>2779</v>
      </c>
      <c r="L5" s="1" t="s">
        <v>539</v>
      </c>
      <c r="M5" s="9" t="s">
        <v>654</v>
      </c>
      <c r="N5" s="4" t="str">
        <f>VLOOKUP(H5,Clientes!B:D,3,)</f>
        <v>BGC LIQUIDEZ DTVM LTDA</v>
      </c>
    </row>
    <row r="6" spans="1:14" hidden="1" x14ac:dyDescent="0.25">
      <c r="A6" s="4" t="str">
        <f t="shared" si="0"/>
        <v>DESPESA DE REPRESENTAÇÃO - PASSAGEM BRASÍLIA X SÃO PAULO - CONSULTORA - CLAUDIA TAVARES FERNANDES (AGENDA 43218)</v>
      </c>
      <c r="B6" s="11">
        <v>46235</v>
      </c>
      <c r="C6" s="4">
        <v>817991</v>
      </c>
      <c r="D6" s="1" t="s">
        <v>539</v>
      </c>
      <c r="E6" s="14">
        <v>-2215.44</v>
      </c>
      <c r="F6" s="5" t="s">
        <v>388</v>
      </c>
      <c r="G6" s="2">
        <v>46239</v>
      </c>
      <c r="H6" s="9">
        <v>1170</v>
      </c>
      <c r="I6" s="4"/>
      <c r="J6" s="5" t="s">
        <v>2780</v>
      </c>
      <c r="K6" s="7" t="s">
        <v>2781</v>
      </c>
      <c r="L6" s="1" t="s">
        <v>539</v>
      </c>
      <c r="M6" s="9" t="s">
        <v>654</v>
      </c>
      <c r="N6" s="4" t="str">
        <f>VLOOKUP(H6,Clientes!B:D,3,)</f>
        <v>BGC LIQUIDEZ DTVM LTDA</v>
      </c>
    </row>
    <row r="7" spans="1:14" x14ac:dyDescent="0.25">
      <c r="A7" s="4" t="str">
        <f t="shared" si="0"/>
        <v>DESPESA DE REPRESENTAÇÃO - PASSAGEM BRASÍLIA X SÃO PAULO - CONSULTOR - RENAN REIS CRUVINEL (AGENDA 43218)</v>
      </c>
      <c r="B7" s="11">
        <v>46235</v>
      </c>
      <c r="C7" s="4">
        <v>817991</v>
      </c>
      <c r="D7" s="1" t="s">
        <v>538</v>
      </c>
      <c r="E7" s="14">
        <v>-2213.61</v>
      </c>
      <c r="F7" s="5" t="s">
        <v>388</v>
      </c>
      <c r="G7" s="2">
        <v>46239</v>
      </c>
      <c r="H7" s="9">
        <v>1170</v>
      </c>
      <c r="I7" s="4"/>
      <c r="J7" s="5" t="s">
        <v>2780</v>
      </c>
      <c r="K7" s="7" t="s">
        <v>2781</v>
      </c>
      <c r="L7" s="1" t="s">
        <v>538</v>
      </c>
      <c r="M7" s="9" t="s">
        <v>655</v>
      </c>
      <c r="N7" s="4" t="str">
        <f>VLOOKUP(H7,Clientes!B:D,3,)</f>
        <v>BGC LIQUIDEZ DTVM LTDA</v>
      </c>
    </row>
    <row r="8" spans="1:14" hidden="1" x14ac:dyDescent="0.25">
      <c r="A8" s="4" t="str">
        <f t="shared" si="0"/>
        <v>DESPESA DE REPRESENTAÇÃO - PASSAGEM BRASÍLIA X SÃO PAULO - CONSULTORA - CLAUDIA TAVARES FERNANDES (AGENDA 43218)</v>
      </c>
      <c r="B8" s="11">
        <v>46235</v>
      </c>
      <c r="C8" s="4">
        <v>817991</v>
      </c>
      <c r="D8" s="1" t="s">
        <v>539</v>
      </c>
      <c r="E8" s="14">
        <v>-1605.3</v>
      </c>
      <c r="F8" s="5" t="s">
        <v>388</v>
      </c>
      <c r="G8" s="2">
        <v>46239</v>
      </c>
      <c r="H8" s="9">
        <v>1170</v>
      </c>
      <c r="I8" s="4"/>
      <c r="J8" s="5" t="s">
        <v>2780</v>
      </c>
      <c r="K8" s="7" t="s">
        <v>2781</v>
      </c>
      <c r="L8" s="1" t="s">
        <v>539</v>
      </c>
      <c r="M8" s="9" t="s">
        <v>654</v>
      </c>
      <c r="N8" s="4" t="str">
        <f>VLOOKUP(H8,Clientes!B:D,3,)</f>
        <v>BGC LIQUIDEZ DTVM LTDA</v>
      </c>
    </row>
    <row r="9" spans="1:14" x14ac:dyDescent="0.25">
      <c r="A9" s="4" t="str">
        <f t="shared" si="0"/>
        <v>DESPESA DE REPRESENTAÇÃO - PASSAGEM BRASÍLIA X SÃO PAULO - CONSULTOR - RENAN REIS CRUVINEL (AGENDA 43218)</v>
      </c>
      <c r="B9" s="11">
        <v>46235</v>
      </c>
      <c r="C9" s="4">
        <v>817991</v>
      </c>
      <c r="D9" s="1" t="s">
        <v>538</v>
      </c>
      <c r="E9" s="14">
        <v>-1036.8800000000001</v>
      </c>
      <c r="F9" s="5" t="s">
        <v>388</v>
      </c>
      <c r="G9" s="2">
        <v>46239</v>
      </c>
      <c r="H9" s="9">
        <v>1170</v>
      </c>
      <c r="I9" s="4"/>
      <c r="J9" s="5" t="s">
        <v>2780</v>
      </c>
      <c r="K9" s="7" t="s">
        <v>2781</v>
      </c>
      <c r="L9" s="1" t="s">
        <v>538</v>
      </c>
      <c r="M9" s="9" t="s">
        <v>655</v>
      </c>
      <c r="N9" s="4" t="str">
        <f>VLOOKUP(H9,Clientes!B:D,3,)</f>
        <v>BGC LIQUIDEZ DTVM LTDA</v>
      </c>
    </row>
    <row r="10" spans="1:14" hidden="1" x14ac:dyDescent="0.25">
      <c r="A10" s="4" t="str">
        <f t="shared" si="0"/>
        <v>DESPESA DE REPRESENTAÇÃO - JANTAR - TRADER - BRUNO ACETOZE SCHIAVINATO (164011-3998PI)</v>
      </c>
      <c r="B10" s="11">
        <v>46235</v>
      </c>
      <c r="C10" s="4">
        <v>817991</v>
      </c>
      <c r="D10" s="1" t="s">
        <v>772</v>
      </c>
      <c r="E10" s="14">
        <v>-2213</v>
      </c>
      <c r="F10" s="2" t="s">
        <v>380</v>
      </c>
      <c r="G10" s="2">
        <v>46240</v>
      </c>
      <c r="H10" s="9">
        <v>14479</v>
      </c>
      <c r="I10" s="4"/>
      <c r="J10" s="2" t="s">
        <v>380</v>
      </c>
      <c r="K10" s="7" t="s">
        <v>2782</v>
      </c>
      <c r="L10" s="9" t="s">
        <v>2121</v>
      </c>
      <c r="M10" s="9" t="s">
        <v>335</v>
      </c>
      <c r="N10" s="4" t="str">
        <f>VLOOKUP(H10,Clientes!B:D,3,)</f>
        <v>BANCO SANTANDER (BRASIL) S/A</v>
      </c>
    </row>
    <row r="11" spans="1:14" hidden="1" x14ac:dyDescent="0.25">
      <c r="A11" s="4" t="str">
        <f t="shared" si="0"/>
        <v>DESPESA DE REPRESENTAÇÃO - ALMOÇO - TRADER - RODRIGO BRENDON (095304-3998EC)</v>
      </c>
      <c r="B11" s="11">
        <v>46235</v>
      </c>
      <c r="C11" s="4">
        <v>817991</v>
      </c>
      <c r="D11" s="1" t="s">
        <v>647</v>
      </c>
      <c r="E11" s="14">
        <v>-682</v>
      </c>
      <c r="F11" s="2" t="s">
        <v>447</v>
      </c>
      <c r="G11" s="2">
        <v>46240</v>
      </c>
      <c r="H11" s="9">
        <v>82467</v>
      </c>
      <c r="I11" s="4"/>
      <c r="J11" s="2" t="s">
        <v>447</v>
      </c>
      <c r="K11" s="7" t="s">
        <v>2783</v>
      </c>
      <c r="L11" s="9" t="s">
        <v>1673</v>
      </c>
      <c r="M11" s="9" t="s">
        <v>335</v>
      </c>
      <c r="N11" s="4" t="str">
        <f>VLOOKUP(H11,Clientes!B:D,3,)</f>
        <v>BRAM - BRADESCO ASSET MANAGEMENT S/A DTVM</v>
      </c>
    </row>
    <row r="12" spans="1:14" hidden="1" x14ac:dyDescent="0.25">
      <c r="A12" s="4" t="str">
        <f t="shared" si="0"/>
        <v>DESPESA DE REPRESENTAÇÃO - ALMOÇO - TRADER - MAURO OKUMA LACERDA (105829-3998EA)</v>
      </c>
      <c r="B12" s="11">
        <v>46235</v>
      </c>
      <c r="C12" s="4">
        <v>817991</v>
      </c>
      <c r="D12" s="1" t="s">
        <v>653</v>
      </c>
      <c r="E12" s="14">
        <v>-795</v>
      </c>
      <c r="F12" s="2" t="s">
        <v>447</v>
      </c>
      <c r="G12" s="2">
        <v>46240</v>
      </c>
      <c r="H12" s="9">
        <v>12413</v>
      </c>
      <c r="I12" s="4"/>
      <c r="J12" s="2" t="s">
        <v>447</v>
      </c>
      <c r="K12" s="7" t="s">
        <v>2784</v>
      </c>
      <c r="L12" s="9" t="s">
        <v>780</v>
      </c>
      <c r="M12" s="9" t="s">
        <v>335</v>
      </c>
      <c r="N12" s="4" t="str">
        <f>VLOOKUP(H12,Clientes!B:D,3,)</f>
        <v>KAPITALO INVESTIMENTOS LTDA</v>
      </c>
    </row>
    <row r="13" spans="1:14" hidden="1" x14ac:dyDescent="0.25">
      <c r="A13" s="4" t="str">
        <f t="shared" si="0"/>
        <v>DESPESA DE REPRESENTAÇÃO - ALMOÇO - TRADER - MAURO OKUMA LACERDA (105829-3998EA)</v>
      </c>
      <c r="B13" s="11">
        <v>46235</v>
      </c>
      <c r="C13" s="4">
        <v>817991</v>
      </c>
      <c r="D13" s="1" t="s">
        <v>475</v>
      </c>
      <c r="E13" s="14">
        <v>-795</v>
      </c>
      <c r="F13" s="2" t="s">
        <v>447</v>
      </c>
      <c r="G13" s="2">
        <v>46240</v>
      </c>
      <c r="H13" s="9">
        <v>12413</v>
      </c>
      <c r="I13" s="4"/>
      <c r="J13" s="2" t="s">
        <v>447</v>
      </c>
      <c r="K13" s="7" t="s">
        <v>2784</v>
      </c>
      <c r="L13" s="9" t="s">
        <v>780</v>
      </c>
      <c r="M13" s="9" t="s">
        <v>335</v>
      </c>
      <c r="N13" s="4" t="str">
        <f>VLOOKUP(H13,Clientes!B:D,3,)</f>
        <v>KAPITALO INVESTIMENTOS LTDA</v>
      </c>
    </row>
    <row r="14" spans="1:14" hidden="1" x14ac:dyDescent="0.25">
      <c r="A14" s="4" t="str">
        <f t="shared" si="0"/>
        <v>DESPESA DE REPRESENTAÇÃO - ALMOÇO - TRADER - YAN FALCO (140457-3998EC)</v>
      </c>
      <c r="B14" s="11">
        <v>46235</v>
      </c>
      <c r="C14" s="4">
        <v>817991</v>
      </c>
      <c r="D14" s="1" t="s">
        <v>647</v>
      </c>
      <c r="E14" s="14">
        <v>-1165</v>
      </c>
      <c r="F14" s="2" t="s">
        <v>447</v>
      </c>
      <c r="G14" s="2">
        <v>46240</v>
      </c>
      <c r="H14" s="9">
        <v>79806</v>
      </c>
      <c r="I14" s="4"/>
      <c r="J14" s="2" t="s">
        <v>447</v>
      </c>
      <c r="K14" s="7" t="s">
        <v>2785</v>
      </c>
      <c r="L14" s="9" t="s">
        <v>2786</v>
      </c>
      <c r="M14" s="9" t="s">
        <v>335</v>
      </c>
      <c r="N14" s="4" t="str">
        <f>VLOOKUP(H14,Clientes!B:D,3,)</f>
        <v>ITAU UNIBANCO S/A</v>
      </c>
    </row>
    <row r="15" spans="1:14" hidden="1" x14ac:dyDescent="0.25">
      <c r="A15" s="4" t="str">
        <f t="shared" si="0"/>
        <v>DESPESA DE REPRESENTAÇÃO - ALMOÇO - TRADER - FELIPE NOVAES GARCIA (145408-3998AS)</v>
      </c>
      <c r="B15" s="11">
        <v>46235</v>
      </c>
      <c r="C15" s="4">
        <v>817991</v>
      </c>
      <c r="D15" s="1" t="s">
        <v>449</v>
      </c>
      <c r="E15" s="14">
        <v>-908</v>
      </c>
      <c r="F15" s="2" t="s">
        <v>447</v>
      </c>
      <c r="G15" s="2">
        <v>46240</v>
      </c>
      <c r="H15" s="9">
        <v>80573</v>
      </c>
      <c r="I15" s="4"/>
      <c r="J15" s="2" t="s">
        <v>447</v>
      </c>
      <c r="K15" s="7" t="s">
        <v>2787</v>
      </c>
      <c r="L15" s="9" t="s">
        <v>243</v>
      </c>
      <c r="M15" s="9" t="s">
        <v>335</v>
      </c>
      <c r="N15" s="4" t="str">
        <f>VLOOKUP(H15,Clientes!B:D,3,)</f>
        <v>BANCO C6 S/A</v>
      </c>
    </row>
    <row r="16" spans="1:14" hidden="1" x14ac:dyDescent="0.25">
      <c r="A16" s="4" t="str">
        <f t="shared" si="0"/>
        <v>DESPESA DE REPRESENTAÇÃO - ALMOÇO COM BANCO DA AMAZONIA  - TRADER - NADSON (165823-3998RU)</v>
      </c>
      <c r="B16" s="11">
        <v>46235</v>
      </c>
      <c r="C16" s="4">
        <v>817991</v>
      </c>
      <c r="D16" s="1" t="s">
        <v>652</v>
      </c>
      <c r="E16" s="14">
        <v>-527.71</v>
      </c>
      <c r="F16" s="2" t="s">
        <v>447</v>
      </c>
      <c r="G16" s="2">
        <v>46240</v>
      </c>
      <c r="H16" s="9">
        <v>1170</v>
      </c>
      <c r="I16" s="4"/>
      <c r="J16" s="2" t="s">
        <v>2789</v>
      </c>
      <c r="K16" s="7" t="s">
        <v>2788</v>
      </c>
      <c r="L16" s="9" t="s">
        <v>2790</v>
      </c>
      <c r="M16" s="9" t="s">
        <v>335</v>
      </c>
      <c r="N16" s="4" t="str">
        <f>VLOOKUP(H16,Clientes!B:D,3,)</f>
        <v>BGC LIQUIDEZ DTVM LTDA</v>
      </c>
    </row>
    <row r="17" spans="1:14" hidden="1" x14ac:dyDescent="0.25">
      <c r="A17" s="4" t="str">
        <f t="shared" si="0"/>
        <v>DESPESA DE REPRESENTAÇÃO - ALMOÇO COM BANCO DA AMAZONIA  - TRADER - NADSON (165823-3998RU)</v>
      </c>
      <c r="B17" s="11">
        <v>46235</v>
      </c>
      <c r="C17" s="4">
        <v>817991</v>
      </c>
      <c r="D17" s="1" t="s">
        <v>614</v>
      </c>
      <c r="E17" s="14">
        <v>-527.71</v>
      </c>
      <c r="F17" s="2" t="s">
        <v>447</v>
      </c>
      <c r="G17" s="2">
        <v>46240</v>
      </c>
      <c r="H17" s="9">
        <v>1170</v>
      </c>
      <c r="I17" s="4"/>
      <c r="J17" s="2" t="s">
        <v>2789</v>
      </c>
      <c r="K17" s="7" t="s">
        <v>2788</v>
      </c>
      <c r="L17" s="9" t="s">
        <v>2790</v>
      </c>
      <c r="M17" s="9" t="s">
        <v>335</v>
      </c>
      <c r="N17" s="4" t="str">
        <f>VLOOKUP(H17,Clientes!B:D,3,)</f>
        <v>BGC LIQUIDEZ DTVM LTDA</v>
      </c>
    </row>
    <row r="18" spans="1:14" hidden="1" x14ac:dyDescent="0.25">
      <c r="A18" s="4" t="str">
        <f t="shared" si="0"/>
        <v>DESPESA DE REPRESENTAÇÃO - ALMOÇO - TRADER - ROGER (171759-3998RU)</v>
      </c>
      <c r="B18" s="11">
        <v>46235</v>
      </c>
      <c r="C18" s="4">
        <v>817991</v>
      </c>
      <c r="D18" s="1" t="s">
        <v>652</v>
      </c>
      <c r="E18" s="14">
        <v>-1439.96</v>
      </c>
      <c r="F18" s="2" t="s">
        <v>447</v>
      </c>
      <c r="G18" s="2">
        <v>46240</v>
      </c>
      <c r="H18" s="9">
        <v>80648</v>
      </c>
      <c r="I18" s="4"/>
      <c r="J18" s="2" t="s">
        <v>447</v>
      </c>
      <c r="K18" s="7" t="s">
        <v>2791</v>
      </c>
      <c r="L18" s="1" t="s">
        <v>2792</v>
      </c>
      <c r="M18" s="9" t="s">
        <v>335</v>
      </c>
      <c r="N18" s="4" t="str">
        <f>VLOOKUP(H18,Clientes!B:D,3,)</f>
        <v>XP GESTAO DE RECURSOS LTDA</v>
      </c>
    </row>
    <row r="19" spans="1:14" hidden="1" x14ac:dyDescent="0.25">
      <c r="A19" s="4" t="str">
        <f t="shared" si="0"/>
        <v>DESPESA DE REPRESENTAÇÃO - ALMOÇO - TRADER - DANILO MACARI (171552-3998RU)</v>
      </c>
      <c r="B19" s="11">
        <v>46235</v>
      </c>
      <c r="C19" s="4">
        <v>817991</v>
      </c>
      <c r="D19" s="1" t="s">
        <v>652</v>
      </c>
      <c r="E19" s="14">
        <v>-749.87</v>
      </c>
      <c r="F19" s="2" t="s">
        <v>447</v>
      </c>
      <c r="G19" s="2">
        <v>46240</v>
      </c>
      <c r="H19" s="9">
        <v>82010</v>
      </c>
      <c r="I19" s="4"/>
      <c r="J19" s="2" t="s">
        <v>447</v>
      </c>
      <c r="K19" s="7" t="s">
        <v>2793</v>
      </c>
      <c r="L19" s="1" t="s">
        <v>1032</v>
      </c>
      <c r="M19" s="9" t="s">
        <v>335</v>
      </c>
      <c r="N19" s="4" t="str">
        <f>VLOOKUP(H19,Clientes!B:D,3,)</f>
        <v>ITAU UNIBANCO ASSET - JANEIRO</v>
      </c>
    </row>
    <row r="20" spans="1:14" hidden="1" x14ac:dyDescent="0.25">
      <c r="A20" s="4" t="str">
        <f t="shared" si="0"/>
        <v>DESPESA DE REPRESENTAÇÃO - ALMOÇO - TRADER - DANILO MACARI (171552-3998RU)</v>
      </c>
      <c r="B20" s="11">
        <v>46235</v>
      </c>
      <c r="C20" s="4">
        <v>817991</v>
      </c>
      <c r="D20" s="1" t="s">
        <v>626</v>
      </c>
      <c r="E20" s="14">
        <v>-749.87</v>
      </c>
      <c r="F20" s="2" t="s">
        <v>447</v>
      </c>
      <c r="G20" s="2">
        <v>46240</v>
      </c>
      <c r="H20" s="9">
        <v>82010</v>
      </c>
      <c r="I20" s="4"/>
      <c r="J20" s="2" t="s">
        <v>447</v>
      </c>
      <c r="K20" s="7" t="s">
        <v>2793</v>
      </c>
      <c r="L20" s="1" t="s">
        <v>1032</v>
      </c>
      <c r="M20" s="9" t="s">
        <v>335</v>
      </c>
      <c r="N20" s="4" t="str">
        <f>VLOOKUP(H20,Clientes!B:D,3,)</f>
        <v>ITAU UNIBANCO ASSET - JANEIRO</v>
      </c>
    </row>
    <row r="21" spans="1:14" hidden="1" x14ac:dyDescent="0.25">
      <c r="A21" s="4" t="str">
        <f t="shared" si="0"/>
        <v>DESPESA DE REPRESENTAÇÃO - HAPPY HOUR - TRADER - MAURO OKUMA LACERDA (170800-3998RU)</v>
      </c>
      <c r="B21" s="11">
        <v>46235</v>
      </c>
      <c r="C21" s="4">
        <v>817991</v>
      </c>
      <c r="D21" s="1" t="s">
        <v>652</v>
      </c>
      <c r="E21" s="14">
        <v>-2066.09</v>
      </c>
      <c r="F21" s="5" t="s">
        <v>387</v>
      </c>
      <c r="G21" s="2">
        <v>46240</v>
      </c>
      <c r="H21" s="9">
        <v>12413</v>
      </c>
      <c r="I21" s="4"/>
      <c r="J21" s="4" t="s">
        <v>485</v>
      </c>
      <c r="K21" s="7" t="s">
        <v>2794</v>
      </c>
      <c r="L21" s="9" t="s">
        <v>780</v>
      </c>
      <c r="M21" s="9" t="s">
        <v>335</v>
      </c>
      <c r="N21" s="4" t="str">
        <f>VLOOKUP(H21,Clientes!B:D,3,)</f>
        <v>KAPITALO INVESTIMENTOS LTDA</v>
      </c>
    </row>
    <row r="22" spans="1:14" hidden="1" x14ac:dyDescent="0.25">
      <c r="A22" s="4" t="str">
        <f t="shared" si="0"/>
        <v>DESPESA DE REPRESENTAÇÃO - ALMOÇO - TRADER - GUILHERME SALVADOR VEIGA (152000-3998RU)</v>
      </c>
      <c r="B22" s="11">
        <v>46235</v>
      </c>
      <c r="C22" s="4">
        <v>817991</v>
      </c>
      <c r="D22" s="1" t="s">
        <v>652</v>
      </c>
      <c r="E22" s="14">
        <v>-1276.9000000000001</v>
      </c>
      <c r="F22" s="2" t="s">
        <v>447</v>
      </c>
      <c r="G22" s="2">
        <v>46240</v>
      </c>
      <c r="H22" s="9">
        <v>80509</v>
      </c>
      <c r="I22" s="4"/>
      <c r="J22" s="2" t="s">
        <v>447</v>
      </c>
      <c r="K22" s="7" t="s">
        <v>2795</v>
      </c>
      <c r="L22" s="9" t="s">
        <v>1750</v>
      </c>
      <c r="M22" s="9" t="s">
        <v>335</v>
      </c>
      <c r="N22" s="4" t="str">
        <f>VLOOKUP(H22,Clientes!B:D,3,)</f>
        <v>ITAU UNIBANCO ASSET - HIGH   ALPHA</v>
      </c>
    </row>
    <row r="23" spans="1:14" hidden="1" x14ac:dyDescent="0.25">
      <c r="A23" s="4" t="str">
        <f t="shared" si="0"/>
        <v>DESPESA DE REPRESENTAÇÃO - ALMOÇO - TRADER - GUILHERME SALVADOR VEIGA (152000-3998RU)</v>
      </c>
      <c r="B23" s="11">
        <v>46235</v>
      </c>
      <c r="C23" s="4">
        <v>817991</v>
      </c>
      <c r="D23" s="1" t="s">
        <v>475</v>
      </c>
      <c r="E23" s="14">
        <v>-1276.9000000000001</v>
      </c>
      <c r="F23" s="2" t="s">
        <v>447</v>
      </c>
      <c r="G23" s="2">
        <v>46240</v>
      </c>
      <c r="H23" s="9">
        <v>80509</v>
      </c>
      <c r="I23" s="4"/>
      <c r="J23" s="2" t="s">
        <v>447</v>
      </c>
      <c r="K23" s="7" t="s">
        <v>2795</v>
      </c>
      <c r="L23" s="9" t="s">
        <v>1750</v>
      </c>
      <c r="M23" s="9" t="s">
        <v>335</v>
      </c>
      <c r="N23" s="4" t="str">
        <f>VLOOKUP(H23,Clientes!B:D,3,)</f>
        <v>ITAU UNIBANCO ASSET - HIGH   ALPHA</v>
      </c>
    </row>
    <row r="24" spans="1:14" hidden="1" x14ac:dyDescent="0.25">
      <c r="A24" s="4" t="str">
        <f t="shared" si="0"/>
        <v>DESPESA DE REPRESENTAÇÃO - ALMOÇO - TRADER - KESLEY LEANDRO SILVA (132011-3998RZ)</v>
      </c>
      <c r="B24" s="11">
        <v>46235</v>
      </c>
      <c r="C24" s="4">
        <v>817991</v>
      </c>
      <c r="D24" s="1" t="s">
        <v>60</v>
      </c>
      <c r="E24" s="14">
        <v>-1360</v>
      </c>
      <c r="F24" s="2" t="s">
        <v>447</v>
      </c>
      <c r="G24" s="2">
        <v>46240</v>
      </c>
      <c r="H24" s="9">
        <v>79463</v>
      </c>
      <c r="I24" s="4"/>
      <c r="J24" s="2" t="s">
        <v>447</v>
      </c>
      <c r="K24" s="7" t="s">
        <v>2796</v>
      </c>
      <c r="L24" s="1" t="s">
        <v>579</v>
      </c>
      <c r="M24" s="9" t="s">
        <v>335</v>
      </c>
      <c r="N24" s="4" t="str">
        <f>VLOOKUP(H24,Clientes!B:D,3,)</f>
        <v>ITAU UNIBANCO S/A</v>
      </c>
    </row>
    <row r="25" spans="1:14" hidden="1" x14ac:dyDescent="0.25">
      <c r="A25" s="4" t="str">
        <f t="shared" si="0"/>
        <v>DESPESA DE REPRESENTAÇÃO - ALMOÇO - TRADER - DANIEL NAMAN CARDOSO (145103-3998RZ)</v>
      </c>
      <c r="B25" s="11">
        <v>46235</v>
      </c>
      <c r="C25" s="4">
        <v>817991</v>
      </c>
      <c r="D25" s="1" t="s">
        <v>60</v>
      </c>
      <c r="E25" s="14">
        <v>-375</v>
      </c>
      <c r="F25" s="2" t="s">
        <v>447</v>
      </c>
      <c r="G25" s="2">
        <v>46240</v>
      </c>
      <c r="H25" s="9">
        <v>80377</v>
      </c>
      <c r="I25" s="4"/>
      <c r="J25" s="2" t="s">
        <v>447</v>
      </c>
      <c r="K25" s="7" t="s">
        <v>2797</v>
      </c>
      <c r="L25" s="9" t="s">
        <v>2128</v>
      </c>
      <c r="M25" s="9" t="s">
        <v>335</v>
      </c>
      <c r="N25" s="4" t="str">
        <f>VLOOKUP(H25,Clientes!B:D,3,)</f>
        <v>ITAU UNIBANCO S/A</v>
      </c>
    </row>
    <row r="26" spans="1:14" hidden="1" x14ac:dyDescent="0.25">
      <c r="A26" s="4" t="str">
        <f t="shared" si="0"/>
        <v>DESPESA DE REPRESENTAÇÃO - ALMOÇO - TRADER - MARCELO BRAGA COVO (172451-3998GF)</v>
      </c>
      <c r="B26" s="11">
        <v>46235</v>
      </c>
      <c r="C26" s="4">
        <v>817991</v>
      </c>
      <c r="D26" s="1" t="s">
        <v>615</v>
      </c>
      <c r="E26" s="14">
        <v>-2623.86</v>
      </c>
      <c r="F26" s="2" t="s">
        <v>447</v>
      </c>
      <c r="G26" s="2">
        <v>46240</v>
      </c>
      <c r="H26" s="9">
        <v>80111</v>
      </c>
      <c r="I26" s="4"/>
      <c r="J26" s="2" t="s">
        <v>447</v>
      </c>
      <c r="K26" s="7" t="s">
        <v>2798</v>
      </c>
      <c r="L26" s="1" t="s">
        <v>153</v>
      </c>
      <c r="M26" s="9" t="s">
        <v>335</v>
      </c>
      <c r="N26" s="4" t="str">
        <f>VLOOKUP(H26,Clientes!B:D,3,)</f>
        <v>IBIUNA GESTAO DE RECURSOS LTDA</v>
      </c>
    </row>
    <row r="27" spans="1:14" hidden="1" x14ac:dyDescent="0.25">
      <c r="A27" s="4" t="str">
        <f t="shared" si="0"/>
        <v>DESPESA DE REPRESENTAÇÃO - ALMOÇO - TRADER - MARCELO BRAGA COVO (172451-3998GF)</v>
      </c>
      <c r="B27" s="11">
        <v>46235</v>
      </c>
      <c r="C27" s="4">
        <v>817991</v>
      </c>
      <c r="D27" s="1" t="s">
        <v>993</v>
      </c>
      <c r="E27" s="14">
        <v>-2623.86</v>
      </c>
      <c r="F27" s="2" t="s">
        <v>447</v>
      </c>
      <c r="G27" s="2">
        <v>46240</v>
      </c>
      <c r="H27" s="9">
        <v>80111</v>
      </c>
      <c r="I27" s="4"/>
      <c r="J27" s="2" t="s">
        <v>447</v>
      </c>
      <c r="K27" s="7" t="s">
        <v>2798</v>
      </c>
      <c r="L27" s="1" t="s">
        <v>153</v>
      </c>
      <c r="M27" s="9" t="s">
        <v>335</v>
      </c>
      <c r="N27" s="4" t="str">
        <f>VLOOKUP(H27,Clientes!B:D,3,)</f>
        <v>IBIUNA GESTAO DE RECURSOS LTDA</v>
      </c>
    </row>
    <row r="28" spans="1:14" hidden="1" x14ac:dyDescent="0.25">
      <c r="A28" s="4" t="str">
        <f t="shared" si="0"/>
        <v>DESPESA DE REPRESENTAÇÃO - ALMOÇO - TRADER - LUCAS LEITE BAPTISTA SILVA (104504-3998AV)</v>
      </c>
      <c r="B28" s="11">
        <v>46235</v>
      </c>
      <c r="C28" s="4">
        <v>817991</v>
      </c>
      <c r="D28" s="1" t="s">
        <v>23</v>
      </c>
      <c r="E28" s="14">
        <v>-1227</v>
      </c>
      <c r="F28" s="2" t="s">
        <v>447</v>
      </c>
      <c r="G28" s="2">
        <v>46240</v>
      </c>
      <c r="H28" s="9">
        <v>80958</v>
      </c>
      <c r="I28" s="4"/>
      <c r="J28" s="2" t="s">
        <v>447</v>
      </c>
      <c r="K28" s="7" t="s">
        <v>2799</v>
      </c>
      <c r="L28" s="9" t="s">
        <v>2650</v>
      </c>
      <c r="M28" s="9" t="s">
        <v>335</v>
      </c>
      <c r="N28" s="4" t="str">
        <f>VLOOKUP(H28,Clientes!B:D,3,)</f>
        <v>ITAU UNIBANCO ASSET - OPTIMUS</v>
      </c>
    </row>
    <row r="29" spans="1:14" hidden="1" x14ac:dyDescent="0.25">
      <c r="A29" s="4" t="str">
        <f t="shared" si="0"/>
        <v>DESPESA DE REPRESENTAÇÃO - ALMOÇO - TRADER - FILIPE L SALGADO FERREIRA (151313-3998CB)</v>
      </c>
      <c r="B29" s="11">
        <v>46235</v>
      </c>
      <c r="C29" s="4">
        <v>817991</v>
      </c>
      <c r="D29" s="1" t="s">
        <v>1692</v>
      </c>
      <c r="E29" s="14">
        <v>-314.14</v>
      </c>
      <c r="F29" s="2" t="s">
        <v>447</v>
      </c>
      <c r="G29" s="2">
        <v>46240</v>
      </c>
      <c r="H29" s="9">
        <v>79460</v>
      </c>
      <c r="I29" s="4"/>
      <c r="J29" s="2" t="s">
        <v>447</v>
      </c>
      <c r="K29" s="7" t="s">
        <v>2800</v>
      </c>
      <c r="L29" s="1" t="s">
        <v>2474</v>
      </c>
      <c r="M29" s="9" t="s">
        <v>335</v>
      </c>
      <c r="N29" s="4" t="str">
        <f>VLOOKUP(H29,Clientes!B:D,3,)</f>
        <v>ITAU UNIBANCO S/A</v>
      </c>
    </row>
    <row r="30" spans="1:14" hidden="1" x14ac:dyDescent="0.25">
      <c r="A30" s="4" t="str">
        <f t="shared" si="0"/>
        <v>DESPESA DE REPRESENTAÇÃO - ALUGUEL FLAT  - BROKER - CHRISTIANO MARCONDES DE BARROS LIMA (AGENDA 43318)</v>
      </c>
      <c r="B30" s="11">
        <v>46235</v>
      </c>
      <c r="C30" s="4">
        <v>817991</v>
      </c>
      <c r="D30" s="1" t="s">
        <v>60</v>
      </c>
      <c r="E30" s="14">
        <v>-1378.4549999999999</v>
      </c>
      <c r="F30" s="5" t="s">
        <v>422</v>
      </c>
      <c r="G30" s="2">
        <v>46241</v>
      </c>
      <c r="H30" s="9">
        <v>1170</v>
      </c>
      <c r="I30" s="4"/>
      <c r="J30" s="5" t="s">
        <v>425</v>
      </c>
      <c r="K30" s="7" t="s">
        <v>2919</v>
      </c>
      <c r="L30" s="1" t="s">
        <v>60</v>
      </c>
      <c r="M30" s="9" t="s">
        <v>2</v>
      </c>
      <c r="N30" s="4" t="str">
        <f>VLOOKUP(H30,Clientes!B:D,3,)</f>
        <v>BGC LIQUIDEZ DTVM LTDA</v>
      </c>
    </row>
    <row r="31" spans="1:14" hidden="1" x14ac:dyDescent="0.25">
      <c r="A31" s="4" t="str">
        <f t="shared" si="0"/>
        <v>DESPESA DE REPRESENTAÇÃO - ALUGUEL FLAT  - BROKER - JOSE MAURICIO GOMES TEIXEIRA (AGENDA 43318)</v>
      </c>
      <c r="B31" s="11">
        <v>46235</v>
      </c>
      <c r="C31" s="4">
        <v>817991</v>
      </c>
      <c r="D31" s="1" t="s">
        <v>23</v>
      </c>
      <c r="E31" s="14">
        <v>-1378.4549999999999</v>
      </c>
      <c r="F31" s="5" t="s">
        <v>422</v>
      </c>
      <c r="G31" s="2">
        <v>46241</v>
      </c>
      <c r="H31" s="9">
        <v>1170</v>
      </c>
      <c r="I31" s="4"/>
      <c r="J31" s="4" t="s">
        <v>425</v>
      </c>
      <c r="K31" s="7" t="s">
        <v>2919</v>
      </c>
      <c r="L31" s="1" t="s">
        <v>23</v>
      </c>
      <c r="M31" s="9" t="s">
        <v>2</v>
      </c>
      <c r="N31" s="4" t="str">
        <f>VLOOKUP(H31,Clientes!B:D,3,)</f>
        <v>BGC LIQUIDEZ DTVM LTDA</v>
      </c>
    </row>
    <row r="32" spans="1:14" hidden="1" x14ac:dyDescent="0.25">
      <c r="A32" s="4" t="str">
        <f t="shared" si="0"/>
        <v>DESPESA DE REPRESENTAÇÃO - ALUGUEL FLAT  - GESTOR - ANDRE HALL ACCIOLY (AGENDA 43318)</v>
      </c>
      <c r="B32" s="11">
        <v>46235</v>
      </c>
      <c r="C32" s="4">
        <v>817991</v>
      </c>
      <c r="D32" s="1" t="s">
        <v>423</v>
      </c>
      <c r="E32" s="14">
        <v>-2756.91</v>
      </c>
      <c r="F32" s="5" t="s">
        <v>422</v>
      </c>
      <c r="G32" s="2">
        <v>46241</v>
      </c>
      <c r="H32" s="9">
        <v>1170</v>
      </c>
      <c r="I32" s="4"/>
      <c r="J32" s="4" t="s">
        <v>425</v>
      </c>
      <c r="K32" s="7" t="s">
        <v>2919</v>
      </c>
      <c r="L32" s="1" t="s">
        <v>742</v>
      </c>
      <c r="M32" s="9" t="s">
        <v>598</v>
      </c>
      <c r="N32" s="4" t="str">
        <f>VLOOKUP(H32,Clientes!B:D,3,)</f>
        <v>BGC LIQUIDEZ DTVM LTDA</v>
      </c>
    </row>
    <row r="33" spans="1:14" hidden="1" x14ac:dyDescent="0.25">
      <c r="A33" s="4" t="str">
        <f t="shared" si="0"/>
        <v>DESPESA DE REPRESENTAÇÃO - ALUGUEL FLAT  - BROKER - CHRISTIANO MARCONDES DE BARROS LIMA (AGENDA 43318)</v>
      </c>
      <c r="B33" s="11">
        <v>46235</v>
      </c>
      <c r="C33" s="4">
        <v>817991</v>
      </c>
      <c r="D33" s="1" t="s">
        <v>60</v>
      </c>
      <c r="E33" s="14">
        <f>E35/2</f>
        <v>-843.1825</v>
      </c>
      <c r="F33" s="5" t="s">
        <v>422</v>
      </c>
      <c r="G33" s="2">
        <v>46241</v>
      </c>
      <c r="H33" s="9">
        <v>1170</v>
      </c>
      <c r="I33" s="4"/>
      <c r="J33" s="5" t="s">
        <v>425</v>
      </c>
      <c r="K33" s="7" t="s">
        <v>2919</v>
      </c>
      <c r="L33" s="1" t="s">
        <v>60</v>
      </c>
      <c r="M33" s="9" t="s">
        <v>2</v>
      </c>
      <c r="N33" s="4" t="str">
        <f>VLOOKUP(H33,Clientes!B:D,3,)</f>
        <v>BGC LIQUIDEZ DTVM LTDA</v>
      </c>
    </row>
    <row r="34" spans="1:14" hidden="1" x14ac:dyDescent="0.25">
      <c r="A34" s="4" t="str">
        <f t="shared" si="0"/>
        <v>DESPESA DE REPRESENTAÇÃO - ALUGUEL FLAT  - BROKER - JOSE MAURICIO GOMES TEIXEIRA (AGENDA 43318)</v>
      </c>
      <c r="B34" s="11">
        <v>46235</v>
      </c>
      <c r="C34" s="4">
        <v>817991</v>
      </c>
      <c r="D34" s="1" t="s">
        <v>23</v>
      </c>
      <c r="E34" s="14">
        <v>-843.1825</v>
      </c>
      <c r="F34" s="5" t="s">
        <v>422</v>
      </c>
      <c r="G34" s="2">
        <v>46241</v>
      </c>
      <c r="H34" s="9">
        <v>1170</v>
      </c>
      <c r="I34" s="4"/>
      <c r="J34" s="4" t="s">
        <v>425</v>
      </c>
      <c r="K34" s="7" t="s">
        <v>2919</v>
      </c>
      <c r="L34" s="1" t="s">
        <v>23</v>
      </c>
      <c r="M34" s="9" t="s">
        <v>2</v>
      </c>
      <c r="N34" s="4" t="str">
        <f>VLOOKUP(H34,Clientes!B:D,3,)</f>
        <v>BGC LIQUIDEZ DTVM LTDA</v>
      </c>
    </row>
    <row r="35" spans="1:14" hidden="1" x14ac:dyDescent="0.25">
      <c r="A35" s="4" t="str">
        <f t="shared" si="0"/>
        <v>DESPESA DE REPRESENTAÇÃO - ALUGUEL FLAT  - GESTOR - ANDRE HALL ACCIOLY (AGENDA 43318)</v>
      </c>
      <c r="B35" s="11">
        <v>46235</v>
      </c>
      <c r="C35" s="4">
        <v>817991</v>
      </c>
      <c r="D35" s="1" t="s">
        <v>423</v>
      </c>
      <c r="E35" s="14">
        <v>-1686.365</v>
      </c>
      <c r="F35" s="5" t="s">
        <v>422</v>
      </c>
      <c r="G35" s="2">
        <v>46241</v>
      </c>
      <c r="H35" s="9">
        <v>1170</v>
      </c>
      <c r="I35" s="4"/>
      <c r="J35" s="4" t="s">
        <v>425</v>
      </c>
      <c r="K35" s="7" t="s">
        <v>2919</v>
      </c>
      <c r="L35" s="1" t="s">
        <v>742</v>
      </c>
      <c r="M35" s="9" t="s">
        <v>598</v>
      </c>
      <c r="N35" s="4" t="str">
        <f>VLOOKUP(H35,Clientes!B:D,3,)</f>
        <v>BGC LIQUIDEZ DTVM LTDA</v>
      </c>
    </row>
    <row r="36" spans="1:14" hidden="1" x14ac:dyDescent="0.25">
      <c r="A36" s="4" t="str">
        <f t="shared" si="0"/>
        <v>DESPESA DE REPRESENTAÇÃO - REEMBOLSO REFERENTE AOS INGRESSOS DO JOGO ROLAND GARROS QUE FOI COMPRADO NO CARTÃO CORPORATIVO EM JUNHO E FORAM CANCELADOS - CEO - ERMINIO OLIVI LUCCI (AGENDA 43519)</v>
      </c>
      <c r="B36" s="11">
        <v>46235</v>
      </c>
      <c r="C36" s="4">
        <v>817991</v>
      </c>
      <c r="D36" s="1" t="s">
        <v>650</v>
      </c>
      <c r="E36" s="14">
        <v>23539.200000000001</v>
      </c>
      <c r="F36" s="5" t="s">
        <v>387</v>
      </c>
      <c r="G36" s="2">
        <v>46244</v>
      </c>
      <c r="H36" s="9">
        <v>1170</v>
      </c>
      <c r="I36" s="4"/>
      <c r="J36" s="5" t="s">
        <v>2864</v>
      </c>
      <c r="K36" s="9" t="s">
        <v>2863</v>
      </c>
      <c r="L36" s="1" t="s">
        <v>650</v>
      </c>
      <c r="M36" s="9" t="s">
        <v>490</v>
      </c>
      <c r="N36" s="4" t="str">
        <f>VLOOKUP(H36,Clientes!B:D,3,)</f>
        <v>BGC LIQUIDEZ DTVM LTDA</v>
      </c>
    </row>
    <row r="37" spans="1:14" hidden="1" x14ac:dyDescent="0.25">
      <c r="A37" s="4" t="str">
        <f t="shared" si="0"/>
        <v>DESPESA DE REPRESENTAÇÃO - HOTEL PROMENADE PALLADIUM - TRADER - ERIC CHA-HUA (AGENDA 43374)</v>
      </c>
      <c r="B37" s="11">
        <v>46235</v>
      </c>
      <c r="C37" s="4">
        <v>817991</v>
      </c>
      <c r="D37" s="1" t="s">
        <v>648</v>
      </c>
      <c r="E37" s="14">
        <v>-2644</v>
      </c>
      <c r="F37" s="5" t="s">
        <v>422</v>
      </c>
      <c r="G37" s="5">
        <v>46246</v>
      </c>
      <c r="H37" s="9">
        <v>1170</v>
      </c>
      <c r="I37" s="5"/>
      <c r="J37" s="5" t="s">
        <v>2803</v>
      </c>
      <c r="K37" s="5" t="s">
        <v>2804</v>
      </c>
      <c r="L37" s="5" t="s">
        <v>2805</v>
      </c>
      <c r="M37" s="5" t="s">
        <v>335</v>
      </c>
      <c r="N37" s="4" t="str">
        <f>VLOOKUP(H37,Clientes!B:D,3,)</f>
        <v>BGC LIQUIDEZ DTVM LTDA</v>
      </c>
    </row>
    <row r="38" spans="1:14" hidden="1" x14ac:dyDescent="0.25">
      <c r="A38" s="4" t="str">
        <f t="shared" si="0"/>
        <v>DESPESA DE REPRESENTAÇÃO - HOTEL RADISSON BLU SÃO PAULO - TRADER - FINNIAN THORNTON (AGENDA 43374)</v>
      </c>
      <c r="B38" s="11">
        <v>46235</v>
      </c>
      <c r="C38" s="4">
        <v>817991</v>
      </c>
      <c r="D38" s="1" t="s">
        <v>648</v>
      </c>
      <c r="E38" s="14">
        <v>-2835.82</v>
      </c>
      <c r="F38" s="5" t="s">
        <v>422</v>
      </c>
      <c r="G38" s="5">
        <v>46246</v>
      </c>
      <c r="H38" s="9">
        <v>1170</v>
      </c>
      <c r="I38" s="4"/>
      <c r="J38" s="5" t="s">
        <v>1638</v>
      </c>
      <c r="K38" s="5" t="s">
        <v>2804</v>
      </c>
      <c r="L38" s="9" t="s">
        <v>2806</v>
      </c>
      <c r="M38" s="9" t="s">
        <v>335</v>
      </c>
      <c r="N38" s="4" t="str">
        <f>VLOOKUP(H38,Clientes!B:D,3,)</f>
        <v>BGC LIQUIDEZ DTVM LTDA</v>
      </c>
    </row>
    <row r="39" spans="1:14" hidden="1" x14ac:dyDescent="0.25">
      <c r="A39" s="4" t="str">
        <f t="shared" si="0"/>
        <v>DESPESA DE REPRESENTAÇÃO - HOTEL PROMENADE PALLADIUM - TRADER - FINNIAN THORNTON (AGENDA 43374)</v>
      </c>
      <c r="B39" s="11">
        <v>46235</v>
      </c>
      <c r="C39" s="4">
        <v>817991</v>
      </c>
      <c r="D39" s="1" t="s">
        <v>648</v>
      </c>
      <c r="E39" s="14">
        <v>-5288</v>
      </c>
      <c r="F39" s="5" t="s">
        <v>422</v>
      </c>
      <c r="G39" s="5">
        <v>46246</v>
      </c>
      <c r="H39" s="9">
        <v>1170</v>
      </c>
      <c r="I39" s="4"/>
      <c r="J39" s="5" t="s">
        <v>2803</v>
      </c>
      <c r="K39" s="5" t="s">
        <v>2804</v>
      </c>
      <c r="L39" s="9" t="s">
        <v>2806</v>
      </c>
      <c r="M39" s="9" t="s">
        <v>335</v>
      </c>
      <c r="N39" s="4" t="str">
        <f>VLOOKUP(H39,Clientes!B:D,3,)</f>
        <v>BGC LIQUIDEZ DTVM LTDA</v>
      </c>
    </row>
    <row r="40" spans="1:14" hidden="1" x14ac:dyDescent="0.25">
      <c r="A40" s="4" t="str">
        <f t="shared" si="0"/>
        <v>DESPESA DE REPRESENTAÇÃO - HOTEL RADISSON BLU SÃO PAULO - BROKER - CLAUDIO DE SOUZA PACINI (AGENDA 43374)</v>
      </c>
      <c r="B40" s="11">
        <v>46235</v>
      </c>
      <c r="C40" s="4">
        <v>817991</v>
      </c>
      <c r="D40" s="1" t="s">
        <v>648</v>
      </c>
      <c r="E40" s="14">
        <v>-4422.8100000000004</v>
      </c>
      <c r="F40" s="5" t="s">
        <v>422</v>
      </c>
      <c r="G40" s="5">
        <v>46246</v>
      </c>
      <c r="H40" s="9">
        <v>1170</v>
      </c>
      <c r="I40" s="4"/>
      <c r="J40" s="5" t="s">
        <v>1638</v>
      </c>
      <c r="K40" s="5" t="s">
        <v>2804</v>
      </c>
      <c r="L40" s="1" t="s">
        <v>648</v>
      </c>
      <c r="M40" s="9" t="s">
        <v>2</v>
      </c>
      <c r="N40" s="4" t="str">
        <f>VLOOKUP(H40,Clientes!B:D,3,)</f>
        <v>BGC LIQUIDEZ DTVM LTDA</v>
      </c>
    </row>
    <row r="41" spans="1:14" hidden="1" x14ac:dyDescent="0.25">
      <c r="A41" s="4" t="str">
        <f t="shared" si="0"/>
        <v>DESPESA DE REPRESENTAÇÃO - ALMOÇO - TRADER - PAULO DIEGO CETIN (082255-3998PI)</v>
      </c>
      <c r="B41" s="11">
        <v>46235</v>
      </c>
      <c r="C41" s="4">
        <v>817991</v>
      </c>
      <c r="D41" s="1" t="s">
        <v>772</v>
      </c>
      <c r="E41" s="14">
        <v>-2258</v>
      </c>
      <c r="F41" s="5" t="s">
        <v>447</v>
      </c>
      <c r="G41" s="2">
        <v>46247</v>
      </c>
      <c r="H41" s="9">
        <v>95007</v>
      </c>
      <c r="I41" s="4"/>
      <c r="J41" s="4" t="s">
        <v>447</v>
      </c>
      <c r="K41" s="7" t="s">
        <v>2807</v>
      </c>
      <c r="L41" s="1" t="s">
        <v>1998</v>
      </c>
      <c r="M41" s="9" t="s">
        <v>335</v>
      </c>
      <c r="N41" s="4" t="str">
        <f>VLOOKUP(H41,Clientes!B:D,3,)</f>
        <v>BANCO BNP PARIBAS BRASIL S/A</v>
      </c>
    </row>
    <row r="42" spans="1:14" hidden="1" x14ac:dyDescent="0.25">
      <c r="A42" s="4" t="str">
        <f t="shared" si="0"/>
        <v>DESPESA DE REPRESENTAÇÃO - JANTAR - TRADER - RAFAEL PIROLO MADI (082155-3998PI)</v>
      </c>
      <c r="B42" s="11">
        <v>46235</v>
      </c>
      <c r="C42" s="4">
        <v>817991</v>
      </c>
      <c r="D42" s="1" t="s">
        <v>772</v>
      </c>
      <c r="E42" s="14">
        <v>-1500</v>
      </c>
      <c r="F42" s="5" t="s">
        <v>380</v>
      </c>
      <c r="G42" s="2">
        <v>46247</v>
      </c>
      <c r="H42" s="9">
        <v>95007</v>
      </c>
      <c r="I42" s="4"/>
      <c r="J42" s="4" t="s">
        <v>380</v>
      </c>
      <c r="K42" s="7" t="s">
        <v>2808</v>
      </c>
      <c r="L42" s="1" t="s">
        <v>1916</v>
      </c>
      <c r="M42" s="9" t="s">
        <v>335</v>
      </c>
      <c r="N42" s="4" t="str">
        <f>VLOOKUP(H42,Clientes!B:D,3,)</f>
        <v>BANCO BNP PARIBAS BRASIL S/A</v>
      </c>
    </row>
    <row r="43" spans="1:14" hidden="1" x14ac:dyDescent="0.25">
      <c r="A43" s="4" t="str">
        <f t="shared" si="0"/>
        <v>DESPESA DE REPRESENTAÇÃO - ALMOÇO - TRADER - MARCELO BRAGA COVO (122130-3998CL)</v>
      </c>
      <c r="B43" s="11">
        <v>46235</v>
      </c>
      <c r="C43" s="4">
        <v>817991</v>
      </c>
      <c r="D43" s="1" t="s">
        <v>60</v>
      </c>
      <c r="E43" s="14">
        <v>-1767</v>
      </c>
      <c r="F43" s="5" t="s">
        <v>447</v>
      </c>
      <c r="G43" s="2">
        <v>46247</v>
      </c>
      <c r="H43" s="9">
        <v>80111</v>
      </c>
      <c r="I43" s="4"/>
      <c r="J43" s="4" t="s">
        <v>447</v>
      </c>
      <c r="K43" s="7" t="s">
        <v>2809</v>
      </c>
      <c r="L43" s="1" t="s">
        <v>153</v>
      </c>
      <c r="M43" s="9" t="s">
        <v>335</v>
      </c>
      <c r="N43" s="4" t="str">
        <f>VLOOKUP(H43,Clientes!B:D,3,)</f>
        <v>IBIUNA GESTAO DE RECURSOS LTDA</v>
      </c>
    </row>
    <row r="44" spans="1:14" hidden="1" x14ac:dyDescent="0.25">
      <c r="A44" s="4" t="str">
        <f t="shared" si="0"/>
        <v>DESPESA DE REPRESENTAÇÃO - ALMOÇO - TRADER - FELIPE LOPES DE SOUZA (170741-3998AS)</v>
      </c>
      <c r="B44" s="11">
        <v>46235</v>
      </c>
      <c r="C44" s="4">
        <v>817991</v>
      </c>
      <c r="D44" s="1" t="s">
        <v>449</v>
      </c>
      <c r="E44" s="14">
        <v>-554</v>
      </c>
      <c r="F44" s="5" t="s">
        <v>447</v>
      </c>
      <c r="G44" s="2">
        <v>46247</v>
      </c>
      <c r="H44" s="9">
        <v>15501</v>
      </c>
      <c r="I44" s="4"/>
      <c r="J44" s="5" t="s">
        <v>447</v>
      </c>
      <c r="K44" s="7" t="s">
        <v>2810</v>
      </c>
      <c r="L44" s="1" t="s">
        <v>1628</v>
      </c>
      <c r="M44" s="9" t="s">
        <v>335</v>
      </c>
      <c r="N44" s="4" t="str">
        <f>VLOOKUP(H44,Clientes!B:D,3,)</f>
        <v>BANCO BTG PACTUAL S/A</v>
      </c>
    </row>
    <row r="45" spans="1:14" hidden="1" x14ac:dyDescent="0.25">
      <c r="A45" s="4" t="str">
        <f t="shared" si="0"/>
        <v>DESPESA DE REPRESENTAÇÃO - ALMOÇO - TRADER - GUSTAVO MAZIERO (173708-3998RP)</v>
      </c>
      <c r="B45" s="11">
        <v>46235</v>
      </c>
      <c r="C45" s="4">
        <v>817991</v>
      </c>
      <c r="D45" s="1" t="s">
        <v>482</v>
      </c>
      <c r="E45" s="14">
        <v>-522</v>
      </c>
      <c r="F45" s="5" t="s">
        <v>447</v>
      </c>
      <c r="G45" s="2">
        <v>46247</v>
      </c>
      <c r="H45" s="9">
        <v>82841</v>
      </c>
      <c r="I45" s="4"/>
      <c r="J45" s="5" t="s">
        <v>447</v>
      </c>
      <c r="K45" s="7" t="s">
        <v>2811</v>
      </c>
      <c r="L45" s="1" t="s">
        <v>704</v>
      </c>
      <c r="M45" s="9" t="s">
        <v>335</v>
      </c>
      <c r="N45" s="4" t="str">
        <f>VLOOKUP(H45,Clientes!B:D,3,)</f>
        <v>LOGOS GESTAO DE RECURSOS LTDA.</v>
      </c>
    </row>
    <row r="46" spans="1:14" hidden="1" x14ac:dyDescent="0.25">
      <c r="A46" s="4" t="str">
        <f t="shared" si="0"/>
        <v>DESPESA DE REPRESENTAÇÃO - JANTAR - TRADER - LUCAS MARQUES HILL (082921-3998FR)</v>
      </c>
      <c r="B46" s="11">
        <v>46235</v>
      </c>
      <c r="C46" s="4">
        <v>817991</v>
      </c>
      <c r="D46" s="1" t="s">
        <v>632</v>
      </c>
      <c r="E46" s="14">
        <v>-2184.9699999999998</v>
      </c>
      <c r="F46" s="5" t="s">
        <v>380</v>
      </c>
      <c r="G46" s="2">
        <v>46247</v>
      </c>
      <c r="H46" s="9">
        <v>79931</v>
      </c>
      <c r="I46" s="4"/>
      <c r="J46" s="4" t="s">
        <v>380</v>
      </c>
      <c r="K46" s="7" t="s">
        <v>2812</v>
      </c>
      <c r="L46" s="1" t="s">
        <v>309</v>
      </c>
      <c r="M46" s="9" t="s">
        <v>335</v>
      </c>
      <c r="N46" s="4" t="str">
        <f>VLOOKUP(H46,Clientes!B:D,3,)</f>
        <v>SPX GESTAO DE RECURSOS LTDA</v>
      </c>
    </row>
    <row r="47" spans="1:14" hidden="1" x14ac:dyDescent="0.25">
      <c r="A47" s="4" t="str">
        <f t="shared" si="0"/>
        <v>DESPESA DE REPRESENTAÇÃO - JANTAR - TRADER - ROMULO MAGALHAES BRASIL (131039-3998FB)</v>
      </c>
      <c r="B47" s="11">
        <v>46235</v>
      </c>
      <c r="C47" s="4">
        <v>817991</v>
      </c>
      <c r="D47" s="1" t="s">
        <v>475</v>
      </c>
      <c r="E47" s="14">
        <v>-1374.08</v>
      </c>
      <c r="F47" s="5" t="s">
        <v>380</v>
      </c>
      <c r="G47" s="2">
        <v>46247</v>
      </c>
      <c r="H47" s="9">
        <v>79805</v>
      </c>
      <c r="I47" s="4"/>
      <c r="J47" s="5" t="s">
        <v>380</v>
      </c>
      <c r="K47" s="7" t="s">
        <v>2813</v>
      </c>
      <c r="L47" s="1" t="s">
        <v>517</v>
      </c>
      <c r="M47" s="9" t="s">
        <v>335</v>
      </c>
      <c r="N47" s="4" t="str">
        <f>VLOOKUP(H47,Clientes!B:D,3,)</f>
        <v>ITAU UNIBANCO S/A</v>
      </c>
    </row>
    <row r="48" spans="1:14" hidden="1" x14ac:dyDescent="0.25">
      <c r="A48" s="4" t="str">
        <f t="shared" si="0"/>
        <v>DESPESA DE REPRESENTAÇÃO - JANTAR - TRADER - ROMULO MAGALHAES BRASIL (131039-3998FB)</v>
      </c>
      <c r="B48" s="11">
        <v>46235</v>
      </c>
      <c r="C48" s="4">
        <v>817991</v>
      </c>
      <c r="D48" s="1" t="s">
        <v>665</v>
      </c>
      <c r="E48" s="14">
        <v>-1374.08</v>
      </c>
      <c r="F48" s="5" t="s">
        <v>380</v>
      </c>
      <c r="G48" s="2">
        <v>46247</v>
      </c>
      <c r="H48" s="9">
        <v>79805</v>
      </c>
      <c r="I48" s="4"/>
      <c r="J48" s="5" t="s">
        <v>380</v>
      </c>
      <c r="K48" s="7" t="s">
        <v>2813</v>
      </c>
      <c r="L48" s="1" t="s">
        <v>517</v>
      </c>
      <c r="M48" s="9" t="s">
        <v>335</v>
      </c>
      <c r="N48" s="4" t="str">
        <f>VLOOKUP(H48,Clientes!B:D,3,)</f>
        <v>ITAU UNIBANCO S/A</v>
      </c>
    </row>
    <row r="49" spans="1:16" hidden="1" x14ac:dyDescent="0.25">
      <c r="A49" s="4" t="str">
        <f t="shared" si="0"/>
        <v>DESPESA DE REPRESENTAÇÃO - JANTAR - TRADER - IGOR CHIASSO MARQUES (101600-3998BG)</v>
      </c>
      <c r="B49" s="11">
        <v>46235</v>
      </c>
      <c r="C49" s="4">
        <v>817991</v>
      </c>
      <c r="D49" s="1" t="s">
        <v>23</v>
      </c>
      <c r="E49" s="14">
        <v>-2786</v>
      </c>
      <c r="F49" s="5" t="s">
        <v>380</v>
      </c>
      <c r="G49" s="2">
        <v>46247</v>
      </c>
      <c r="H49" s="9">
        <v>125055</v>
      </c>
      <c r="I49" s="4"/>
      <c r="J49" s="5" t="s">
        <v>380</v>
      </c>
      <c r="K49" s="7" t="s">
        <v>2814</v>
      </c>
      <c r="L49" s="1" t="s">
        <v>1961</v>
      </c>
      <c r="M49" s="9" t="s">
        <v>335</v>
      </c>
      <c r="N49" s="4" t="str">
        <f>VLOOKUP(H49,Clientes!B:D,3,)</f>
        <v>BANCO XP S/A</v>
      </c>
    </row>
    <row r="50" spans="1:16" hidden="1" x14ac:dyDescent="0.25">
      <c r="A50" s="4" t="str">
        <f t="shared" si="0"/>
        <v>DESPESA DE REPRESENTAÇÃO - ALMOÇO - TRADER - BRUNA GUTIERREZ (143555-3998MP)</v>
      </c>
      <c r="B50" s="11">
        <v>46235</v>
      </c>
      <c r="C50" s="4">
        <v>817991</v>
      </c>
      <c r="D50" s="1" t="s">
        <v>477</v>
      </c>
      <c r="E50" s="14">
        <v>-552.57000000000005</v>
      </c>
      <c r="F50" s="5" t="s">
        <v>447</v>
      </c>
      <c r="G50" s="2">
        <v>46247</v>
      </c>
      <c r="H50" s="9">
        <v>80359</v>
      </c>
      <c r="I50" s="4"/>
      <c r="J50" s="4" t="s">
        <v>447</v>
      </c>
      <c r="K50" s="7" t="s">
        <v>2815</v>
      </c>
      <c r="L50" s="1" t="s">
        <v>1076</v>
      </c>
      <c r="M50" s="9" t="s">
        <v>335</v>
      </c>
      <c r="N50" s="4" t="str">
        <f>VLOOKUP(H50,Clientes!B:D,3,)</f>
        <v>VINLAND CAPITAL MANAGEMENT GESTORA DE RECURSOS LTDA</v>
      </c>
    </row>
    <row r="51" spans="1:16" hidden="1" x14ac:dyDescent="0.25">
      <c r="A51" s="4" t="str">
        <f t="shared" si="0"/>
        <v>DESPESA DE REPRESENTAÇÃO - JANTAR - TRADER - CAIO TADAYOSHI SATO (094808-3998AA)</v>
      </c>
      <c r="B51" s="11">
        <v>46235</v>
      </c>
      <c r="C51" s="4">
        <v>817991</v>
      </c>
      <c r="D51" s="1" t="s">
        <v>379</v>
      </c>
      <c r="E51" s="14">
        <v>-2520</v>
      </c>
      <c r="F51" s="5" t="s">
        <v>380</v>
      </c>
      <c r="G51" s="2">
        <v>46247</v>
      </c>
      <c r="H51" s="9">
        <v>81259</v>
      </c>
      <c r="I51" s="4"/>
      <c r="J51" s="5" t="s">
        <v>380</v>
      </c>
      <c r="K51" s="7" t="s">
        <v>2816</v>
      </c>
      <c r="L51" s="1" t="s">
        <v>1516</v>
      </c>
      <c r="M51" s="9" t="s">
        <v>335</v>
      </c>
      <c r="N51" s="4" t="str">
        <f>VLOOKUP(H51,Clientes!B:D,3,)</f>
        <v>GOLDMAN SACHS DO BRASIL BANCO MULTIPLO S/A</v>
      </c>
    </row>
    <row r="52" spans="1:16" hidden="1" x14ac:dyDescent="0.25">
      <c r="A52" s="4" t="str">
        <f t="shared" si="0"/>
        <v>DESPESA DE REPRESENTAÇÃO - ALMOÇO - TRADER - BERNARDO OTTONI DE V SALGADO (134447-3998AV)</v>
      </c>
      <c r="B52" s="11">
        <v>46235</v>
      </c>
      <c r="C52" s="4">
        <v>817991</v>
      </c>
      <c r="D52" s="1" t="s">
        <v>23</v>
      </c>
      <c r="E52" s="14">
        <v>-1102</v>
      </c>
      <c r="F52" s="5" t="s">
        <v>447</v>
      </c>
      <c r="G52" s="2">
        <v>46247</v>
      </c>
      <c r="H52" s="9">
        <v>15781</v>
      </c>
      <c r="I52" s="4"/>
      <c r="J52" s="5" t="s">
        <v>447</v>
      </c>
      <c r="K52" s="7" t="s">
        <v>2818</v>
      </c>
      <c r="L52" s="1" t="s">
        <v>2293</v>
      </c>
      <c r="M52" s="9" t="s">
        <v>335</v>
      </c>
      <c r="N52" s="4" t="str">
        <f>VLOOKUP(H52,Clientes!B:D,3,)</f>
        <v>BANCO SAFRA S/A</v>
      </c>
    </row>
    <row r="53" spans="1:16" hidden="1" x14ac:dyDescent="0.25">
      <c r="A53" s="4" t="str">
        <f t="shared" si="0"/>
        <v>DESPESA DE REPRESENTAÇÃO - ALMOÇO - TRADER - THOMAS CITRIN (185522-3998FB)</v>
      </c>
      <c r="B53" s="11">
        <v>46235</v>
      </c>
      <c r="C53" s="4">
        <v>817991</v>
      </c>
      <c r="D53" s="1" t="s">
        <v>624</v>
      </c>
      <c r="E53" s="14">
        <v>-1221</v>
      </c>
      <c r="F53" s="5" t="s">
        <v>447</v>
      </c>
      <c r="G53" s="2">
        <v>46247</v>
      </c>
      <c r="H53" s="9">
        <v>81718</v>
      </c>
      <c r="I53" s="4"/>
      <c r="J53" s="5" t="s">
        <v>447</v>
      </c>
      <c r="K53" s="7" t="s">
        <v>2819</v>
      </c>
      <c r="L53" s="1" t="s">
        <v>1124</v>
      </c>
      <c r="M53" s="9" t="s">
        <v>335</v>
      </c>
      <c r="N53" s="4" t="str">
        <f>VLOOKUP(H53,Clientes!B:D,3,)</f>
        <v>QUANTIQUE M3 INVESTMENTS LTDA</v>
      </c>
    </row>
    <row r="54" spans="1:16" hidden="1" x14ac:dyDescent="0.25">
      <c r="A54" s="4" t="str">
        <f t="shared" si="0"/>
        <v>DESPESA DE REPRESENTAÇÃO - JANTAR - TRADER - BRUNO B PEROTTONI (091727-3998JV)</v>
      </c>
      <c r="B54" s="11">
        <v>46235</v>
      </c>
      <c r="C54" s="4">
        <v>817991</v>
      </c>
      <c r="D54" s="1" t="s">
        <v>459</v>
      </c>
      <c r="E54" s="14">
        <v>-1499.51</v>
      </c>
      <c r="F54" s="5" t="s">
        <v>380</v>
      </c>
      <c r="G54" s="2">
        <v>46247</v>
      </c>
      <c r="H54" s="9">
        <v>81794</v>
      </c>
      <c r="I54" s="4"/>
      <c r="J54" s="5" t="s">
        <v>380</v>
      </c>
      <c r="K54" s="7" t="s">
        <v>2820</v>
      </c>
      <c r="L54" s="1" t="s">
        <v>226</v>
      </c>
      <c r="M54" s="9" t="s">
        <v>335</v>
      </c>
      <c r="N54" s="4" t="str">
        <f>VLOOKUP(H54,Clientes!B:D,3,)</f>
        <v>BRAZA BANK S/A BANCO DE CAMBIO</v>
      </c>
    </row>
    <row r="55" spans="1:16" hidden="1" x14ac:dyDescent="0.25">
      <c r="A55" s="4" t="str">
        <f t="shared" si="0"/>
        <v>DESPESA DE REPRESENTAÇÃO - ALMOÇO - TRADER - BERNARDO MACHADO URBAN (082658-3998PI)</v>
      </c>
      <c r="B55" s="11">
        <v>46235</v>
      </c>
      <c r="C55" s="4">
        <v>817991</v>
      </c>
      <c r="D55" s="1" t="s">
        <v>772</v>
      </c>
      <c r="E55" s="14">
        <v>-687</v>
      </c>
      <c r="F55" s="5" t="s">
        <v>447</v>
      </c>
      <c r="G55" s="2">
        <v>46247</v>
      </c>
      <c r="H55" s="9">
        <v>79965</v>
      </c>
      <c r="I55" s="4"/>
      <c r="J55" s="5" t="s">
        <v>447</v>
      </c>
      <c r="K55" s="7" t="s">
        <v>2821</v>
      </c>
      <c r="L55" s="1" t="s">
        <v>1819</v>
      </c>
      <c r="M55" s="9" t="s">
        <v>335</v>
      </c>
      <c r="N55" s="4" t="str">
        <f>VLOOKUP(H55,Clientes!B:D,3,)</f>
        <v>BANCO HSBC S/A</v>
      </c>
    </row>
    <row r="56" spans="1:16" hidden="1" x14ac:dyDescent="0.25">
      <c r="A56" s="4" t="str">
        <f t="shared" si="0"/>
        <v>DESPESA DE REPRESENTAÇÃO - ALMOÇO - TRADER - FERNANDO SCARPA R LEITE (150656-3998FR)</v>
      </c>
      <c r="B56" s="11">
        <v>46235</v>
      </c>
      <c r="C56" s="4">
        <v>817991</v>
      </c>
      <c r="D56" s="1" t="s">
        <v>632</v>
      </c>
      <c r="E56" s="14">
        <v>-1254.3</v>
      </c>
      <c r="F56" s="5" t="s">
        <v>447</v>
      </c>
      <c r="G56" s="2">
        <v>46247</v>
      </c>
      <c r="H56" s="9">
        <v>80375</v>
      </c>
      <c r="I56" s="4"/>
      <c r="J56" s="5" t="s">
        <v>447</v>
      </c>
      <c r="K56" s="7" t="s">
        <v>2822</v>
      </c>
      <c r="L56" s="1" t="s">
        <v>630</v>
      </c>
      <c r="M56" s="9" t="s">
        <v>335</v>
      </c>
      <c r="N56" s="4" t="str">
        <f>VLOOKUP(H56,Clientes!B:D,3,)</f>
        <v>ITAU UNIBANCO S/A</v>
      </c>
    </row>
    <row r="57" spans="1:16" hidden="1" x14ac:dyDescent="0.25">
      <c r="A57" s="4" t="str">
        <f t="shared" si="0"/>
        <v>DESPESA DE REPRESENTAÇÃO - ALMOÇO - TRADER - FERNANDO SCARPA R LEITE (150656-3998FR)</v>
      </c>
      <c r="B57" s="11">
        <v>46235</v>
      </c>
      <c r="C57" s="4">
        <v>817991</v>
      </c>
      <c r="D57" s="1" t="s">
        <v>615</v>
      </c>
      <c r="E57" s="14">
        <v>-1254.3</v>
      </c>
      <c r="F57" s="5" t="s">
        <v>447</v>
      </c>
      <c r="G57" s="2">
        <v>46247</v>
      </c>
      <c r="H57" s="9">
        <v>80375</v>
      </c>
      <c r="I57" s="4"/>
      <c r="J57" s="5" t="s">
        <v>447</v>
      </c>
      <c r="K57" s="7" t="s">
        <v>2822</v>
      </c>
      <c r="L57" s="1" t="s">
        <v>630</v>
      </c>
      <c r="M57" s="9" t="s">
        <v>335</v>
      </c>
      <c r="N57" s="4" t="str">
        <f>VLOOKUP(H57,Clientes!B:D,3,)</f>
        <v>ITAU UNIBANCO S/A</v>
      </c>
    </row>
    <row r="58" spans="1:16" hidden="1" x14ac:dyDescent="0.25">
      <c r="A58" s="4" t="str">
        <f t="shared" si="0"/>
        <v>DESPESA DE REPRESENTAÇÃO - ALMOÇO - TRADER - FERNANDO SALES (093154-3998CC)</v>
      </c>
      <c r="B58" s="11">
        <v>46235</v>
      </c>
      <c r="C58" s="4">
        <v>817991</v>
      </c>
      <c r="D58" s="1" t="s">
        <v>1397</v>
      </c>
      <c r="E58" s="14">
        <v>-1728.44</v>
      </c>
      <c r="F58" s="5" t="s">
        <v>447</v>
      </c>
      <c r="G58" s="2">
        <v>46247</v>
      </c>
      <c r="H58" s="9">
        <v>81380</v>
      </c>
      <c r="I58" s="4"/>
      <c r="J58" s="5" t="s">
        <v>447</v>
      </c>
      <c r="K58" s="7" t="s">
        <v>2823</v>
      </c>
      <c r="L58" s="1" t="s">
        <v>2824</v>
      </c>
      <c r="M58" s="9" t="s">
        <v>335</v>
      </c>
      <c r="N58" s="4" t="str">
        <f>VLOOKUP(H58,Clientes!B:D,3,)</f>
        <v>BANCO TOPAZIO S.A.</v>
      </c>
    </row>
    <row r="59" spans="1:16" hidden="1" x14ac:dyDescent="0.25">
      <c r="A59" s="4" t="str">
        <f t="shared" si="0"/>
        <v>DESPESA DE REPRESENTAÇÃO - ALMOÇO - TRADER - ALEXSANDER KLAUS SANSONOWICZ (145822-3998NA)</v>
      </c>
      <c r="B59" s="11">
        <v>46235</v>
      </c>
      <c r="C59" s="4">
        <v>817991</v>
      </c>
      <c r="D59" s="1" t="s">
        <v>665</v>
      </c>
      <c r="E59" s="14">
        <v>-1022.5</v>
      </c>
      <c r="F59" s="5" t="s">
        <v>447</v>
      </c>
      <c r="G59" s="2">
        <v>46247</v>
      </c>
      <c r="H59" s="9">
        <v>14378</v>
      </c>
      <c r="I59" s="4"/>
      <c r="J59" s="5" t="s">
        <v>447</v>
      </c>
      <c r="K59" s="7" t="s">
        <v>2825</v>
      </c>
      <c r="L59" s="1" t="s">
        <v>1599</v>
      </c>
      <c r="M59" s="9" t="s">
        <v>335</v>
      </c>
      <c r="N59" s="4" t="str">
        <f>VLOOKUP(H59,Clientes!B:D,3,)</f>
        <v>BANCO COOPERATIVO SICREDI S/A</v>
      </c>
    </row>
    <row r="60" spans="1:16" hidden="1" x14ac:dyDescent="0.25">
      <c r="A60" s="4" t="str">
        <f t="shared" si="0"/>
        <v>DESPESA DE REPRESENTAÇÃO - ALMOÇO - TRADER - ALEXSANDER KLAUS SANSONOWICZ (145822-3998NA)</v>
      </c>
      <c r="B60" s="11">
        <v>46235</v>
      </c>
      <c r="C60" s="4">
        <v>817991</v>
      </c>
      <c r="D60" s="1" t="s">
        <v>632</v>
      </c>
      <c r="E60" s="14">
        <v>-1022.5</v>
      </c>
      <c r="F60" s="5" t="s">
        <v>447</v>
      </c>
      <c r="G60" s="2">
        <v>46247</v>
      </c>
      <c r="H60" s="9">
        <v>14378</v>
      </c>
      <c r="I60" s="4"/>
      <c r="J60" s="5" t="s">
        <v>447</v>
      </c>
      <c r="K60" s="7" t="s">
        <v>2825</v>
      </c>
      <c r="L60" s="1" t="s">
        <v>1599</v>
      </c>
      <c r="M60" s="9" t="s">
        <v>335</v>
      </c>
      <c r="N60" s="4" t="str">
        <f>VLOOKUP(H60,Clientes!B:D,3,)</f>
        <v>BANCO COOPERATIVO SICREDI S/A</v>
      </c>
    </row>
    <row r="61" spans="1:16" hidden="1" x14ac:dyDescent="0.25">
      <c r="A61" s="4" t="str">
        <f t="shared" si="0"/>
        <v>DESPESA DE REPRESENTAÇÃO - HAPPY HOUR  - TRADER - FELIPE BEDIAGA OLIVEIRA (BMF) (132843-3998RC)</v>
      </c>
      <c r="B61" s="11">
        <v>46235</v>
      </c>
      <c r="C61" s="4">
        <v>817991</v>
      </c>
      <c r="D61" s="1" t="s">
        <v>646</v>
      </c>
      <c r="E61" s="14">
        <v>-2080</v>
      </c>
      <c r="F61" s="5" t="s">
        <v>387</v>
      </c>
      <c r="G61" s="2">
        <v>46247</v>
      </c>
      <c r="H61" s="9">
        <v>15501</v>
      </c>
      <c r="I61" s="4"/>
      <c r="J61" s="5" t="s">
        <v>1335</v>
      </c>
      <c r="K61" s="7" t="s">
        <v>2826</v>
      </c>
      <c r="L61" s="1" t="s">
        <v>2493</v>
      </c>
      <c r="M61" s="9" t="s">
        <v>335</v>
      </c>
      <c r="N61" s="4" t="str">
        <f>VLOOKUP(H61,Clientes!B:D,3,)</f>
        <v>BANCO BTG PACTUAL S/A</v>
      </c>
    </row>
    <row r="62" spans="1:16" s="32" customFormat="1" hidden="1" x14ac:dyDescent="0.25">
      <c r="A62" s="4" t="str">
        <f t="shared" si="0"/>
        <v>DESPESA DE REPRESENTAÇÃO - JANTAR - TRADER - GUILHERME HARARI MONACO (110049-3998RC)</v>
      </c>
      <c r="B62" s="11">
        <v>46235</v>
      </c>
      <c r="C62" s="4">
        <v>817991</v>
      </c>
      <c r="D62" s="1" t="s">
        <v>646</v>
      </c>
      <c r="E62" s="14">
        <v>-3729</v>
      </c>
      <c r="F62" s="5" t="s">
        <v>380</v>
      </c>
      <c r="G62" s="2">
        <v>46247</v>
      </c>
      <c r="H62" s="9">
        <v>80769</v>
      </c>
      <c r="I62" s="4"/>
      <c r="J62" s="5" t="s">
        <v>380</v>
      </c>
      <c r="K62" s="7" t="s">
        <v>2827</v>
      </c>
      <c r="L62" s="1" t="s">
        <v>962</v>
      </c>
      <c r="M62" s="9" t="s">
        <v>335</v>
      </c>
      <c r="N62" s="4" t="str">
        <f>VLOOKUP(H62,Clientes!B:D,3,)</f>
        <v>BANCO XP S/A</v>
      </c>
      <c r="O62"/>
      <c r="P62"/>
    </row>
    <row r="63" spans="1:16" s="32" customFormat="1" hidden="1" x14ac:dyDescent="0.25">
      <c r="A63" s="4" t="str">
        <f t="shared" si="0"/>
        <v>DESPESA DE REPRESENTAÇÃO - JANTAR - TRADER - BRUNO ACETOZE SCHIAVINATO (170257-3998PI)</v>
      </c>
      <c r="B63" s="11">
        <v>46235</v>
      </c>
      <c r="C63" s="4">
        <v>817991</v>
      </c>
      <c r="D63" s="1" t="s">
        <v>772</v>
      </c>
      <c r="E63" s="14">
        <v>-1804</v>
      </c>
      <c r="F63" s="5" t="s">
        <v>380</v>
      </c>
      <c r="G63" s="2">
        <v>46247</v>
      </c>
      <c r="H63" s="9">
        <v>14479</v>
      </c>
      <c r="I63" s="4"/>
      <c r="J63" s="5" t="s">
        <v>380</v>
      </c>
      <c r="K63" s="7" t="s">
        <v>2828</v>
      </c>
      <c r="L63" s="1" t="s">
        <v>2121</v>
      </c>
      <c r="M63" s="9" t="s">
        <v>335</v>
      </c>
      <c r="N63" s="4" t="str">
        <f>VLOOKUP(H63,Clientes!B:D,3,)</f>
        <v>BANCO SANTANDER (BRASIL) S/A</v>
      </c>
      <c r="O63"/>
      <c r="P63"/>
    </row>
    <row r="64" spans="1:16" s="32" customFormat="1" hidden="1" x14ac:dyDescent="0.25">
      <c r="A64" s="4" t="str">
        <f t="shared" si="0"/>
        <v>DESPESA DE REPRESENTAÇÃO - ALMOÇO - TRADER - CARLOS NEPOMUCENO (171349-3998MR)</v>
      </c>
      <c r="B64" s="11">
        <v>46235</v>
      </c>
      <c r="C64" s="4">
        <v>817991</v>
      </c>
      <c r="D64" s="1" t="s">
        <v>428</v>
      </c>
      <c r="E64" s="14">
        <v>-844.11</v>
      </c>
      <c r="F64" s="5" t="s">
        <v>447</v>
      </c>
      <c r="G64" s="2">
        <v>46247</v>
      </c>
      <c r="H64" s="9">
        <v>14479</v>
      </c>
      <c r="I64" s="4"/>
      <c r="J64" s="4" t="s">
        <v>447</v>
      </c>
      <c r="K64" s="7" t="s">
        <v>2829</v>
      </c>
      <c r="L64" s="1" t="s">
        <v>2830</v>
      </c>
      <c r="M64" s="9" t="s">
        <v>335</v>
      </c>
      <c r="N64" s="4" t="str">
        <f>VLOOKUP(H64,Clientes!B:D,3,)</f>
        <v>BANCO SANTANDER (BRASIL) S/A</v>
      </c>
      <c r="O64"/>
      <c r="P64"/>
    </row>
    <row r="65" spans="1:16" s="32" customFormat="1" hidden="1" x14ac:dyDescent="0.25">
      <c r="A65" s="4" t="str">
        <f t="shared" si="0"/>
        <v>DESPESA DE REPRESENTAÇÃO - ALMOÇO - TRADER - LUIZ ROGERIO MOLNAR (115454-3998FB)</v>
      </c>
      <c r="B65" s="11">
        <v>46235</v>
      </c>
      <c r="C65" s="4">
        <v>817991</v>
      </c>
      <c r="D65" s="1" t="s">
        <v>475</v>
      </c>
      <c r="E65" s="14">
        <v>-315.27</v>
      </c>
      <c r="F65" s="5" t="s">
        <v>447</v>
      </c>
      <c r="G65" s="2">
        <v>46247</v>
      </c>
      <c r="H65" s="9">
        <v>83024</v>
      </c>
      <c r="I65" s="4"/>
      <c r="J65" s="5" t="s">
        <v>447</v>
      </c>
      <c r="K65" s="7" t="s">
        <v>2831</v>
      </c>
      <c r="L65" s="1" t="s">
        <v>2832</v>
      </c>
      <c r="M65" s="9" t="s">
        <v>335</v>
      </c>
      <c r="N65" s="4" t="str">
        <f>VLOOKUP(H65,Clientes!B:D,3,)</f>
        <v>ITAU UNIBANCO ASSET MANAGEMENT LTDA</v>
      </c>
      <c r="O65"/>
      <c r="P65"/>
    </row>
    <row r="66" spans="1:16" s="32" customFormat="1" hidden="1" x14ac:dyDescent="0.25">
      <c r="A66" s="4" t="str">
        <f t="shared" si="0"/>
        <v>DESPESA DE REPRESENTAÇÃO - HAPPY HOUR - TRADER - KARINE VICENTE (100511-3998RC)</v>
      </c>
      <c r="B66" s="11">
        <v>46235</v>
      </c>
      <c r="C66" s="4">
        <v>817991</v>
      </c>
      <c r="D66" s="1" t="s">
        <v>646</v>
      </c>
      <c r="E66" s="14">
        <v>-820</v>
      </c>
      <c r="F66" s="5" t="s">
        <v>387</v>
      </c>
      <c r="G66" s="2">
        <v>46247</v>
      </c>
      <c r="H66" s="9">
        <v>80961</v>
      </c>
      <c r="I66" s="4"/>
      <c r="J66" s="5" t="s">
        <v>485</v>
      </c>
      <c r="K66" s="7" t="s">
        <v>2833</v>
      </c>
      <c r="L66" s="1" t="s">
        <v>314</v>
      </c>
      <c r="M66" s="9" t="s">
        <v>335</v>
      </c>
      <c r="N66" s="4" t="str">
        <f>VLOOKUP(H66,Clientes!B:D,3,)</f>
        <v>BANCO CITIBANK S/A</v>
      </c>
      <c r="O66"/>
      <c r="P66"/>
    </row>
    <row r="67" spans="1:16" s="32" customFormat="1" hidden="1" x14ac:dyDescent="0.25">
      <c r="A67" s="4" t="str">
        <f t="shared" ref="A67:A134" si="1">CONCATENATE($J$1,J67,$I$3,M67,$I$3,L67,$I$1,K67,$I$2)</f>
        <v>DESPESA DE REPRESENTAÇÃO - PASSAGEM SÃO PAULO X RIO DE JANEIRO - BROKER - CESAR MARIANO SCARAMBONE MENEZES (AGENDA 43388)</v>
      </c>
      <c r="B67" s="25">
        <v>46235</v>
      </c>
      <c r="C67" s="24">
        <v>817991</v>
      </c>
      <c r="D67" s="26" t="s">
        <v>621</v>
      </c>
      <c r="E67" s="27">
        <v>-1135.1500000000001</v>
      </c>
      <c r="F67" s="28" t="s">
        <v>388</v>
      </c>
      <c r="G67" s="29">
        <v>46248</v>
      </c>
      <c r="H67" s="30">
        <v>1170</v>
      </c>
      <c r="I67" s="24"/>
      <c r="J67" s="24" t="s">
        <v>756</v>
      </c>
      <c r="K67" s="31" t="s">
        <v>2844</v>
      </c>
      <c r="L67" s="26" t="s">
        <v>621</v>
      </c>
      <c r="M67" s="30" t="s">
        <v>2</v>
      </c>
      <c r="N67" s="24" t="str">
        <f>VLOOKUP(H67,Clientes!B:D,3,)</f>
        <v>BGC LIQUIDEZ DTVM LTDA</v>
      </c>
    </row>
    <row r="68" spans="1:16" s="32" customFormat="1" hidden="1" x14ac:dyDescent="0.25">
      <c r="A68" s="4" t="str">
        <f t="shared" si="1"/>
        <v>DESPESA DE REPRESENTAÇÃO - PASSAGEM SÃO PAULO X PORTO ALEGRE - BROKER - NAYANA IVO DE ALMEIDA (AGENDA 43388)</v>
      </c>
      <c r="B68" s="25">
        <v>46235</v>
      </c>
      <c r="C68" s="24">
        <v>817991</v>
      </c>
      <c r="D68" s="26" t="s">
        <v>665</v>
      </c>
      <c r="E68" s="27">
        <v>-2037.44</v>
      </c>
      <c r="F68" s="28" t="s">
        <v>388</v>
      </c>
      <c r="G68" s="29">
        <v>46248</v>
      </c>
      <c r="H68" s="30">
        <v>1170</v>
      </c>
      <c r="I68" s="24"/>
      <c r="J68" s="24" t="s">
        <v>807</v>
      </c>
      <c r="K68" s="31" t="s">
        <v>2844</v>
      </c>
      <c r="L68" s="26" t="s">
        <v>665</v>
      </c>
      <c r="M68" s="30" t="s">
        <v>2</v>
      </c>
      <c r="N68" s="24" t="str">
        <f>VLOOKUP(H68,Clientes!B:D,3,)</f>
        <v>BGC LIQUIDEZ DTVM LTDA</v>
      </c>
    </row>
    <row r="69" spans="1:16" s="32" customFormat="1" hidden="1" x14ac:dyDescent="0.25">
      <c r="A69" s="4" t="str">
        <f t="shared" si="1"/>
        <v>DESPESA DE REPRESENTAÇÃO - PASSAGEM SÃO PAULO X PORTO ALEGRE - BROKER - FERNANDA CORVELLO BUTRICO (AGENDA 43388)</v>
      </c>
      <c r="B69" s="25">
        <v>46235</v>
      </c>
      <c r="C69" s="24">
        <v>817991</v>
      </c>
      <c r="D69" s="26" t="s">
        <v>475</v>
      </c>
      <c r="E69" s="27">
        <v>-2037.44</v>
      </c>
      <c r="F69" s="28" t="s">
        <v>388</v>
      </c>
      <c r="G69" s="29">
        <v>46248</v>
      </c>
      <c r="H69" s="30">
        <v>1170</v>
      </c>
      <c r="I69" s="24"/>
      <c r="J69" s="24" t="s">
        <v>807</v>
      </c>
      <c r="K69" s="31" t="s">
        <v>2844</v>
      </c>
      <c r="L69" s="26" t="s">
        <v>475</v>
      </c>
      <c r="M69" s="30" t="s">
        <v>2</v>
      </c>
      <c r="N69" s="24" t="str">
        <f>VLOOKUP(H69,Clientes!B:D,3,)</f>
        <v>BGC LIQUIDEZ DTVM LTDA</v>
      </c>
    </row>
    <row r="70" spans="1:16" hidden="1" x14ac:dyDescent="0.25">
      <c r="A70" s="4" t="str">
        <f t="shared" si="1"/>
        <v>DESPESA DE REPRESENTAÇÃO - PASSAGEM SÃO PAULO X PORTO ALEGRE - BROKER - REINALDO ANDRE URBANO FILHO (AGENDA 43388)</v>
      </c>
      <c r="B70" s="25">
        <v>46235</v>
      </c>
      <c r="C70" s="24">
        <v>817991</v>
      </c>
      <c r="D70" s="26" t="s">
        <v>652</v>
      </c>
      <c r="E70" s="27">
        <v>-2159.91</v>
      </c>
      <c r="F70" s="28" t="s">
        <v>388</v>
      </c>
      <c r="G70" s="29">
        <v>46248</v>
      </c>
      <c r="H70" s="30">
        <v>1170</v>
      </c>
      <c r="I70" s="24"/>
      <c r="J70" s="24" t="s">
        <v>807</v>
      </c>
      <c r="K70" s="31" t="s">
        <v>2844</v>
      </c>
      <c r="L70" s="26" t="s">
        <v>652</v>
      </c>
      <c r="M70" s="30" t="s">
        <v>2</v>
      </c>
      <c r="N70" s="24" t="str">
        <f>VLOOKUP(H70,Clientes!B:D,3,)</f>
        <v>BGC LIQUIDEZ DTVM LTDA</v>
      </c>
      <c r="O70" s="32"/>
      <c r="P70" s="32"/>
    </row>
    <row r="71" spans="1:16" hidden="1" x14ac:dyDescent="0.25">
      <c r="A71" s="4" t="str">
        <f t="shared" si="1"/>
        <v>DESPESA DE REPRESENTAÇÃO - PASSAGEM SÃO PAULO X PORTO ALEGRE - BROKER - FELIPE MEIRELLES RACCAH (AGENDA 43388)</v>
      </c>
      <c r="B71" s="25">
        <v>46235</v>
      </c>
      <c r="C71" s="24">
        <v>817991</v>
      </c>
      <c r="D71" s="26" t="s">
        <v>632</v>
      </c>
      <c r="E71" s="27">
        <v>-2242.96</v>
      </c>
      <c r="F71" s="28" t="s">
        <v>388</v>
      </c>
      <c r="G71" s="29">
        <v>46248</v>
      </c>
      <c r="H71" s="30">
        <v>1170</v>
      </c>
      <c r="I71" s="24"/>
      <c r="J71" s="24" t="s">
        <v>807</v>
      </c>
      <c r="K71" s="31" t="s">
        <v>2844</v>
      </c>
      <c r="L71" s="26" t="s">
        <v>632</v>
      </c>
      <c r="M71" s="30" t="s">
        <v>2</v>
      </c>
      <c r="N71" s="24" t="str">
        <f>VLOOKUP(H71,Clientes!B:D,3,)</f>
        <v>BGC LIQUIDEZ DTVM LTDA</v>
      </c>
      <c r="O71" s="32"/>
      <c r="P71" s="32"/>
    </row>
    <row r="72" spans="1:16" hidden="1" x14ac:dyDescent="0.25">
      <c r="A72" s="4" t="str">
        <f t="shared" si="1"/>
        <v>DESPESA DE REPRESENTAÇÃO - PASSAGEM SÃO PAULO X RIO DE JANEIRO - SALES - MARCELLE DA SILVEIRA GIL CADILHE (AGENDA 43388)</v>
      </c>
      <c r="B72" s="25">
        <v>46235</v>
      </c>
      <c r="C72" s="24">
        <v>817991</v>
      </c>
      <c r="D72" s="26" t="s">
        <v>428</v>
      </c>
      <c r="E72" s="27">
        <v>-1162.54</v>
      </c>
      <c r="F72" s="28" t="s">
        <v>388</v>
      </c>
      <c r="G72" s="29">
        <v>46248</v>
      </c>
      <c r="H72" s="30">
        <v>1170</v>
      </c>
      <c r="I72" s="24"/>
      <c r="J72" s="24" t="s">
        <v>756</v>
      </c>
      <c r="K72" s="31" t="s">
        <v>2844</v>
      </c>
      <c r="L72" s="26" t="s">
        <v>658</v>
      </c>
      <c r="M72" s="30" t="s">
        <v>468</v>
      </c>
      <c r="N72" s="24" t="str">
        <f>VLOOKUP(H72,Clientes!B:D,3,)</f>
        <v>BGC LIQUIDEZ DTVM LTDA</v>
      </c>
      <c r="O72" s="32"/>
      <c r="P72" s="32"/>
    </row>
    <row r="73" spans="1:16" hidden="1" x14ac:dyDescent="0.25">
      <c r="A73" s="4" t="str">
        <f t="shared" si="1"/>
        <v>DESPESA DE REPRESENTAÇÃO - PASSAGEM SÃO PAULO X RIO DE JANEIRO - BROKER - ANDRE WATT VIANNA (AGENDA 43388)</v>
      </c>
      <c r="B73" s="25">
        <v>46235</v>
      </c>
      <c r="C73" s="24">
        <v>817991</v>
      </c>
      <c r="D73" s="26" t="s">
        <v>23</v>
      </c>
      <c r="E73" s="27">
        <v>-1043.18</v>
      </c>
      <c r="F73" s="28" t="s">
        <v>388</v>
      </c>
      <c r="G73" s="29">
        <v>46248</v>
      </c>
      <c r="H73" s="30">
        <v>1170</v>
      </c>
      <c r="I73" s="24"/>
      <c r="J73" s="24" t="s">
        <v>756</v>
      </c>
      <c r="K73" s="31" t="s">
        <v>2844</v>
      </c>
      <c r="L73" s="26" t="s">
        <v>670</v>
      </c>
      <c r="M73" s="30" t="s">
        <v>2</v>
      </c>
      <c r="N73" s="24" t="str">
        <f>VLOOKUP(H73,Clientes!B:D,3,)</f>
        <v>BGC LIQUIDEZ DTVM LTDA</v>
      </c>
      <c r="O73" s="32"/>
      <c r="P73" s="32"/>
    </row>
    <row r="74" spans="1:16" hidden="1" x14ac:dyDescent="0.25">
      <c r="A74" s="4" t="str">
        <f t="shared" si="1"/>
        <v>DESPESA DE REPRESENTAÇÃO - PASSAGEM SÃO PAULO X RIO DE JANEIRO - BROKER - JUAREZ JOAQUIM DE LACERDA (AGENDA 43388)</v>
      </c>
      <c r="B74" s="25">
        <v>46235</v>
      </c>
      <c r="C74" s="24">
        <v>817991</v>
      </c>
      <c r="D74" s="26" t="s">
        <v>614</v>
      </c>
      <c r="E74" s="27">
        <v>-1453.8</v>
      </c>
      <c r="F74" s="28" t="s">
        <v>388</v>
      </c>
      <c r="G74" s="29">
        <v>46248</v>
      </c>
      <c r="H74" s="30">
        <v>1170</v>
      </c>
      <c r="I74" s="24"/>
      <c r="J74" s="24" t="s">
        <v>756</v>
      </c>
      <c r="K74" s="31" t="s">
        <v>2844</v>
      </c>
      <c r="L74" s="26" t="s">
        <v>614</v>
      </c>
      <c r="M74" s="30" t="s">
        <v>2</v>
      </c>
      <c r="N74" s="24" t="str">
        <f>VLOOKUP(H74,Clientes!B:D,3,)</f>
        <v>BGC LIQUIDEZ DTVM LTDA</v>
      </c>
      <c r="O74" s="32"/>
      <c r="P74" s="32"/>
    </row>
    <row r="75" spans="1:16" hidden="1" x14ac:dyDescent="0.25">
      <c r="A75" s="4" t="str">
        <f t="shared" si="1"/>
        <v>DESPESA DE REPRESENTAÇÃO - CARTÃO CORPORATIVO NACIONAL - CEO - ERMINIO OLIVI LUCCI (AGENDA 43594)</v>
      </c>
      <c r="B75" s="25">
        <v>46235</v>
      </c>
      <c r="C75" s="24">
        <v>817991</v>
      </c>
      <c r="D75" s="26" t="s">
        <v>650</v>
      </c>
      <c r="E75" s="27">
        <v>-4430.58</v>
      </c>
      <c r="F75" s="28" t="s">
        <v>389</v>
      </c>
      <c r="G75" s="29">
        <v>46248</v>
      </c>
      <c r="H75" s="30">
        <v>1170</v>
      </c>
      <c r="I75" s="24"/>
      <c r="J75" s="24" t="s">
        <v>984</v>
      </c>
      <c r="K75" s="31" t="s">
        <v>2865</v>
      </c>
      <c r="L75" s="26" t="s">
        <v>650</v>
      </c>
      <c r="M75" s="30" t="s">
        <v>490</v>
      </c>
      <c r="N75" s="24" t="str">
        <f>VLOOKUP(H75,Clientes!B:D,3,)</f>
        <v>BGC LIQUIDEZ DTVM LTDA</v>
      </c>
      <c r="O75" s="32"/>
      <c r="P75" s="32"/>
    </row>
    <row r="76" spans="1:16" hidden="1" x14ac:dyDescent="0.25">
      <c r="A76" s="4" t="str">
        <f t="shared" si="1"/>
        <v>DESPESA DE REPRESENTAÇÃO - CARTÃO CORPORATIVO INTERNACIONAL - CEO - ERMINIO OLIVI LUCCI (AGENDA 43594)</v>
      </c>
      <c r="B76" s="25">
        <v>46235</v>
      </c>
      <c r="C76" s="24">
        <v>817991</v>
      </c>
      <c r="D76" s="26" t="s">
        <v>650</v>
      </c>
      <c r="E76" s="27">
        <v>-20402.580000000002</v>
      </c>
      <c r="F76" s="28" t="s">
        <v>389</v>
      </c>
      <c r="G76" s="29">
        <v>46248</v>
      </c>
      <c r="H76" s="30">
        <v>1170</v>
      </c>
      <c r="I76" s="24"/>
      <c r="J76" s="24" t="s">
        <v>983</v>
      </c>
      <c r="K76" s="31" t="s">
        <v>2865</v>
      </c>
      <c r="L76" s="26" t="s">
        <v>650</v>
      </c>
      <c r="M76" s="30" t="s">
        <v>490</v>
      </c>
      <c r="N76" s="24" t="str">
        <f>VLOOKUP(H76,Clientes!B:D,3,)</f>
        <v>BGC LIQUIDEZ DTVM LTDA</v>
      </c>
      <c r="O76" s="32"/>
      <c r="P76" s="32"/>
    </row>
    <row r="77" spans="1:16" hidden="1" x14ac:dyDescent="0.25">
      <c r="A77" s="4" t="str">
        <f t="shared" ref="A77:A81" si="2">CONCATENATE($J$1,J77,$I$3,M77,$I$3,L77,$I$1,K77,$I$2)</f>
        <v>DESPESA DE REPRESENTAÇÃO - EVENTO KAITAI COMPRA DE 26 GARRAFAS DE SAQUE JUNMAI GINJO DE 720ML VIA MERCADO LIVRE - BROKER - RICARDO ANDRE VASCONCELOS RAMOS (AGENDA 43594)</v>
      </c>
      <c r="B77" s="25">
        <v>46235</v>
      </c>
      <c r="C77" s="24">
        <v>817991</v>
      </c>
      <c r="D77" s="26" t="s">
        <v>516</v>
      </c>
      <c r="E77" s="27">
        <v>-1371.2249999999999</v>
      </c>
      <c r="F77" s="28" t="s">
        <v>387</v>
      </c>
      <c r="G77" s="29">
        <v>46248</v>
      </c>
      <c r="H77" s="30">
        <v>1170</v>
      </c>
      <c r="I77" s="24"/>
      <c r="J77" s="24" t="s">
        <v>2933</v>
      </c>
      <c r="K77" s="31" t="s">
        <v>2865</v>
      </c>
      <c r="L77" s="26" t="s">
        <v>604</v>
      </c>
      <c r="M77" s="30" t="s">
        <v>2</v>
      </c>
      <c r="N77" s="24" t="str">
        <f>VLOOKUP(H77,Clientes!B:D,3,)</f>
        <v>BGC LIQUIDEZ DTVM LTDA</v>
      </c>
      <c r="O77" s="32"/>
      <c r="P77" s="32"/>
    </row>
    <row r="78" spans="1:16" hidden="1" x14ac:dyDescent="0.25">
      <c r="A78" s="4" t="str">
        <f t="shared" si="2"/>
        <v>DESPESA DE REPRESENTAÇÃO - EVENTO KAITAI COMPRA DE 26 GARRAFAS DE SAQUE JUNMAI GINJO DE 720ML VIA MERCADO LIVRE - BROKER - RICARDO ANDRE VASCONCELOS RAMOS (AGENDA 43594)</v>
      </c>
      <c r="B78" s="25">
        <v>46235</v>
      </c>
      <c r="C78" s="24">
        <v>817991</v>
      </c>
      <c r="D78" s="26" t="s">
        <v>621</v>
      </c>
      <c r="E78" s="27">
        <v>-1371.2249999999999</v>
      </c>
      <c r="F78" s="28" t="s">
        <v>387</v>
      </c>
      <c r="G78" s="29">
        <v>46248</v>
      </c>
      <c r="H78" s="30">
        <v>1170</v>
      </c>
      <c r="I78" s="24"/>
      <c r="J78" s="28" t="s">
        <v>2933</v>
      </c>
      <c r="K78" s="31" t="s">
        <v>2865</v>
      </c>
      <c r="L78" s="26" t="s">
        <v>604</v>
      </c>
      <c r="M78" s="30" t="s">
        <v>2</v>
      </c>
      <c r="N78" s="24" t="str">
        <f>VLOOKUP(H78,Clientes!B:D,3,)</f>
        <v>BGC LIQUIDEZ DTVM LTDA</v>
      </c>
      <c r="O78" s="32"/>
      <c r="P78" s="32"/>
    </row>
    <row r="79" spans="1:16" hidden="1" x14ac:dyDescent="0.25">
      <c r="A79" s="4" t="str">
        <f t="shared" si="2"/>
        <v>DESPESA DE REPRESENTAÇÃO - EVENTO KAITAI COMPRA DE 26 GARRAFAS DE SAQUE JUNMAI GINJO DE 720ML VIA MERCADO LIVRE - BROKER - RICARDO ANDRE VASCONCELOS RAMOS (AGENDA 43594)</v>
      </c>
      <c r="B79" s="25">
        <v>46235</v>
      </c>
      <c r="C79" s="24">
        <v>817991</v>
      </c>
      <c r="D79" s="26" t="s">
        <v>770</v>
      </c>
      <c r="E79" s="27">
        <v>-1371.2249999999999</v>
      </c>
      <c r="F79" s="28" t="s">
        <v>387</v>
      </c>
      <c r="G79" s="29">
        <v>46248</v>
      </c>
      <c r="H79" s="30">
        <v>1170</v>
      </c>
      <c r="I79" s="24"/>
      <c r="J79" s="28" t="s">
        <v>2933</v>
      </c>
      <c r="K79" s="31" t="s">
        <v>2865</v>
      </c>
      <c r="L79" s="26" t="s">
        <v>604</v>
      </c>
      <c r="M79" s="30" t="s">
        <v>2</v>
      </c>
      <c r="N79" s="24" t="str">
        <f>VLOOKUP(H79,Clientes!B:D,3,)</f>
        <v>BGC LIQUIDEZ DTVM LTDA</v>
      </c>
      <c r="O79" s="32"/>
      <c r="P79" s="32"/>
    </row>
    <row r="80" spans="1:16" hidden="1" x14ac:dyDescent="0.25">
      <c r="A80" s="4" t="str">
        <f t="shared" si="2"/>
        <v>DESPESA DE REPRESENTAÇÃO - EVENTO KAITAI COMPRA DE 26 GARRAFAS DE SAQUE JUNMAI GINJO DE 720ML VIA MERCADO LIVRE - BROKER - RICARDO ANDRE VASCONCELOS RAMOS (AGENDA 43594)</v>
      </c>
      <c r="B80" s="25">
        <v>46235</v>
      </c>
      <c r="C80" s="24">
        <v>817991</v>
      </c>
      <c r="D80" s="26" t="s">
        <v>632</v>
      </c>
      <c r="E80" s="27">
        <v>-1371.2249999999999</v>
      </c>
      <c r="F80" s="28" t="s">
        <v>387</v>
      </c>
      <c r="G80" s="29">
        <v>46248</v>
      </c>
      <c r="H80" s="30">
        <v>1170</v>
      </c>
      <c r="I80" s="24"/>
      <c r="J80" s="28" t="s">
        <v>2933</v>
      </c>
      <c r="K80" s="31" t="s">
        <v>2865</v>
      </c>
      <c r="L80" s="26" t="s">
        <v>604</v>
      </c>
      <c r="M80" s="30" t="s">
        <v>2</v>
      </c>
      <c r="N80" s="24" t="str">
        <f>VLOOKUP(H80,Clientes!B:D,3,)</f>
        <v>BGC LIQUIDEZ DTVM LTDA</v>
      </c>
      <c r="O80" s="32"/>
      <c r="P80" s="32"/>
    </row>
    <row r="81" spans="1:16" hidden="1" x14ac:dyDescent="0.25">
      <c r="A81" s="4" t="str">
        <f t="shared" si="2"/>
        <v>DESPESA DE REPRESENTAÇÃO - ALUGUEL DE ESPAÇO NO LOCALE PARA JANTAR COM TIME DO TESOURO NACIONAL - BROKER - RICARDO ANDRE VASCONCELOS RAMOS (AGENDA 43594)</v>
      </c>
      <c r="B81" s="25">
        <v>46235</v>
      </c>
      <c r="C81" s="24">
        <v>817991</v>
      </c>
      <c r="D81" s="26" t="s">
        <v>558</v>
      </c>
      <c r="E81" s="27">
        <v>-1500</v>
      </c>
      <c r="F81" s="28" t="s">
        <v>387</v>
      </c>
      <c r="G81" s="29">
        <v>46248</v>
      </c>
      <c r="H81" s="30">
        <v>1170</v>
      </c>
      <c r="I81" s="24"/>
      <c r="J81" s="28" t="s">
        <v>2934</v>
      </c>
      <c r="K81" s="31" t="s">
        <v>2865</v>
      </c>
      <c r="L81" s="26" t="s">
        <v>604</v>
      </c>
      <c r="M81" s="30" t="s">
        <v>2</v>
      </c>
      <c r="N81" s="24" t="str">
        <f>VLOOKUP(H81,Clientes!B:D,3,)</f>
        <v>BGC LIQUIDEZ DTVM LTDA</v>
      </c>
      <c r="O81" s="32"/>
      <c r="P81" s="32"/>
    </row>
    <row r="82" spans="1:16" hidden="1" x14ac:dyDescent="0.25">
      <c r="A82" s="4" t="str">
        <f t="shared" si="1"/>
        <v>DESPESA DE REPRESENTAÇÃO - JANTAR COM O TESOURO NACIONAL NO LOCALE - BROKER - RICARDO ANDRE VASCONCELOS RAMOS (AGENDA 43594)</v>
      </c>
      <c r="B82" s="25">
        <v>46235</v>
      </c>
      <c r="C82" s="24">
        <v>817991</v>
      </c>
      <c r="D82" s="26" t="s">
        <v>558</v>
      </c>
      <c r="E82" s="27">
        <v>-5820</v>
      </c>
      <c r="F82" s="28" t="s">
        <v>387</v>
      </c>
      <c r="G82" s="29">
        <v>46248</v>
      </c>
      <c r="H82" s="30">
        <v>1170</v>
      </c>
      <c r="I82" s="24"/>
      <c r="J82" s="28" t="s">
        <v>2866</v>
      </c>
      <c r="K82" s="31" t="s">
        <v>2865</v>
      </c>
      <c r="L82" s="26" t="s">
        <v>604</v>
      </c>
      <c r="M82" s="30" t="s">
        <v>2</v>
      </c>
      <c r="N82" s="24" t="str">
        <f>VLOOKUP(H82,Clientes!B:D,3,)</f>
        <v>BGC LIQUIDEZ DTVM LTDA</v>
      </c>
      <c r="O82" s="32"/>
      <c r="P82" s="32"/>
    </row>
    <row r="83" spans="1:16" hidden="1" x14ac:dyDescent="0.25">
      <c r="A83" s="4" t="str">
        <f t="shared" si="1"/>
        <v>DESPESA DE REPRESENTAÇÃO - JANTAR COM O TESOURO NACIONAL NO RUFINOS  - BROKER - RICARDO ANDRE VASCONCELOS RAMOS (AGENDA 43594)</v>
      </c>
      <c r="B83" s="25">
        <v>46235</v>
      </c>
      <c r="C83" s="24">
        <v>817991</v>
      </c>
      <c r="D83" s="26" t="s">
        <v>558</v>
      </c>
      <c r="E83" s="27">
        <v>-3790.05</v>
      </c>
      <c r="F83" s="28" t="s">
        <v>387</v>
      </c>
      <c r="G83" s="29">
        <v>46248</v>
      </c>
      <c r="H83" s="30">
        <v>1170</v>
      </c>
      <c r="I83" s="24"/>
      <c r="J83" s="28" t="s">
        <v>2867</v>
      </c>
      <c r="K83" s="31" t="s">
        <v>2865</v>
      </c>
      <c r="L83" s="26" t="s">
        <v>604</v>
      </c>
      <c r="M83" s="30" t="s">
        <v>2</v>
      </c>
      <c r="N83" s="24" t="str">
        <f>VLOOKUP(H83,Clientes!B:D,3,)</f>
        <v>BGC LIQUIDEZ DTVM LTDA</v>
      </c>
      <c r="O83" s="32"/>
      <c r="P83" s="32"/>
    </row>
    <row r="84" spans="1:16" hidden="1" x14ac:dyDescent="0.25">
      <c r="A84" s="4" t="str">
        <f t="shared" si="1"/>
        <v>DESPESA DE REPRESENTAÇÃO - ALMOÇO NO LOUP COM KIKO CELEGUIM  - SALES - JOSE ANTONIO DEZENE JUNIOR (AGENDA 43594)</v>
      </c>
      <c r="B84" s="25">
        <v>46235</v>
      </c>
      <c r="C84" s="24">
        <v>817991</v>
      </c>
      <c r="D84" s="26" t="s">
        <v>428</v>
      </c>
      <c r="E84" s="27">
        <v>-3932.4</v>
      </c>
      <c r="F84" s="28" t="s">
        <v>387</v>
      </c>
      <c r="G84" s="29">
        <v>46248</v>
      </c>
      <c r="H84" s="30">
        <v>1170</v>
      </c>
      <c r="I84" s="24"/>
      <c r="J84" s="28" t="s">
        <v>2868</v>
      </c>
      <c r="K84" s="31" t="s">
        <v>2865</v>
      </c>
      <c r="L84" s="26" t="s">
        <v>428</v>
      </c>
      <c r="M84" s="30" t="s">
        <v>468</v>
      </c>
      <c r="N84" s="24" t="str">
        <f>VLOOKUP(H84,Clientes!B:D,3,)</f>
        <v>BGC LIQUIDEZ DTVM LTDA</v>
      </c>
      <c r="O84" s="32"/>
      <c r="P84" s="32"/>
    </row>
    <row r="85" spans="1:16" hidden="1" x14ac:dyDescent="0.25">
      <c r="A85" s="4" t="str">
        <f t="shared" si="1"/>
        <v>DESPESA DE REPRESENTAÇÃO - ALMOÇO NO LOUP COM MANOEL FERNANDES - SALES - JOSE ANTONIO DEZENE JUNIOR (AGENDA 43594)</v>
      </c>
      <c r="B85" s="25">
        <v>46235</v>
      </c>
      <c r="C85" s="24">
        <v>817991</v>
      </c>
      <c r="D85" s="26" t="s">
        <v>428</v>
      </c>
      <c r="E85" s="27">
        <v>-6631.97</v>
      </c>
      <c r="F85" s="28" t="s">
        <v>387</v>
      </c>
      <c r="G85" s="29">
        <v>46248</v>
      </c>
      <c r="H85" s="30">
        <v>1170</v>
      </c>
      <c r="I85" s="24"/>
      <c r="J85" s="24" t="s">
        <v>2869</v>
      </c>
      <c r="K85" s="31" t="s">
        <v>2865</v>
      </c>
      <c r="L85" s="26" t="s">
        <v>428</v>
      </c>
      <c r="M85" s="30" t="s">
        <v>468</v>
      </c>
      <c r="N85" s="24" t="str">
        <f>VLOOKUP(H85,Clientes!B:D,3,)</f>
        <v>BGC LIQUIDEZ DTVM LTDA</v>
      </c>
      <c r="O85" s="32"/>
      <c r="P85" s="32"/>
    </row>
    <row r="86" spans="1:16" hidden="1" x14ac:dyDescent="0.25">
      <c r="A86" s="4" t="str">
        <f t="shared" si="1"/>
        <v>DESPESA DE REPRESENTAÇÃO - ALMOÇO NO LOUP COM DANIELLA MARQUES - SALES - JOSE ANTONIO DEZENE JUNIOR (AGENDA 43594)</v>
      </c>
      <c r="B86" s="25">
        <v>46235</v>
      </c>
      <c r="C86" s="24">
        <v>817991</v>
      </c>
      <c r="D86" s="26" t="s">
        <v>428</v>
      </c>
      <c r="E86" s="27">
        <v>-6870.4</v>
      </c>
      <c r="F86" s="28" t="s">
        <v>387</v>
      </c>
      <c r="G86" s="29">
        <v>46248</v>
      </c>
      <c r="H86" s="30">
        <v>1170</v>
      </c>
      <c r="I86" s="24"/>
      <c r="J86" s="24" t="s">
        <v>2870</v>
      </c>
      <c r="K86" s="31" t="s">
        <v>2865</v>
      </c>
      <c r="L86" s="26" t="s">
        <v>428</v>
      </c>
      <c r="M86" s="30" t="s">
        <v>468</v>
      </c>
      <c r="N86" s="24" t="str">
        <f>VLOOKUP(H86,Clientes!B:D,3,)</f>
        <v>BGC LIQUIDEZ DTVM LTDA</v>
      </c>
      <c r="O86" s="32"/>
      <c r="P86" s="32"/>
    </row>
    <row r="87" spans="1:16" hidden="1" x14ac:dyDescent="0.25">
      <c r="A87" s="4" t="str">
        <f t="shared" si="1"/>
        <v>DESPESA DE REPRESENTAÇÃO - ALMOÇO - SÓCIO - FABIO DELACQUA (AGENDA 43595)</v>
      </c>
      <c r="B87" s="11">
        <v>46235</v>
      </c>
      <c r="C87" s="4">
        <v>817991</v>
      </c>
      <c r="D87" s="1" t="s">
        <v>650</v>
      </c>
      <c r="E87" s="14">
        <v>-334.08</v>
      </c>
      <c r="F87" s="5" t="s">
        <v>447</v>
      </c>
      <c r="G87" s="2">
        <v>46248</v>
      </c>
      <c r="H87" s="9">
        <v>81595</v>
      </c>
      <c r="I87" s="4"/>
      <c r="J87" s="5" t="s">
        <v>447</v>
      </c>
      <c r="K87" s="7" t="s">
        <v>2840</v>
      </c>
      <c r="L87" s="1" t="s">
        <v>2841</v>
      </c>
      <c r="M87" s="9" t="s">
        <v>2842</v>
      </c>
      <c r="N87" s="4" t="str">
        <f>VLOOKUP(H87,Clientes!B:D,3,)</f>
        <v>NEO GESTÃO DE RECURSOS LTDA</v>
      </c>
    </row>
    <row r="88" spans="1:16" hidden="1" x14ac:dyDescent="0.25">
      <c r="A88" s="4" t="str">
        <f t="shared" si="1"/>
        <v>DESPESA DE REPRESENTAÇÃO - TRANSPORTE EXECUTIVO MENSAL DE JULHO - CEO - ERMINIO OLIVI LUCCI (AGENDA 43595)</v>
      </c>
      <c r="B88" s="11">
        <v>46235</v>
      </c>
      <c r="C88" s="4">
        <v>817991</v>
      </c>
      <c r="D88" s="1" t="s">
        <v>650</v>
      </c>
      <c r="E88" s="14">
        <v>-5730</v>
      </c>
      <c r="F88" s="5" t="s">
        <v>388</v>
      </c>
      <c r="G88" s="2">
        <v>46248</v>
      </c>
      <c r="H88" s="9">
        <v>1170</v>
      </c>
      <c r="I88" s="4"/>
      <c r="J88" s="5" t="s">
        <v>2843</v>
      </c>
      <c r="K88" s="7" t="s">
        <v>2840</v>
      </c>
      <c r="L88" s="1" t="s">
        <v>650</v>
      </c>
      <c r="M88" s="9" t="s">
        <v>490</v>
      </c>
      <c r="N88" s="4" t="str">
        <f>VLOOKUP(H88,Clientes!B:D,3,)</f>
        <v>BGC LIQUIDEZ DTVM LTDA</v>
      </c>
    </row>
    <row r="89" spans="1:16" hidden="1" x14ac:dyDescent="0.25">
      <c r="A89" s="4" t="str">
        <f t="shared" si="1"/>
        <v>DESPESA DE REPRESENTAÇÃO - HOSPEDAGEM PROMENADE PALLADIUM  - BROKER - CLAUDIO DE SOUZA PACINI (AGENDA 43537)</v>
      </c>
      <c r="B89" s="11">
        <v>46235</v>
      </c>
      <c r="C89" s="4">
        <v>817991</v>
      </c>
      <c r="D89" s="1" t="s">
        <v>648</v>
      </c>
      <c r="E89" s="14">
        <v>-14266</v>
      </c>
      <c r="F89" s="5" t="s">
        <v>422</v>
      </c>
      <c r="G89" s="2">
        <v>46253</v>
      </c>
      <c r="H89" s="9">
        <v>1170</v>
      </c>
      <c r="I89" s="4"/>
      <c r="J89" s="5" t="s">
        <v>2845</v>
      </c>
      <c r="K89" s="7" t="s">
        <v>2846</v>
      </c>
      <c r="L89" s="1" t="s">
        <v>648</v>
      </c>
      <c r="M89" s="9" t="s">
        <v>2</v>
      </c>
      <c r="N89" s="4" t="str">
        <f>VLOOKUP(H89,Clientes!B:D,3,)</f>
        <v>BGC LIQUIDEZ DTVM LTDA</v>
      </c>
    </row>
    <row r="90" spans="1:16" hidden="1" x14ac:dyDescent="0.25">
      <c r="A90" s="4" t="str">
        <f t="shared" si="1"/>
        <v>DESPESA DE REPRESENTAÇÃO - HOSPEDAGEM RADISSON BLU SÃO PAULO - TRADER - FINNIAN THORNTON (AGENDA 43537)</v>
      </c>
      <c r="B90" s="11">
        <v>46235</v>
      </c>
      <c r="C90" s="4">
        <v>817991</v>
      </c>
      <c r="D90" s="1" t="s">
        <v>648</v>
      </c>
      <c r="E90" s="14">
        <v>-2068.5</v>
      </c>
      <c r="F90" s="5" t="s">
        <v>422</v>
      </c>
      <c r="G90" s="2">
        <v>46253</v>
      </c>
      <c r="H90" s="9">
        <v>1170</v>
      </c>
      <c r="I90" s="4"/>
      <c r="J90" s="4" t="s">
        <v>1179</v>
      </c>
      <c r="K90" s="7" t="s">
        <v>2846</v>
      </c>
      <c r="L90" s="9" t="s">
        <v>2806</v>
      </c>
      <c r="M90" s="9" t="s">
        <v>335</v>
      </c>
      <c r="N90" s="4" t="str">
        <f>VLOOKUP(H90,Clientes!B:D,3,)</f>
        <v>BGC LIQUIDEZ DTVM LTDA</v>
      </c>
    </row>
    <row r="91" spans="1:16" hidden="1" x14ac:dyDescent="0.25">
      <c r="A91" s="4" t="str">
        <f t="shared" si="1"/>
        <v>DESPESA DE REPRESENTAÇÃO - HOSPEDAGEM PROMENADE PALLADIUM  - TRADER - ERIC CHA-HUA (AGENDA 43537)</v>
      </c>
      <c r="B91" s="11">
        <v>46235</v>
      </c>
      <c r="C91" s="4">
        <v>817991</v>
      </c>
      <c r="D91" s="1" t="s">
        <v>648</v>
      </c>
      <c r="E91" s="14">
        <v>-1749</v>
      </c>
      <c r="F91" s="5" t="s">
        <v>422</v>
      </c>
      <c r="G91" s="2">
        <v>46253</v>
      </c>
      <c r="H91" s="9">
        <v>1170</v>
      </c>
      <c r="I91" s="4"/>
      <c r="J91" s="5" t="s">
        <v>2845</v>
      </c>
      <c r="K91" s="7" t="s">
        <v>2846</v>
      </c>
      <c r="L91" s="5" t="s">
        <v>2805</v>
      </c>
      <c r="M91" s="9" t="s">
        <v>335</v>
      </c>
      <c r="N91" s="4" t="str">
        <f>VLOOKUP(H91,Clientes!B:D,3,)</f>
        <v>BGC LIQUIDEZ DTVM LTDA</v>
      </c>
    </row>
    <row r="92" spans="1:16" ht="13.5" hidden="1" customHeight="1" x14ac:dyDescent="0.25">
      <c r="A92" s="4" t="str">
        <f t="shared" si="1"/>
        <v>DESPESA DE REPRESENTAÇÃO - MENSALIDADE DA ASSOCIAÇÃO AO WTC BUSSINESS CLUB - CEO - ERMINIO OLIVI LUCCI (AGENDA 43355)</v>
      </c>
      <c r="B92" s="11">
        <v>46235</v>
      </c>
      <c r="C92" s="4">
        <v>817991</v>
      </c>
      <c r="D92" s="1" t="s">
        <v>650</v>
      </c>
      <c r="E92" s="14">
        <v>-2000</v>
      </c>
      <c r="F92" s="5" t="s">
        <v>389</v>
      </c>
      <c r="G92" s="2">
        <v>46254</v>
      </c>
      <c r="H92" s="9">
        <v>1170</v>
      </c>
      <c r="I92" s="4"/>
      <c r="J92" s="4" t="s">
        <v>507</v>
      </c>
      <c r="K92" s="7" t="s">
        <v>2847</v>
      </c>
      <c r="L92" s="1" t="s">
        <v>650</v>
      </c>
      <c r="M92" s="9" t="s">
        <v>490</v>
      </c>
      <c r="N92" s="4" t="str">
        <f>VLOOKUP(H92,Clientes!B:D,3,)</f>
        <v>BGC LIQUIDEZ DTVM LTDA</v>
      </c>
    </row>
    <row r="93" spans="1:16" s="32" customFormat="1" hidden="1" x14ac:dyDescent="0.25">
      <c r="A93" s="4" t="str">
        <f t="shared" si="1"/>
        <v>DESPESA DE REPRESENTAÇÃO - JANTAR - TRADER - LUCAS BALADI CHOHFI (095513-3998AA)</v>
      </c>
      <c r="B93" s="11">
        <v>46235</v>
      </c>
      <c r="C93" s="4">
        <v>817991</v>
      </c>
      <c r="D93" s="1" t="s">
        <v>379</v>
      </c>
      <c r="E93" s="14">
        <v>-599.33333333333337</v>
      </c>
      <c r="F93" s="5" t="s">
        <v>380</v>
      </c>
      <c r="G93" s="2">
        <v>46254</v>
      </c>
      <c r="H93" s="9">
        <v>81259</v>
      </c>
      <c r="I93" s="4"/>
      <c r="J93" s="4" t="s">
        <v>380</v>
      </c>
      <c r="K93" s="7" t="s">
        <v>2848</v>
      </c>
      <c r="L93" s="1" t="s">
        <v>1968</v>
      </c>
      <c r="M93" s="9" t="s">
        <v>335</v>
      </c>
      <c r="N93" s="4" t="str">
        <f>VLOOKUP(H93,Clientes!B:D,3,)</f>
        <v>GOLDMAN SACHS DO BRASIL BANCO MULTIPLO S/A</v>
      </c>
      <c r="O93"/>
      <c r="P93"/>
    </row>
    <row r="94" spans="1:16" s="32" customFormat="1" hidden="1" x14ac:dyDescent="0.25">
      <c r="A94" s="4" t="str">
        <f t="shared" si="1"/>
        <v>DESPESA DE REPRESENTAÇÃO - JANTAR - TRADER - LUCAS BALADI CHOHFI (095513-3998AA)</v>
      </c>
      <c r="B94" s="11">
        <v>46235</v>
      </c>
      <c r="C94" s="4">
        <v>817991</v>
      </c>
      <c r="D94" s="1" t="s">
        <v>516</v>
      </c>
      <c r="E94" s="14">
        <v>-599.33333333333337</v>
      </c>
      <c r="F94" s="5" t="s">
        <v>380</v>
      </c>
      <c r="G94" s="2">
        <v>46254</v>
      </c>
      <c r="H94" s="9">
        <v>81259</v>
      </c>
      <c r="I94" s="4"/>
      <c r="J94" s="4" t="s">
        <v>380</v>
      </c>
      <c r="K94" s="7" t="s">
        <v>2848</v>
      </c>
      <c r="L94" s="1" t="s">
        <v>1968</v>
      </c>
      <c r="M94" s="9" t="s">
        <v>335</v>
      </c>
      <c r="N94" s="4" t="str">
        <f>VLOOKUP(H94,Clientes!B:D,3,)</f>
        <v>GOLDMAN SACHS DO BRASIL BANCO MULTIPLO S/A</v>
      </c>
      <c r="O94"/>
      <c r="P94"/>
    </row>
    <row r="95" spans="1:16" s="32" customFormat="1" hidden="1" x14ac:dyDescent="0.25">
      <c r="A95" s="4" t="str">
        <f t="shared" si="1"/>
        <v>DESPESA DE REPRESENTAÇÃO - JANTAR - TRADER - LUCAS BALADI CHOHFI (095513-3998AA)</v>
      </c>
      <c r="B95" s="11">
        <v>46235</v>
      </c>
      <c r="C95" s="4">
        <v>817991</v>
      </c>
      <c r="D95" s="1" t="s">
        <v>132</v>
      </c>
      <c r="E95" s="14">
        <v>-599.33333333333337</v>
      </c>
      <c r="F95" s="5" t="s">
        <v>380</v>
      </c>
      <c r="G95" s="2">
        <v>46254</v>
      </c>
      <c r="H95" s="9">
        <v>81259</v>
      </c>
      <c r="I95" s="4"/>
      <c r="J95" s="4" t="s">
        <v>380</v>
      </c>
      <c r="K95" s="7" t="s">
        <v>2848</v>
      </c>
      <c r="L95" s="1" t="s">
        <v>1968</v>
      </c>
      <c r="M95" s="9" t="s">
        <v>335</v>
      </c>
      <c r="N95" s="4" t="str">
        <f>VLOOKUP(H95,Clientes!B:D,3,)</f>
        <v>GOLDMAN SACHS DO BRASIL BANCO MULTIPLO S/A</v>
      </c>
      <c r="O95"/>
      <c r="P95"/>
    </row>
    <row r="96" spans="1:16" s="32" customFormat="1" hidden="1" x14ac:dyDescent="0.25">
      <c r="A96" s="4" t="str">
        <f t="shared" si="1"/>
        <v>DESPESA DE REPRESENTAÇÃO - ESTACIONAMENTO JK IGUATEMI APRESENTAÇÃO POLÍTICA - TRADER - ALESSANDRO EZEQUIEL JUNIOR (151113-3998JD)</v>
      </c>
      <c r="B96" s="11">
        <v>46235</v>
      </c>
      <c r="C96" s="4">
        <v>817991</v>
      </c>
      <c r="D96" s="1" t="s">
        <v>428</v>
      </c>
      <c r="E96" s="14">
        <v>-32</v>
      </c>
      <c r="F96" s="5" t="s">
        <v>388</v>
      </c>
      <c r="G96" s="2">
        <v>46254</v>
      </c>
      <c r="H96" s="9">
        <v>80195</v>
      </c>
      <c r="I96" s="4"/>
      <c r="J96" s="4" t="s">
        <v>2849</v>
      </c>
      <c r="K96" s="7" t="s">
        <v>2850</v>
      </c>
      <c r="L96" s="1" t="s">
        <v>160</v>
      </c>
      <c r="M96" s="9" t="s">
        <v>335</v>
      </c>
      <c r="N96" s="4" t="str">
        <f>VLOOKUP(H96,Clientes!B:D,3,)</f>
        <v>BANCO SANTANDER S/A (HISPANO)</v>
      </c>
      <c r="O96"/>
      <c r="P96"/>
    </row>
    <row r="97" spans="1:16" s="32" customFormat="1" hidden="1" x14ac:dyDescent="0.25">
      <c r="A97" s="4" t="str">
        <f t="shared" si="1"/>
        <v>DESPESA DE REPRESENTAÇÃO - JANTAR - TRADER - HELOISE CARRER (125419-3998PI)</v>
      </c>
      <c r="B97" s="11">
        <v>46235</v>
      </c>
      <c r="C97" s="4">
        <v>817991</v>
      </c>
      <c r="D97" s="1" t="s">
        <v>772</v>
      </c>
      <c r="E97" s="14">
        <v>-1032</v>
      </c>
      <c r="F97" s="5" t="s">
        <v>380</v>
      </c>
      <c r="G97" s="2">
        <v>46254</v>
      </c>
      <c r="H97" s="9">
        <v>81259</v>
      </c>
      <c r="I97" s="4"/>
      <c r="J97" s="4" t="s">
        <v>380</v>
      </c>
      <c r="K97" s="7" t="s">
        <v>2851</v>
      </c>
      <c r="L97" s="1" t="s">
        <v>2076</v>
      </c>
      <c r="M97" s="9" t="s">
        <v>335</v>
      </c>
      <c r="N97" s="4" t="str">
        <f>VLOOKUP(H97,Clientes!B:D,3,)</f>
        <v>GOLDMAN SACHS DO BRASIL BANCO MULTIPLO S/A</v>
      </c>
      <c r="O97"/>
      <c r="P97"/>
    </row>
    <row r="98" spans="1:16" s="32" customFormat="1" hidden="1" x14ac:dyDescent="0.25">
      <c r="A98" s="4" t="str">
        <f t="shared" si="1"/>
        <v>DESPESA DE REPRESENTAÇÃO - ESTACIONAMENTO SP CORPORATE TOWERS APRESENTAÇÃO PRESIDENTE PARTIDO NOVO - TRADER - RODOLFO LUIZ MOURA M FERRARI (150309-3998JD)</v>
      </c>
      <c r="B98" s="11">
        <v>46235</v>
      </c>
      <c r="C98" s="4">
        <v>817991</v>
      </c>
      <c r="D98" s="1" t="s">
        <v>428</v>
      </c>
      <c r="E98" s="14">
        <v>-66</v>
      </c>
      <c r="F98" s="5" t="s">
        <v>388</v>
      </c>
      <c r="G98" s="2">
        <v>46254</v>
      </c>
      <c r="H98" s="9">
        <v>82706</v>
      </c>
      <c r="I98" s="4"/>
      <c r="J98" s="5" t="s">
        <v>2852</v>
      </c>
      <c r="K98" s="7" t="s">
        <v>2853</v>
      </c>
      <c r="L98" s="1" t="s">
        <v>2270</v>
      </c>
      <c r="M98" s="9" t="s">
        <v>335</v>
      </c>
      <c r="N98" s="4" t="str">
        <f>VLOOKUP(H98,Clientes!B:D,3,)</f>
        <v>BANCO XP S/A</v>
      </c>
      <c r="O98"/>
      <c r="P98"/>
    </row>
    <row r="99" spans="1:16" s="32" customFormat="1" hidden="1" x14ac:dyDescent="0.25">
      <c r="A99" s="4" t="str">
        <f t="shared" si="1"/>
        <v>DESPESA DE REPRESENTAÇÃO - ALMOÇO - TRADER - BERNARDO GOMES (162712-3998BG)</v>
      </c>
      <c r="B99" s="11">
        <v>46235</v>
      </c>
      <c r="C99" s="4">
        <v>817991</v>
      </c>
      <c r="D99" s="1" t="s">
        <v>23</v>
      </c>
      <c r="E99" s="14">
        <v>-426</v>
      </c>
      <c r="F99" s="5" t="s">
        <v>447</v>
      </c>
      <c r="G99" s="2">
        <v>46254</v>
      </c>
      <c r="H99" s="9">
        <v>81936</v>
      </c>
      <c r="I99" s="4"/>
      <c r="J99" s="4" t="s">
        <v>447</v>
      </c>
      <c r="K99" s="7" t="s">
        <v>2854</v>
      </c>
      <c r="L99" s="1" t="s">
        <v>2530</v>
      </c>
      <c r="M99" s="9" t="s">
        <v>335</v>
      </c>
      <c r="N99" s="4" t="str">
        <f>VLOOKUP(H99,Clientes!B:D,3,)</f>
        <v>KAPITALO INVESTIMENTOS LTDA</v>
      </c>
      <c r="O99"/>
      <c r="P99"/>
    </row>
    <row r="100" spans="1:16" s="32" customFormat="1" hidden="1" x14ac:dyDescent="0.25">
      <c r="A100" s="4" t="str">
        <f t="shared" si="1"/>
        <v>DESPESA DE REPRESENTAÇÃO - PASSAGEM SÃO PAULO X RIO DE JANEIRO - BROKER - CLAUDIO DE SOUZA PACINI (AGENDA 43371)</v>
      </c>
      <c r="B100" s="11">
        <v>46235</v>
      </c>
      <c r="C100" s="4">
        <v>817991</v>
      </c>
      <c r="D100" s="1" t="s">
        <v>648</v>
      </c>
      <c r="E100" s="14">
        <v>-2902.15</v>
      </c>
      <c r="F100" s="5" t="s">
        <v>388</v>
      </c>
      <c r="G100" s="2">
        <v>46254</v>
      </c>
      <c r="H100" s="9">
        <v>1170</v>
      </c>
      <c r="I100" s="4"/>
      <c r="J100" s="5" t="s">
        <v>756</v>
      </c>
      <c r="K100" s="7" t="s">
        <v>2855</v>
      </c>
      <c r="L100" s="1" t="s">
        <v>648</v>
      </c>
      <c r="M100" s="9" t="s">
        <v>2</v>
      </c>
      <c r="N100" s="4" t="str">
        <f>VLOOKUP(H100,Clientes!B:D,3,)</f>
        <v>BGC LIQUIDEZ DTVM LTDA</v>
      </c>
      <c r="O100"/>
      <c r="P100"/>
    </row>
    <row r="101" spans="1:16" hidden="1" x14ac:dyDescent="0.25">
      <c r="A101" s="4" t="str">
        <f t="shared" si="1"/>
        <v>DESPESA DE REPRESENTAÇÃO - ALMOÇO - TRADER - THOMAZ MEDRADO BOTTO DE BARROS (122517-3998CL)</v>
      </c>
      <c r="B101" s="11">
        <v>46235</v>
      </c>
      <c r="C101" s="4">
        <v>817991</v>
      </c>
      <c r="D101" s="1" t="s">
        <v>60</v>
      </c>
      <c r="E101" s="14">
        <v>-2056</v>
      </c>
      <c r="F101" s="5" t="s">
        <v>447</v>
      </c>
      <c r="G101" s="2">
        <v>46254</v>
      </c>
      <c r="H101" s="9">
        <v>80386</v>
      </c>
      <c r="I101" s="4"/>
      <c r="J101" s="5" t="s">
        <v>447</v>
      </c>
      <c r="K101" s="7" t="s">
        <v>2856</v>
      </c>
      <c r="L101" s="1" t="s">
        <v>2182</v>
      </c>
      <c r="M101" s="9" t="s">
        <v>335</v>
      </c>
      <c r="N101" s="4" t="str">
        <f>VLOOKUP(H101,Clientes!B:D,3,)</f>
        <v>LEGACY CAPITAL GESTORA DE RECURSOS LTDA</v>
      </c>
    </row>
    <row r="102" spans="1:16" hidden="1" x14ac:dyDescent="0.25">
      <c r="A102" s="4" t="str">
        <f t="shared" si="1"/>
        <v>DESPESA DE REPRESENTAÇÃO - ALMOÇO - TRADER - LEONARDO MACHADO (145932-3998MP)</v>
      </c>
      <c r="B102" s="11">
        <v>46235</v>
      </c>
      <c r="C102" s="4">
        <v>817991</v>
      </c>
      <c r="D102" s="1" t="s">
        <v>477</v>
      </c>
      <c r="E102" s="14">
        <v>-492.68</v>
      </c>
      <c r="F102" s="5" t="s">
        <v>447</v>
      </c>
      <c r="G102" s="2">
        <v>46254</v>
      </c>
      <c r="H102" s="9">
        <v>80111</v>
      </c>
      <c r="I102" s="4"/>
      <c r="J102" s="5" t="s">
        <v>447</v>
      </c>
      <c r="K102" s="7" t="s">
        <v>2857</v>
      </c>
      <c r="L102" s="1" t="s">
        <v>499</v>
      </c>
      <c r="M102" s="9" t="s">
        <v>335</v>
      </c>
      <c r="N102" s="4" t="str">
        <f>VLOOKUP(H102,Clientes!B:D,3,)</f>
        <v>IBIUNA GESTAO DE RECURSOS LTDA</v>
      </c>
    </row>
    <row r="103" spans="1:16" hidden="1" x14ac:dyDescent="0.25">
      <c r="A103" s="4" t="str">
        <f t="shared" si="1"/>
        <v>DESPESA DE REPRESENTAÇÃO - ALMOÇO - TRADER - FERNANDO OZAKI (152437-3998AS)</v>
      </c>
      <c r="B103" s="11">
        <v>46235</v>
      </c>
      <c r="C103" s="4">
        <v>817991</v>
      </c>
      <c r="D103" s="1" t="s">
        <v>449</v>
      </c>
      <c r="E103" s="14">
        <v>-847</v>
      </c>
      <c r="F103" s="5" t="s">
        <v>447</v>
      </c>
      <c r="G103" s="2">
        <v>46254</v>
      </c>
      <c r="H103" s="9">
        <v>79241</v>
      </c>
      <c r="I103" s="4"/>
      <c r="J103" s="5" t="s">
        <v>447</v>
      </c>
      <c r="K103" s="7" t="s">
        <v>2858</v>
      </c>
      <c r="L103" s="1" t="s">
        <v>1407</v>
      </c>
      <c r="M103" s="9" t="s">
        <v>335</v>
      </c>
      <c r="N103" s="4" t="str">
        <f>VLOOKUP(H103,Clientes!B:D,3,)</f>
        <v>BANK OF AMERICA MERRILL LYNCH BANCO MULTIPLO S/A</v>
      </c>
    </row>
    <row r="104" spans="1:16" hidden="1" x14ac:dyDescent="0.25">
      <c r="A104" s="4" t="str">
        <f t="shared" si="1"/>
        <v>DESPESA DE REPRESENTAÇÃO - ALMOÇO - TRADER - RENANN DAVID (144032-3998FC)</v>
      </c>
      <c r="B104" s="11">
        <v>46235</v>
      </c>
      <c r="C104" s="4">
        <v>817991</v>
      </c>
      <c r="D104" s="1" t="s">
        <v>480</v>
      </c>
      <c r="E104" s="14">
        <v>-658.03</v>
      </c>
      <c r="F104" s="5" t="s">
        <v>447</v>
      </c>
      <c r="G104" s="2">
        <v>46254</v>
      </c>
      <c r="H104" s="9">
        <v>81665</v>
      </c>
      <c r="I104" s="4"/>
      <c r="J104" s="5" t="s">
        <v>447</v>
      </c>
      <c r="K104" s="7" t="s">
        <v>2859</v>
      </c>
      <c r="L104" s="1" t="s">
        <v>255</v>
      </c>
      <c r="M104" s="9" t="s">
        <v>335</v>
      </c>
      <c r="N104" s="4" t="str">
        <f>VLOOKUP(H104,Clientes!B:D,3,)</f>
        <v>BANCO SUMITOMO MITSUI BRASILEIRO S/A</v>
      </c>
    </row>
    <row r="105" spans="1:16" hidden="1" x14ac:dyDescent="0.25">
      <c r="A105" s="4" t="str">
        <f t="shared" si="1"/>
        <v>DESPESA DE REPRESENTAÇÃO - ALMOÇO - TRADER - ROMULO MAGALHAES BRASIL (150706-3998FB)</v>
      </c>
      <c r="B105" s="11">
        <v>46235</v>
      </c>
      <c r="C105" s="4">
        <v>817991</v>
      </c>
      <c r="D105" s="1" t="s">
        <v>475</v>
      </c>
      <c r="E105" s="14">
        <v>-1504.03</v>
      </c>
      <c r="F105" s="5" t="s">
        <v>447</v>
      </c>
      <c r="G105" s="2">
        <v>46254</v>
      </c>
      <c r="H105" s="9">
        <v>79805</v>
      </c>
      <c r="I105" s="4"/>
      <c r="J105" s="5" t="s">
        <v>447</v>
      </c>
      <c r="K105" s="7" t="s">
        <v>2860</v>
      </c>
      <c r="L105" s="1" t="s">
        <v>517</v>
      </c>
      <c r="M105" s="9" t="s">
        <v>335</v>
      </c>
      <c r="N105" s="4" t="str">
        <f>VLOOKUP(H105,Clientes!B:D,3,)</f>
        <v>ITAU UNIBANCO S/A</v>
      </c>
    </row>
    <row r="106" spans="1:16" hidden="1" x14ac:dyDescent="0.25">
      <c r="A106" s="4" t="str">
        <f t="shared" si="1"/>
        <v>DESPESA DE REPRESENTAÇÃO - ALMOÇO - TRADER - ALEXANDRE FERRAZ (150636-3998JD)</v>
      </c>
      <c r="B106" s="11">
        <v>46235</v>
      </c>
      <c r="C106" s="4">
        <v>817991</v>
      </c>
      <c r="D106" s="1" t="s">
        <v>428</v>
      </c>
      <c r="E106" s="14">
        <v>-583.30999999999995</v>
      </c>
      <c r="F106" s="5" t="s">
        <v>447</v>
      </c>
      <c r="G106" s="2">
        <v>46254</v>
      </c>
      <c r="H106" s="9">
        <v>83024</v>
      </c>
      <c r="I106" s="4"/>
      <c r="J106" s="5" t="s">
        <v>447</v>
      </c>
      <c r="K106" s="7" t="s">
        <v>2861</v>
      </c>
      <c r="L106" s="1" t="s">
        <v>2862</v>
      </c>
      <c r="M106" s="9" t="s">
        <v>335</v>
      </c>
      <c r="N106" s="4" t="str">
        <f>VLOOKUP(H106,Clientes!B:D,3,)</f>
        <v>ITAU UNIBANCO ASSET MANAGEMENT LTDA</v>
      </c>
    </row>
    <row r="107" spans="1:16" hidden="1" x14ac:dyDescent="0.25">
      <c r="A107" s="4" t="str">
        <f t="shared" si="1"/>
        <v>DESPESA DE REPRESENTAÇÃO - HOTEL PROMENADE APART RIO DE JANEIR0 - SALES - MARCELLE DA SILVEIRA GIL CADILHE (AGENDA 43620)</v>
      </c>
      <c r="B107" s="11">
        <v>46235</v>
      </c>
      <c r="C107" s="4">
        <v>817991</v>
      </c>
      <c r="D107" s="1" t="s">
        <v>428</v>
      </c>
      <c r="E107" s="14">
        <v>-2824.4</v>
      </c>
      <c r="F107" s="5" t="s">
        <v>422</v>
      </c>
      <c r="G107" s="2">
        <v>46258</v>
      </c>
      <c r="H107" s="9">
        <v>1170</v>
      </c>
      <c r="I107" s="4"/>
      <c r="J107" s="4" t="s">
        <v>2886</v>
      </c>
      <c r="K107" s="7" t="s">
        <v>2887</v>
      </c>
      <c r="L107" s="1" t="s">
        <v>658</v>
      </c>
      <c r="M107" s="9" t="s">
        <v>468</v>
      </c>
      <c r="N107" s="4" t="str">
        <f>VLOOKUP(H107,Clientes!B:D,3,)</f>
        <v>BGC LIQUIDEZ DTVM LTDA</v>
      </c>
    </row>
    <row r="108" spans="1:16" hidden="1" x14ac:dyDescent="0.25">
      <c r="A108" s="4" t="str">
        <f t="shared" si="1"/>
        <v>DESPESA DE REPRESENTAÇÃO - ALMOÇO NO LOUP COM GUILHERME BOULOS - SALES - JOSE ANTONIO DEZENE JUNIOR (AGENDA 43728)</v>
      </c>
      <c r="B108" s="11">
        <v>46235</v>
      </c>
      <c r="C108" s="4">
        <v>817991</v>
      </c>
      <c r="D108" s="1" t="s">
        <v>428</v>
      </c>
      <c r="E108" s="14">
        <v>-5621.75</v>
      </c>
      <c r="F108" s="5" t="s">
        <v>447</v>
      </c>
      <c r="G108" s="2">
        <v>46259</v>
      </c>
      <c r="H108" s="9">
        <v>1170</v>
      </c>
      <c r="I108" s="4"/>
      <c r="J108" s="4" t="s">
        <v>2871</v>
      </c>
      <c r="K108" s="7" t="s">
        <v>2872</v>
      </c>
      <c r="L108" s="1" t="s">
        <v>428</v>
      </c>
      <c r="M108" s="9" t="s">
        <v>468</v>
      </c>
      <c r="N108" s="4" t="str">
        <f>VLOOKUP(H108,Clientes!B:D,3,)</f>
        <v>BGC LIQUIDEZ DTVM LTDA</v>
      </c>
    </row>
    <row r="109" spans="1:16" hidden="1" x14ac:dyDescent="0.25">
      <c r="A109" s="4" t="str">
        <f t="shared" si="1"/>
        <v>DESPESA DE REPRESENTAÇÃO - ALMOÇO NO LOUP COM BALEIA ROSSI - SALES - JOSE ANTONIO DEZENE JUNIOR (AGENDA 43728)</v>
      </c>
      <c r="B109" s="11">
        <v>46235</v>
      </c>
      <c r="C109" s="4">
        <v>817991</v>
      </c>
      <c r="D109" s="1" t="s">
        <v>428</v>
      </c>
      <c r="E109" s="14">
        <v>-4282.7</v>
      </c>
      <c r="F109" s="5" t="s">
        <v>447</v>
      </c>
      <c r="G109" s="2">
        <v>46259</v>
      </c>
      <c r="H109" s="9">
        <v>1170</v>
      </c>
      <c r="I109" s="4"/>
      <c r="J109" s="5" t="s">
        <v>2873</v>
      </c>
      <c r="K109" s="7" t="s">
        <v>2872</v>
      </c>
      <c r="L109" s="1" t="s">
        <v>428</v>
      </c>
      <c r="M109" s="9" t="s">
        <v>468</v>
      </c>
      <c r="N109" s="4" t="str">
        <f>VLOOKUP(H109,Clientes!B:D,3,)</f>
        <v>BGC LIQUIDEZ DTVM LTDA</v>
      </c>
    </row>
    <row r="110" spans="1:16" hidden="1" x14ac:dyDescent="0.25">
      <c r="A110" s="4" t="str">
        <f t="shared" si="1"/>
        <v>DESPESA DE REPRESENTAÇÃO - PASSAGEM SÃO PAULO X RIO DE JANEIRO - BROKER - ENRICO BORTPLUZO CASSIANO (AGENDA 43701)</v>
      </c>
      <c r="B110" s="11">
        <v>46235</v>
      </c>
      <c r="C110" s="4">
        <v>817991</v>
      </c>
      <c r="D110" s="1" t="s">
        <v>647</v>
      </c>
      <c r="E110" s="14">
        <v>-1941.96</v>
      </c>
      <c r="F110" s="5" t="s">
        <v>388</v>
      </c>
      <c r="G110" s="2">
        <v>46259</v>
      </c>
      <c r="H110" s="9">
        <v>1170</v>
      </c>
      <c r="I110" s="4"/>
      <c r="J110" s="4" t="s">
        <v>756</v>
      </c>
      <c r="K110" s="7" t="s">
        <v>2890</v>
      </c>
      <c r="L110" s="1" t="s">
        <v>647</v>
      </c>
      <c r="M110" s="9" t="s">
        <v>2</v>
      </c>
      <c r="N110" s="4" t="str">
        <f>VLOOKUP(H110,Clientes!B:D,3,)</f>
        <v>BGC LIQUIDEZ DTVM LTDA</v>
      </c>
    </row>
    <row r="111" spans="1:16" hidden="1" x14ac:dyDescent="0.25">
      <c r="A111" s="4" t="str">
        <f t="shared" si="1"/>
        <v>DESPESA DE REPRESENTAÇÃO - HOTEL RADISSON BLU SÃO PAULO - BROKER - CLAUDIO DE SOUZA PACINI (AGENDA 43647)</v>
      </c>
      <c r="B111" s="11">
        <v>46235</v>
      </c>
      <c r="C111" s="4">
        <v>817991</v>
      </c>
      <c r="D111" s="1" t="s">
        <v>648</v>
      </c>
      <c r="E111" s="14">
        <v>-2879.83</v>
      </c>
      <c r="F111" s="5" t="s">
        <v>422</v>
      </c>
      <c r="G111" s="2">
        <v>46260</v>
      </c>
      <c r="H111" s="9">
        <v>1170</v>
      </c>
      <c r="I111" s="4"/>
      <c r="J111" s="4" t="s">
        <v>1638</v>
      </c>
      <c r="K111" s="7" t="s">
        <v>2889</v>
      </c>
      <c r="L111" s="1" t="s">
        <v>648</v>
      </c>
      <c r="M111" s="9" t="s">
        <v>2</v>
      </c>
      <c r="N111" s="4" t="str">
        <f>VLOOKUP(H111,Clientes!B:D,3,)</f>
        <v>BGC LIQUIDEZ DTVM LTDA</v>
      </c>
    </row>
    <row r="112" spans="1:16" hidden="1" x14ac:dyDescent="0.25">
      <c r="A112" s="4" t="str">
        <f t="shared" si="1"/>
        <v>DESPESA DE REPRESENTAÇÃO - ROADSHOW COM O PRESIDENTE DO PARTIDO NOVO - TRADER - LEONARDO LOCATELLI (143516-3998NA)</v>
      </c>
      <c r="B112" s="11">
        <v>46235</v>
      </c>
      <c r="C112" s="4">
        <v>817991</v>
      </c>
      <c r="D112" s="1" t="s">
        <v>665</v>
      </c>
      <c r="E112" s="14">
        <v>-3018.79</v>
      </c>
      <c r="F112" s="5" t="s">
        <v>387</v>
      </c>
      <c r="G112" s="2">
        <v>46261</v>
      </c>
      <c r="H112" s="9">
        <v>16705</v>
      </c>
      <c r="I112" s="4"/>
      <c r="J112" s="5" t="s">
        <v>2874</v>
      </c>
      <c r="K112" s="7" t="s">
        <v>2875</v>
      </c>
      <c r="L112" s="5" t="s">
        <v>696</v>
      </c>
      <c r="M112" s="9" t="s">
        <v>335</v>
      </c>
      <c r="N112" s="4" t="str">
        <f>VLOOKUP(H112,Clientes!B:D,3,)</f>
        <v>BANCO BRADESCO S/A</v>
      </c>
    </row>
    <row r="113" spans="1:14" hidden="1" x14ac:dyDescent="0.25">
      <c r="A113" s="4" t="str">
        <f t="shared" si="1"/>
        <v>DESPESA DE REPRESENTAÇÃO - ALMOÇO - TRADER - ANDRE ALBUQUERQUE BAUM (175806-3998FB)</v>
      </c>
      <c r="B113" s="11">
        <v>46235</v>
      </c>
      <c r="C113" s="4">
        <v>817991</v>
      </c>
      <c r="D113" s="1" t="s">
        <v>475</v>
      </c>
      <c r="E113" s="14">
        <v>-441.83</v>
      </c>
      <c r="F113" s="5" t="s">
        <v>447</v>
      </c>
      <c r="G113" s="2">
        <v>46261</v>
      </c>
      <c r="H113" s="9">
        <v>12413</v>
      </c>
      <c r="I113" s="4"/>
      <c r="J113" s="5" t="s">
        <v>447</v>
      </c>
      <c r="K113" s="1" t="s">
        <v>2876</v>
      </c>
      <c r="L113" s="1" t="s">
        <v>473</v>
      </c>
      <c r="M113" s="9" t="s">
        <v>335</v>
      </c>
      <c r="N113" s="4" t="str">
        <f>VLOOKUP(H113,Clientes!B:D,3,)</f>
        <v>KAPITALO INVESTIMENTOS LTDA</v>
      </c>
    </row>
    <row r="114" spans="1:14" hidden="1" x14ac:dyDescent="0.25">
      <c r="A114" s="4" t="str">
        <f t="shared" si="1"/>
        <v>DESPESA DE REPRESENTAÇÃO - ALMOÇO - TRADER - ANDRE ALBUQUERQUE BAUM (175806-3998FB)</v>
      </c>
      <c r="B114" s="11">
        <v>46235</v>
      </c>
      <c r="C114" s="4">
        <v>817991</v>
      </c>
      <c r="D114" s="1" t="s">
        <v>632</v>
      </c>
      <c r="E114" s="14">
        <v>-441.83</v>
      </c>
      <c r="F114" s="5" t="s">
        <v>447</v>
      </c>
      <c r="G114" s="2">
        <v>46261</v>
      </c>
      <c r="H114" s="9">
        <v>12413</v>
      </c>
      <c r="I114" s="4"/>
      <c r="J114" s="5" t="s">
        <v>447</v>
      </c>
      <c r="K114" s="1" t="s">
        <v>2876</v>
      </c>
      <c r="L114" s="1" t="s">
        <v>473</v>
      </c>
      <c r="M114" s="9" t="s">
        <v>335</v>
      </c>
      <c r="N114" s="4" t="str">
        <f>VLOOKUP(H114,Clientes!B:D,3,)</f>
        <v>KAPITALO INVESTIMENTOS LTDA</v>
      </c>
    </row>
    <row r="115" spans="1:14" hidden="1" x14ac:dyDescent="0.25">
      <c r="A115" s="4" t="str">
        <f t="shared" si="1"/>
        <v>DESPESA DE REPRESENTAÇÃO - HAPPY HOUR - TRADER - HENRIQUE DE LA ROCQUE (153425-3998CL)</v>
      </c>
      <c r="B115" s="11">
        <v>46235</v>
      </c>
      <c r="C115" s="4">
        <v>817991</v>
      </c>
      <c r="D115" s="1" t="s">
        <v>60</v>
      </c>
      <c r="E115" s="14">
        <v>-510</v>
      </c>
      <c r="F115" s="5" t="s">
        <v>387</v>
      </c>
      <c r="G115" s="2">
        <v>46261</v>
      </c>
      <c r="H115" s="9">
        <v>125119</v>
      </c>
      <c r="I115" s="4"/>
      <c r="J115" s="5" t="s">
        <v>485</v>
      </c>
      <c r="K115" s="7" t="s">
        <v>2877</v>
      </c>
      <c r="L115" s="1" t="s">
        <v>270</v>
      </c>
      <c r="M115" s="9" t="s">
        <v>335</v>
      </c>
      <c r="N115" s="4" t="str">
        <f>VLOOKUP(H115,Clientes!B:D,3,)</f>
        <v>IRB ASSET MANAGEMENT S.A</v>
      </c>
    </row>
    <row r="116" spans="1:14" hidden="1" x14ac:dyDescent="0.25">
      <c r="A116" s="4" t="str">
        <f t="shared" si="1"/>
        <v>DESPESA DE REPRESENTAÇÃO - ALMOÇO - TRADER - GABRIEL DINI PECOLI (151231-3998JV)</v>
      </c>
      <c r="B116" s="11">
        <v>46235</v>
      </c>
      <c r="C116" s="4">
        <v>817991</v>
      </c>
      <c r="D116" s="1" t="s">
        <v>459</v>
      </c>
      <c r="E116" s="14">
        <v>-624.89</v>
      </c>
      <c r="F116" s="5" t="s">
        <v>447</v>
      </c>
      <c r="G116" s="2">
        <v>46261</v>
      </c>
      <c r="H116" s="9">
        <v>80753</v>
      </c>
      <c r="I116" s="4"/>
      <c r="J116" s="5" t="s">
        <v>447</v>
      </c>
      <c r="K116" s="7" t="s">
        <v>2878</v>
      </c>
      <c r="L116" s="1" t="s">
        <v>2004</v>
      </c>
      <c r="M116" s="9" t="s">
        <v>335</v>
      </c>
      <c r="N116" s="4" t="str">
        <f>VLOOKUP(H116,Clientes!B:D,3,)</f>
        <v>BANCO MORGAN STANLEY S/A</v>
      </c>
    </row>
    <row r="117" spans="1:14" hidden="1" x14ac:dyDescent="0.25">
      <c r="A117" s="4" t="str">
        <f t="shared" si="1"/>
        <v>DESPESA DE REPRESENTAÇÃO - JANTAR - TRADER - FERNANDO FURTADO DE OLIVEIRA (101109-3998AS)</v>
      </c>
      <c r="B117" s="11">
        <v>46235</v>
      </c>
      <c r="C117" s="4">
        <v>817991</v>
      </c>
      <c r="D117" s="1" t="s">
        <v>770</v>
      </c>
      <c r="E117" s="14">
        <v>-394.37</v>
      </c>
      <c r="F117" s="5" t="s">
        <v>380</v>
      </c>
      <c r="G117" s="2">
        <v>46261</v>
      </c>
      <c r="H117" s="9">
        <v>80754</v>
      </c>
      <c r="I117" s="4"/>
      <c r="J117" s="5" t="s">
        <v>380</v>
      </c>
      <c r="K117" s="7" t="s">
        <v>2879</v>
      </c>
      <c r="L117" s="1" t="s">
        <v>2269</v>
      </c>
      <c r="M117" s="9" t="s">
        <v>335</v>
      </c>
      <c r="N117" s="4" t="str">
        <f>VLOOKUP(H117,Clientes!B:D,3,)</f>
        <v>BANCO MORGAN STANLEY S/A</v>
      </c>
    </row>
    <row r="118" spans="1:14" hidden="1" x14ac:dyDescent="0.25">
      <c r="A118" s="4" t="str">
        <f t="shared" si="1"/>
        <v>DESPESA DE REPRESENTAÇÃO - JANTAR - TRADER - FERNANDO FURTADO DE OLIVEIRA (101109-3998AS)</v>
      </c>
      <c r="B118" s="11">
        <v>46235</v>
      </c>
      <c r="C118" s="4">
        <v>817991</v>
      </c>
      <c r="D118" s="1" t="s">
        <v>475</v>
      </c>
      <c r="E118" s="14">
        <v>-394.37</v>
      </c>
      <c r="F118" s="5" t="s">
        <v>380</v>
      </c>
      <c r="G118" s="2">
        <v>46261</v>
      </c>
      <c r="H118" s="9">
        <v>80754</v>
      </c>
      <c r="I118" s="4"/>
      <c r="J118" s="5" t="s">
        <v>380</v>
      </c>
      <c r="K118" s="7" t="s">
        <v>2879</v>
      </c>
      <c r="L118" s="1" t="s">
        <v>2269</v>
      </c>
      <c r="M118" s="9" t="s">
        <v>335</v>
      </c>
      <c r="N118" s="4" t="str">
        <f>VLOOKUP(H118,Clientes!B:D,3,)</f>
        <v>BANCO MORGAN STANLEY S/A</v>
      </c>
    </row>
    <row r="119" spans="1:14" hidden="1" x14ac:dyDescent="0.25">
      <c r="A119" s="4" t="str">
        <f t="shared" si="1"/>
        <v>DESPESA DE REPRESENTAÇÃO - HAPPY HOUR - TRADER - RODRIGO LAZZARIS FERNANDEZ (103913-3998AS)</v>
      </c>
      <c r="B119" s="11">
        <v>46235</v>
      </c>
      <c r="C119" s="4">
        <v>817991</v>
      </c>
      <c r="D119" s="1" t="s">
        <v>770</v>
      </c>
      <c r="E119" s="14">
        <v>-2415.186666666667</v>
      </c>
      <c r="F119" s="5" t="s">
        <v>387</v>
      </c>
      <c r="G119" s="2">
        <v>46261</v>
      </c>
      <c r="H119" s="9">
        <v>14479</v>
      </c>
      <c r="I119" s="4"/>
      <c r="J119" s="5" t="s">
        <v>485</v>
      </c>
      <c r="K119" s="7" t="s">
        <v>2880</v>
      </c>
      <c r="L119" s="1" t="s">
        <v>1767</v>
      </c>
      <c r="M119" s="9" t="s">
        <v>335</v>
      </c>
      <c r="N119" s="4" t="str">
        <f>VLOOKUP(H119,Clientes!B:D,3,)</f>
        <v>BANCO SANTANDER (BRASIL) S/A</v>
      </c>
    </row>
    <row r="120" spans="1:14" hidden="1" x14ac:dyDescent="0.25">
      <c r="A120" s="4" t="str">
        <f t="shared" si="1"/>
        <v>DESPESA DE REPRESENTAÇÃO - HAPPY HOUR - TRADER - RODRIGO LAZZARIS FERNANDEZ (103913-3998AS)</v>
      </c>
      <c r="B120" s="11">
        <v>46235</v>
      </c>
      <c r="C120" s="4">
        <v>817991</v>
      </c>
      <c r="D120" s="1" t="s">
        <v>615</v>
      </c>
      <c r="E120" s="14">
        <v>-2415.186666666667</v>
      </c>
      <c r="F120" s="5" t="s">
        <v>387</v>
      </c>
      <c r="G120" s="2">
        <v>46261</v>
      </c>
      <c r="H120" s="9">
        <v>14479</v>
      </c>
      <c r="I120" s="4"/>
      <c r="J120" s="5" t="s">
        <v>485</v>
      </c>
      <c r="K120" s="7" t="s">
        <v>2880</v>
      </c>
      <c r="L120" s="1" t="s">
        <v>1767</v>
      </c>
      <c r="M120" s="9" t="s">
        <v>335</v>
      </c>
      <c r="N120" s="4" t="str">
        <f>VLOOKUP(H120,Clientes!B:D,3,)</f>
        <v>BANCO SANTANDER (BRASIL) S/A</v>
      </c>
    </row>
    <row r="121" spans="1:14" hidden="1" x14ac:dyDescent="0.25">
      <c r="A121" s="4" t="str">
        <f t="shared" si="1"/>
        <v>DESPESA DE REPRESENTAÇÃO - HAPPY HOUR - TRADER - RODRIGO LAZZARIS FERNANDEZ (103913-3998AS)</v>
      </c>
      <c r="B121" s="11">
        <v>46235</v>
      </c>
      <c r="C121" s="4">
        <v>817991</v>
      </c>
      <c r="D121" s="1" t="s">
        <v>652</v>
      </c>
      <c r="E121" s="14">
        <v>-2415.186666666667</v>
      </c>
      <c r="F121" s="5" t="s">
        <v>387</v>
      </c>
      <c r="G121" s="2">
        <v>46261</v>
      </c>
      <c r="H121" s="9">
        <v>14479</v>
      </c>
      <c r="I121" s="4"/>
      <c r="J121" s="5" t="s">
        <v>485</v>
      </c>
      <c r="K121" s="7" t="s">
        <v>2880</v>
      </c>
      <c r="L121" s="1" t="s">
        <v>1767</v>
      </c>
      <c r="M121" s="9" t="s">
        <v>335</v>
      </c>
      <c r="N121" s="4" t="str">
        <f>VLOOKUP(H121,Clientes!B:D,3,)</f>
        <v>BANCO SANTANDER (BRASIL) S/A</v>
      </c>
    </row>
    <row r="122" spans="1:14" hidden="1" x14ac:dyDescent="0.25">
      <c r="A122" s="4" t="str">
        <f t="shared" si="1"/>
        <v>DESPESA DE REPRESENTAÇÃO - ALMOÇO - TRADER - FELIPE SERENO (172056-4120MP)</v>
      </c>
      <c r="B122" s="11">
        <v>46235</v>
      </c>
      <c r="C122" s="4">
        <v>817991</v>
      </c>
      <c r="D122" s="1" t="s">
        <v>477</v>
      </c>
      <c r="E122" s="14">
        <v>-441.83</v>
      </c>
      <c r="F122" s="5" t="s">
        <v>447</v>
      </c>
      <c r="G122" s="2">
        <v>46261</v>
      </c>
      <c r="H122" s="9">
        <v>81767</v>
      </c>
      <c r="I122" s="4"/>
      <c r="J122" s="4" t="s">
        <v>447</v>
      </c>
      <c r="K122" s="7" t="s">
        <v>2881</v>
      </c>
      <c r="L122" s="1" t="s">
        <v>2882</v>
      </c>
      <c r="M122" s="9" t="s">
        <v>335</v>
      </c>
      <c r="N122" s="4" t="str">
        <f>VLOOKUP(H122,Clientes!B:D,3,)</f>
        <v>SAFRA DISTRIBUIDORA DE TITULOS E VALORES MOBILIARIOS LTDA.</v>
      </c>
    </row>
    <row r="123" spans="1:14" hidden="1" x14ac:dyDescent="0.25">
      <c r="A123" s="4" t="str">
        <f t="shared" si="1"/>
        <v>DESPESA DE REPRESENTAÇÃO - ALMOÇO - TRADER - ANDRE PIMENTEL (153753-3998AS)</v>
      </c>
      <c r="B123" s="11">
        <v>46235</v>
      </c>
      <c r="C123" s="4">
        <v>817991</v>
      </c>
      <c r="D123" s="1" t="s">
        <v>449</v>
      </c>
      <c r="E123" s="14">
        <v>-465</v>
      </c>
      <c r="F123" s="5" t="s">
        <v>447</v>
      </c>
      <c r="G123" s="2">
        <v>46261</v>
      </c>
      <c r="H123" s="9">
        <v>80691</v>
      </c>
      <c r="I123" s="4"/>
      <c r="J123" s="5" t="s">
        <v>447</v>
      </c>
      <c r="K123" s="7" t="s">
        <v>2883</v>
      </c>
      <c r="L123" s="1" t="s">
        <v>925</v>
      </c>
      <c r="M123" s="9" t="s">
        <v>335</v>
      </c>
      <c r="N123" s="4" t="str">
        <f>VLOOKUP(H123,Clientes!B:D,3,)</f>
        <v>UJAY CAPITAL INVESTIMENTOS LTDA</v>
      </c>
    </row>
    <row r="124" spans="1:14" hidden="1" x14ac:dyDescent="0.25">
      <c r="A124" s="4" t="str">
        <f t="shared" si="1"/>
        <v>DESPESA DE REPRESENTAÇÃO - JANTAR - TRADER - LEONARDO LOCATELLI (101531-3998DG)</v>
      </c>
      <c r="B124" s="11">
        <v>46235</v>
      </c>
      <c r="C124" s="4">
        <v>817991</v>
      </c>
      <c r="D124" s="1" t="s">
        <v>516</v>
      </c>
      <c r="E124" s="14">
        <v>-762.08</v>
      </c>
      <c r="F124" s="5" t="s">
        <v>380</v>
      </c>
      <c r="G124" s="2">
        <v>46261</v>
      </c>
      <c r="H124" s="9">
        <v>16705</v>
      </c>
      <c r="I124" s="4"/>
      <c r="J124" s="5" t="s">
        <v>380</v>
      </c>
      <c r="K124" s="7" t="s">
        <v>2884</v>
      </c>
      <c r="L124" s="5" t="s">
        <v>696</v>
      </c>
      <c r="M124" s="9" t="s">
        <v>335</v>
      </c>
      <c r="N124" s="4" t="str">
        <f>VLOOKUP(H124,Clientes!B:D,3,)</f>
        <v>BANCO BRADESCO S/A</v>
      </c>
    </row>
    <row r="125" spans="1:14" hidden="1" x14ac:dyDescent="0.25">
      <c r="A125" s="4" t="str">
        <f t="shared" si="1"/>
        <v>DESPESA DE REPRESENTAÇÃO - ALMOÇO - TRADER - BRUNNO KARPFENSTEIN NEVES (144929-4120CB)</v>
      </c>
      <c r="B125" s="11">
        <v>46235</v>
      </c>
      <c r="C125" s="4">
        <v>817991</v>
      </c>
      <c r="D125" s="1" t="s">
        <v>132</v>
      </c>
      <c r="E125" s="14">
        <v>-948.07</v>
      </c>
      <c r="F125" s="5" t="s">
        <v>447</v>
      </c>
      <c r="G125" s="2">
        <v>46261</v>
      </c>
      <c r="H125" s="9">
        <v>79799</v>
      </c>
      <c r="I125" s="4"/>
      <c r="J125" s="5" t="s">
        <v>447</v>
      </c>
      <c r="K125" s="7" t="s">
        <v>2885</v>
      </c>
      <c r="L125" s="1" t="s">
        <v>2015</v>
      </c>
      <c r="M125" s="9" t="s">
        <v>335</v>
      </c>
      <c r="N125" s="4" t="str">
        <f>VLOOKUP(H125,Clientes!B:D,3,)</f>
        <v>ITAU UNIBANCO S/A</v>
      </c>
    </row>
    <row r="126" spans="1:14" hidden="1" x14ac:dyDescent="0.25">
      <c r="A126" s="4" t="str">
        <f t="shared" si="1"/>
        <v>DESPESA DE REPRESENTAÇÃO - JANTAR  - TRADER - JOAO PEDRO BESSA LIMA OLIVEIRA (114232-4120AL)</v>
      </c>
      <c r="B126" s="11">
        <v>46235</v>
      </c>
      <c r="C126" s="4">
        <v>817991</v>
      </c>
      <c r="D126" s="1" t="s">
        <v>39</v>
      </c>
      <c r="E126" s="14">
        <v>-2356.0500000000002</v>
      </c>
      <c r="F126" s="5" t="s">
        <v>380</v>
      </c>
      <c r="G126" s="2">
        <v>46261</v>
      </c>
      <c r="H126" s="9">
        <v>81771</v>
      </c>
      <c r="I126" s="4"/>
      <c r="J126" s="5" t="s">
        <v>2891</v>
      </c>
      <c r="K126" s="7" t="s">
        <v>2892</v>
      </c>
      <c r="L126" s="1" t="s">
        <v>1472</v>
      </c>
      <c r="M126" s="9" t="s">
        <v>335</v>
      </c>
      <c r="N126" s="4" t="str">
        <f>VLOOKUP(H126,Clientes!B:D,3,)</f>
        <v>BANCO JP MORGAN S/A</v>
      </c>
    </row>
    <row r="127" spans="1:14" hidden="1" x14ac:dyDescent="0.25">
      <c r="A127" s="4" t="str">
        <f t="shared" si="1"/>
        <v>DESPESA DE REPRESENTAÇÃO - ALMOÇO - TRADER - TOMAS FORTES SOARES QUIEZI (084535-4120FC)</v>
      </c>
      <c r="B127" s="11">
        <v>46235</v>
      </c>
      <c r="C127" s="4">
        <v>817991</v>
      </c>
      <c r="D127" s="1" t="s">
        <v>480</v>
      </c>
      <c r="E127" s="14">
        <v>-761.06</v>
      </c>
      <c r="F127" s="5" t="s">
        <v>447</v>
      </c>
      <c r="G127" s="2">
        <v>46261</v>
      </c>
      <c r="H127" s="9">
        <v>79905</v>
      </c>
      <c r="I127" s="4"/>
      <c r="J127" s="5" t="s">
        <v>447</v>
      </c>
      <c r="K127" s="7" t="s">
        <v>2893</v>
      </c>
      <c r="L127" s="1" t="s">
        <v>1785</v>
      </c>
      <c r="M127" s="9" t="s">
        <v>335</v>
      </c>
      <c r="N127" s="4" t="str">
        <f>VLOOKUP(H127,Clientes!B:D,3,)</f>
        <v>BANCO BRADESCO S/A</v>
      </c>
    </row>
    <row r="128" spans="1:14" hidden="1" x14ac:dyDescent="0.25">
      <c r="A128" s="4" t="str">
        <f t="shared" si="1"/>
        <v>DESPESA DE REPRESENTAÇÃO - HAPPY HOUR  - TRADER - MARCELO SCHOLZ ISSA (090911-4120AA)</v>
      </c>
      <c r="B128" s="11">
        <v>46235</v>
      </c>
      <c r="C128" s="4">
        <v>817991</v>
      </c>
      <c r="D128" s="1" t="s">
        <v>379</v>
      </c>
      <c r="E128" s="14">
        <v>-923</v>
      </c>
      <c r="F128" s="5" t="s">
        <v>387</v>
      </c>
      <c r="G128" s="2">
        <v>46261</v>
      </c>
      <c r="H128" s="9">
        <v>81259</v>
      </c>
      <c r="I128" s="4"/>
      <c r="J128" s="4" t="s">
        <v>1335</v>
      </c>
      <c r="K128" s="7" t="s">
        <v>2894</v>
      </c>
      <c r="L128" s="1" t="s">
        <v>681</v>
      </c>
      <c r="M128" s="9" t="s">
        <v>335</v>
      </c>
      <c r="N128" s="4" t="str">
        <f>VLOOKUP(H128,Clientes!B:D,3,)</f>
        <v>GOLDMAN SACHS DO BRASIL BANCO MULTIPLO S/A</v>
      </c>
    </row>
    <row r="129" spans="1:14" hidden="1" x14ac:dyDescent="0.25">
      <c r="A129" s="4" t="str">
        <f t="shared" si="1"/>
        <v>DESPESA DE REPRESENTAÇÃO - ALMOÇO - TRADER - JOSE HENRIQUE MATOS DA SILVA (155226-4120AS)</v>
      </c>
      <c r="B129" s="11">
        <v>46235</v>
      </c>
      <c r="C129" s="4">
        <v>817991</v>
      </c>
      <c r="D129" s="1" t="s">
        <v>449</v>
      </c>
      <c r="E129" s="14">
        <v>-557</v>
      </c>
      <c r="F129" s="5" t="s">
        <v>447</v>
      </c>
      <c r="G129" s="2">
        <v>46261</v>
      </c>
      <c r="H129" s="9">
        <v>80240</v>
      </c>
      <c r="I129" s="4"/>
      <c r="J129" s="4" t="s">
        <v>447</v>
      </c>
      <c r="K129" s="7" t="s">
        <v>2895</v>
      </c>
      <c r="L129" s="1" t="s">
        <v>2553</v>
      </c>
      <c r="M129" s="9" t="s">
        <v>335</v>
      </c>
      <c r="N129" s="4" t="str">
        <f>VLOOKUP(H129,Clientes!B:D,3,)</f>
        <v>KINEA INVESTIMENTOS LTDA</v>
      </c>
    </row>
    <row r="130" spans="1:14" hidden="1" x14ac:dyDescent="0.25">
      <c r="A130" s="4" t="str">
        <f t="shared" si="1"/>
        <v>DESPESA DE REPRESENTAÇÃO - ALMOÇO COM OBY CAPITAL  - GESTOR - CAMILLO REIS (170901-3998JL)</v>
      </c>
      <c r="B130" s="11">
        <v>46235</v>
      </c>
      <c r="C130" s="4">
        <v>817991</v>
      </c>
      <c r="D130" s="1" t="s">
        <v>614</v>
      </c>
      <c r="E130" s="14">
        <v>-725.59</v>
      </c>
      <c r="F130" s="5" t="s">
        <v>447</v>
      </c>
      <c r="G130" s="2">
        <v>46261</v>
      </c>
      <c r="H130" s="9">
        <v>1170</v>
      </c>
      <c r="I130" s="4"/>
      <c r="J130" s="4" t="s">
        <v>2898</v>
      </c>
      <c r="K130" s="7" t="s">
        <v>2899</v>
      </c>
      <c r="L130" s="1" t="s">
        <v>2900</v>
      </c>
      <c r="M130" s="9" t="s">
        <v>598</v>
      </c>
      <c r="N130" s="4" t="str">
        <f>VLOOKUP(H130,Clientes!B:D,3,)</f>
        <v>BGC LIQUIDEZ DTVM LTDA</v>
      </c>
    </row>
    <row r="131" spans="1:14" hidden="1" x14ac:dyDescent="0.25">
      <c r="A131" s="4" t="str">
        <f t="shared" si="1"/>
        <v>DESPESA DE REPRESENTAÇÃO - ALMOÇO - TRADER - HENRIQUE FARINELLI NETO (161309-3998EC)</v>
      </c>
      <c r="B131" s="11">
        <v>46235</v>
      </c>
      <c r="C131" s="4">
        <v>817991</v>
      </c>
      <c r="D131" s="1" t="s">
        <v>647</v>
      </c>
      <c r="E131" s="14">
        <v>-525</v>
      </c>
      <c r="F131" s="5" t="s">
        <v>447</v>
      </c>
      <c r="G131" s="2">
        <v>46261</v>
      </c>
      <c r="H131" s="9">
        <v>80958</v>
      </c>
      <c r="I131" s="4"/>
      <c r="J131" s="4" t="s">
        <v>447</v>
      </c>
      <c r="K131" s="7" t="s">
        <v>2901</v>
      </c>
      <c r="L131" s="1" t="s">
        <v>1872</v>
      </c>
      <c r="M131" s="9" t="s">
        <v>335</v>
      </c>
      <c r="N131" s="4" t="str">
        <f>VLOOKUP(H131,Clientes!B:D,3,)</f>
        <v>ITAU UNIBANCO ASSET - OPTIMUS</v>
      </c>
    </row>
    <row r="132" spans="1:14" hidden="1" x14ac:dyDescent="0.25">
      <c r="A132" s="4" t="str">
        <f t="shared" si="1"/>
        <v>DESPESA DE REPRESENTAÇÃO - JANTAR - TRADER - ANDRE MENDES DE ANDRADE (173714-4120RP)</v>
      </c>
      <c r="B132" s="11">
        <v>46235</v>
      </c>
      <c r="C132" s="4">
        <v>817991</v>
      </c>
      <c r="D132" s="1" t="s">
        <v>482</v>
      </c>
      <c r="E132" s="14">
        <v>-2163</v>
      </c>
      <c r="F132" s="5" t="s">
        <v>380</v>
      </c>
      <c r="G132" s="2">
        <v>46261</v>
      </c>
      <c r="H132" s="9">
        <v>83043</v>
      </c>
      <c r="I132" s="4"/>
      <c r="J132" s="4" t="s">
        <v>380</v>
      </c>
      <c r="K132" s="7" t="s">
        <v>2902</v>
      </c>
      <c r="L132" s="1" t="s">
        <v>178</v>
      </c>
      <c r="M132" s="9" t="s">
        <v>335</v>
      </c>
      <c r="N132" s="4" t="str">
        <f>VLOOKUP(H132,Clientes!B:D,3,)</f>
        <v>BANCO MORGAN STANLEY S/A</v>
      </c>
    </row>
    <row r="133" spans="1:14" hidden="1" x14ac:dyDescent="0.25">
      <c r="A133" s="4" t="str">
        <f t="shared" si="1"/>
        <v>DESPESA DE REPRESENTAÇÃO - ALMOÇO COM LIFETIME - TRADER - GABRIEL SILVA (171150-4120EC)</v>
      </c>
      <c r="B133" s="11">
        <v>46235</v>
      </c>
      <c r="C133" s="4">
        <v>817991</v>
      </c>
      <c r="D133" s="1" t="s">
        <v>647</v>
      </c>
      <c r="E133" s="14">
        <v>-618</v>
      </c>
      <c r="F133" s="5" t="s">
        <v>447</v>
      </c>
      <c r="G133" s="2">
        <v>46261</v>
      </c>
      <c r="H133" s="9">
        <v>1170</v>
      </c>
      <c r="I133" s="4"/>
      <c r="J133" s="4" t="s">
        <v>2904</v>
      </c>
      <c r="K133" s="7" t="s">
        <v>2903</v>
      </c>
      <c r="L133" s="1" t="s">
        <v>2905</v>
      </c>
      <c r="M133" s="9" t="s">
        <v>335</v>
      </c>
      <c r="N133" s="4" t="str">
        <f>VLOOKUP(H133,Clientes!B:D,3,)</f>
        <v>BGC LIQUIDEZ DTVM LTDA</v>
      </c>
    </row>
    <row r="134" spans="1:14" hidden="1" x14ac:dyDescent="0.25">
      <c r="A134" s="4" t="str">
        <f t="shared" si="1"/>
        <v>DESPESA DE REPRESENTAÇÃO - ALMOÇO - DIRETOR - IZAK BENADERET (111912-4120JD)</v>
      </c>
      <c r="B134" s="11">
        <v>46235</v>
      </c>
      <c r="C134" s="4">
        <v>817991</v>
      </c>
      <c r="D134" s="1" t="s">
        <v>428</v>
      </c>
      <c r="E134" s="14">
        <v>-499.67</v>
      </c>
      <c r="F134" s="5" t="s">
        <v>447</v>
      </c>
      <c r="G134" s="2">
        <v>46261</v>
      </c>
      <c r="H134" s="9">
        <v>82597</v>
      </c>
      <c r="I134" s="4"/>
      <c r="J134" s="5" t="s">
        <v>447</v>
      </c>
      <c r="K134" s="7" t="s">
        <v>2906</v>
      </c>
      <c r="L134" s="1" t="s">
        <v>2907</v>
      </c>
      <c r="M134" s="9" t="s">
        <v>1233</v>
      </c>
      <c r="N134" s="4" t="str">
        <f>VLOOKUP(H134,Clientes!B:D,3,)</f>
        <v>PORTO SEGURO INVESTIMENTOS LTDA</v>
      </c>
    </row>
    <row r="135" spans="1:14" hidden="1" x14ac:dyDescent="0.25">
      <c r="A135" s="4" t="str">
        <f t="shared" ref="A135:A158" si="3">CONCATENATE($J$1,J135,$I$3,M135,$I$3,L135,$I$1,K135,$I$2)</f>
        <v>DESPESA DE REPRESENTAÇÃO - ALMOÇO - TRADER - FERNANDO TINOCO (151122-3998EC)</v>
      </c>
      <c r="B135" s="11">
        <v>46235</v>
      </c>
      <c r="C135" s="4">
        <v>817991</v>
      </c>
      <c r="D135" s="1" t="s">
        <v>647</v>
      </c>
      <c r="E135" s="14">
        <v>-797</v>
      </c>
      <c r="F135" s="5" t="s">
        <v>447</v>
      </c>
      <c r="G135" s="2">
        <v>46261</v>
      </c>
      <c r="H135" s="9">
        <v>79452</v>
      </c>
      <c r="I135" s="4"/>
      <c r="J135" s="5" t="s">
        <v>447</v>
      </c>
      <c r="K135" s="7" t="s">
        <v>2908</v>
      </c>
      <c r="L135" s="1" t="s">
        <v>2909</v>
      </c>
      <c r="M135" s="9" t="s">
        <v>335</v>
      </c>
      <c r="N135" s="4" t="str">
        <f>VLOOKUP(H135,Clientes!B:D,3,)</f>
        <v>JGP GESTAO PATRIMONIAL LTDA</v>
      </c>
    </row>
    <row r="136" spans="1:14" hidden="1" x14ac:dyDescent="0.25">
      <c r="A136" s="4" t="str">
        <f t="shared" si="3"/>
        <v>DESPESA DE REPRESENTAÇÃO - ESTACIONAMENTOS - TRADER - FABRICIO TASCHETTO (111409-4120JD)</v>
      </c>
      <c r="B136" s="11">
        <v>46235</v>
      </c>
      <c r="C136" s="4">
        <v>817991</v>
      </c>
      <c r="D136" s="1" t="s">
        <v>428</v>
      </c>
      <c r="E136" s="14">
        <v>-113</v>
      </c>
      <c r="F136" s="5" t="s">
        <v>388</v>
      </c>
      <c r="G136" s="2">
        <v>46261</v>
      </c>
      <c r="H136" s="9">
        <v>83029</v>
      </c>
      <c r="I136" s="4"/>
      <c r="J136" s="4" t="s">
        <v>2910</v>
      </c>
      <c r="K136" s="7" t="s">
        <v>2911</v>
      </c>
      <c r="L136" s="1" t="s">
        <v>260</v>
      </c>
      <c r="M136" s="9" t="s">
        <v>335</v>
      </c>
      <c r="N136" s="4" t="str">
        <f>VLOOKUP(H136,Clientes!B:D,3,)</f>
        <v>ACE CAPITAL GESTORA DE RECURSOS LTDA</v>
      </c>
    </row>
    <row r="137" spans="1:14" hidden="1" x14ac:dyDescent="0.25">
      <c r="A137" s="4" t="str">
        <f t="shared" si="3"/>
        <v>DESPESA DE REPRESENTAÇÃO - ALMOÇO COM STARR COMPANIES - CFO - DIEGO MONT'SERRATH (162331-3998JL)</v>
      </c>
      <c r="B137" s="11">
        <v>46235</v>
      </c>
      <c r="C137" s="4">
        <v>817991</v>
      </c>
      <c r="D137" s="1" t="s">
        <v>614</v>
      </c>
      <c r="E137" s="14">
        <v>-688.52</v>
      </c>
      <c r="F137" s="5" t="s">
        <v>447</v>
      </c>
      <c r="G137" s="2">
        <v>46261</v>
      </c>
      <c r="H137" s="9">
        <v>1170</v>
      </c>
      <c r="I137" s="4"/>
      <c r="J137" s="4" t="s">
        <v>2913</v>
      </c>
      <c r="K137" s="7" t="s">
        <v>2912</v>
      </c>
      <c r="L137" s="1" t="s">
        <v>2914</v>
      </c>
      <c r="M137" s="9" t="s">
        <v>1491</v>
      </c>
      <c r="N137" s="4" t="str">
        <f>VLOOKUP(H137,Clientes!B:D,3,)</f>
        <v>BGC LIQUIDEZ DTVM LTDA</v>
      </c>
    </row>
    <row r="138" spans="1:14" hidden="1" x14ac:dyDescent="0.25">
      <c r="A138" s="4" t="str">
        <f t="shared" si="3"/>
        <v>DESPESA DE REPRESENTAÇÃO - ALMOÇO - TRADER - MAURICIO FINKEL (180217-4120FC)</v>
      </c>
      <c r="B138" s="11">
        <v>46235</v>
      </c>
      <c r="C138" s="4">
        <v>817991</v>
      </c>
      <c r="D138" s="1" t="s">
        <v>480</v>
      </c>
      <c r="E138" s="14">
        <v>-311.88</v>
      </c>
      <c r="F138" s="5" t="s">
        <v>447</v>
      </c>
      <c r="G138" s="2">
        <v>46261</v>
      </c>
      <c r="H138" s="9">
        <v>79773</v>
      </c>
      <c r="I138" s="4"/>
      <c r="J138" s="5" t="s">
        <v>447</v>
      </c>
      <c r="K138" s="7" t="s">
        <v>2915</v>
      </c>
      <c r="L138" s="1" t="s">
        <v>2916</v>
      </c>
      <c r="M138" s="9" t="s">
        <v>335</v>
      </c>
      <c r="N138" s="4" t="str">
        <f>VLOOKUP(H138,Clientes!B:D,3,)</f>
        <v>VERDE ASSET MANAGEMENT S/A</v>
      </c>
    </row>
    <row r="139" spans="1:14" hidden="1" x14ac:dyDescent="0.25">
      <c r="A139" s="4" t="str">
        <f t="shared" si="3"/>
        <v>DESPESA DE REPRESENTAÇÃO - FUTEBOL E HAPPY HOUR  - TRADER - HENRIQUE FARINELLI NETO (170153-4120EC)</v>
      </c>
      <c r="B139" s="11">
        <v>46235</v>
      </c>
      <c r="C139" s="4">
        <v>817991</v>
      </c>
      <c r="D139" s="1" t="s">
        <v>647</v>
      </c>
      <c r="E139" s="14">
        <v>-3958</v>
      </c>
      <c r="F139" s="5" t="s">
        <v>387</v>
      </c>
      <c r="G139" s="2">
        <v>46261</v>
      </c>
      <c r="H139" s="9">
        <v>80958</v>
      </c>
      <c r="I139" s="4"/>
      <c r="J139" s="5" t="s">
        <v>2917</v>
      </c>
      <c r="K139" s="7" t="s">
        <v>2918</v>
      </c>
      <c r="L139" s="1" t="s">
        <v>1872</v>
      </c>
      <c r="M139" s="9" t="s">
        <v>335</v>
      </c>
      <c r="N139" s="4" t="str">
        <f>VLOOKUP(H139,Clientes!B:D,3,)</f>
        <v>ITAU UNIBANCO ASSET - OPTIMUS</v>
      </c>
    </row>
    <row r="140" spans="1:14" hidden="1" x14ac:dyDescent="0.25">
      <c r="A140" s="4" t="str">
        <f t="shared" si="3"/>
        <v>DESPESA DE REPRESENTAÇÃO - HOTEL LAGHETTO MOINHOS PORTO ALEGRE - BROKER - NAYANA IVO DE ALMEIDA (173524-4120NA)</v>
      </c>
      <c r="B140" s="11">
        <v>46235</v>
      </c>
      <c r="C140" s="4">
        <v>817991</v>
      </c>
      <c r="D140" s="1" t="s">
        <v>665</v>
      </c>
      <c r="E140" s="14">
        <v>-283.80500000000001</v>
      </c>
      <c r="F140" s="5" t="s">
        <v>422</v>
      </c>
      <c r="G140" s="2">
        <v>46261</v>
      </c>
      <c r="H140" s="9">
        <v>1170</v>
      </c>
      <c r="I140" s="4"/>
      <c r="J140" s="5" t="s">
        <v>2926</v>
      </c>
      <c r="K140" s="7" t="s">
        <v>2925</v>
      </c>
      <c r="L140" s="1" t="s">
        <v>665</v>
      </c>
      <c r="M140" s="9" t="s">
        <v>2</v>
      </c>
      <c r="N140" s="4" t="str">
        <f>VLOOKUP(H140,Clientes!B:D,3,)</f>
        <v>BGC LIQUIDEZ DTVM LTDA</v>
      </c>
    </row>
    <row r="141" spans="1:14" hidden="1" x14ac:dyDescent="0.25">
      <c r="A141" s="4" t="str">
        <f t="shared" si="3"/>
        <v>DESPESA DE REPRESENTAÇÃO - HOTEL LAGHETTO MOINHOS PORTO ALEGRE - BROKER - NAYANA IVO DE ALMEIDA (173524-4120NA)</v>
      </c>
      <c r="B141" s="11">
        <v>46235</v>
      </c>
      <c r="C141" s="4">
        <v>817991</v>
      </c>
      <c r="D141" s="1" t="s">
        <v>475</v>
      </c>
      <c r="E141" s="14">
        <v>-283.80500000000001</v>
      </c>
      <c r="F141" s="5" t="s">
        <v>422</v>
      </c>
      <c r="G141" s="2">
        <v>46261</v>
      </c>
      <c r="H141" s="9">
        <v>1170</v>
      </c>
      <c r="I141" s="4"/>
      <c r="J141" s="5" t="s">
        <v>2926</v>
      </c>
      <c r="K141" s="7" t="s">
        <v>2925</v>
      </c>
      <c r="L141" s="1" t="s">
        <v>665</v>
      </c>
      <c r="M141" s="9" t="s">
        <v>2</v>
      </c>
      <c r="N141" s="4" t="str">
        <f>VLOOKUP(H141,Clientes!B:D,3,)</f>
        <v>BGC LIQUIDEZ DTVM LTDA</v>
      </c>
    </row>
    <row r="142" spans="1:14" hidden="1" x14ac:dyDescent="0.25">
      <c r="A142" s="4" t="str">
        <f t="shared" si="3"/>
        <v>DESPESA DE REPRESENTAÇÃO - PASSAGEM RIO DE JANEIRO X SÃO PAULO - BROKER - BRUNO FERREIRA GOMES (AGENDA 43645)</v>
      </c>
      <c r="B142" s="11">
        <v>46235</v>
      </c>
      <c r="C142" s="4">
        <v>817991</v>
      </c>
      <c r="D142" s="1" t="s">
        <v>23</v>
      </c>
      <c r="E142" s="14">
        <v>-571.17999999999995</v>
      </c>
      <c r="F142" s="5" t="s">
        <v>388</v>
      </c>
      <c r="G142" s="2">
        <v>46262</v>
      </c>
      <c r="H142" s="9">
        <v>1170</v>
      </c>
      <c r="I142" s="4"/>
      <c r="J142" s="4" t="s">
        <v>495</v>
      </c>
      <c r="K142" s="7" t="s">
        <v>2888</v>
      </c>
      <c r="L142" s="1" t="s">
        <v>664</v>
      </c>
      <c r="M142" s="9" t="s">
        <v>2</v>
      </c>
      <c r="N142" s="4" t="str">
        <f>VLOOKUP(H142,Clientes!B:D,3,)</f>
        <v>BGC LIQUIDEZ DTVM LTDA</v>
      </c>
    </row>
    <row r="143" spans="1:14" hidden="1" x14ac:dyDescent="0.25">
      <c r="A143" s="4" t="str">
        <f t="shared" si="3"/>
        <v>DESPESA DE REPRESENTAÇÃO - PASSAGEM RIO DE JANEIRO X SÃO PAULO - BROKER - CESAR MARIANO SCARAMBONE MENEZES (AGENDA 43645)</v>
      </c>
      <c r="B143" s="11">
        <v>46235</v>
      </c>
      <c r="C143" s="4">
        <v>817991</v>
      </c>
      <c r="D143" s="1" t="s">
        <v>621</v>
      </c>
      <c r="E143" s="14">
        <v>-1552.8</v>
      </c>
      <c r="F143" s="5" t="s">
        <v>388</v>
      </c>
      <c r="G143" s="2">
        <v>46262</v>
      </c>
      <c r="H143" s="9">
        <v>1170</v>
      </c>
      <c r="I143" s="4"/>
      <c r="J143" s="4" t="s">
        <v>495</v>
      </c>
      <c r="K143" s="7" t="s">
        <v>2888</v>
      </c>
      <c r="L143" s="1" t="s">
        <v>621</v>
      </c>
      <c r="M143" s="9" t="s">
        <v>2</v>
      </c>
      <c r="N143" s="4" t="str">
        <f>VLOOKUP(H143,Clientes!B:D,3,)</f>
        <v>BGC LIQUIDEZ DTVM LTDA</v>
      </c>
    </row>
    <row r="144" spans="1:14" hidden="1" x14ac:dyDescent="0.25">
      <c r="A144" s="4" t="str">
        <f t="shared" si="3"/>
        <v>DESPESA DE REPRESENTAÇÃO - PASSAGEM SÃO PAULO X RIO DE JANEIRO - BROKER - REINALDO ANDRE URBANO FILHO (AGENDA 43645)</v>
      </c>
      <c r="B144" s="11">
        <v>46235</v>
      </c>
      <c r="C144" s="4">
        <v>817991</v>
      </c>
      <c r="D144" s="1" t="s">
        <v>652</v>
      </c>
      <c r="E144" s="14">
        <v>-3205.88</v>
      </c>
      <c r="F144" s="5" t="s">
        <v>388</v>
      </c>
      <c r="G144" s="2">
        <v>46262</v>
      </c>
      <c r="H144" s="9">
        <v>1170</v>
      </c>
      <c r="I144" s="4"/>
      <c r="J144" s="5" t="s">
        <v>756</v>
      </c>
      <c r="K144" s="7" t="s">
        <v>2888</v>
      </c>
      <c r="L144" s="1" t="s">
        <v>652</v>
      </c>
      <c r="M144" s="9" t="s">
        <v>2</v>
      </c>
      <c r="N144" s="4" t="str">
        <f>VLOOKUP(H144,Clientes!B:D,3,)</f>
        <v>BGC LIQUIDEZ DTVM LTDA</v>
      </c>
    </row>
    <row r="145" spans="1:14" hidden="1" x14ac:dyDescent="0.25">
      <c r="A145" s="4" t="str">
        <f t="shared" si="3"/>
        <v>DESPESA DE REPRESENTAÇÃO - 2/2 EVENTO KAITAI NO OIZUMI SUSHI - BROKER - ANDRE FERREIRA DOS SANTOS (AGENDA 43856)</v>
      </c>
      <c r="B145" s="11">
        <v>46235</v>
      </c>
      <c r="C145" s="4">
        <v>817991</v>
      </c>
      <c r="D145" s="1" t="s">
        <v>770</v>
      </c>
      <c r="E145" s="14">
        <v>-6907.5</v>
      </c>
      <c r="F145" s="5" t="s">
        <v>387</v>
      </c>
      <c r="G145" s="2">
        <v>46262</v>
      </c>
      <c r="H145" s="9">
        <v>1170</v>
      </c>
      <c r="I145" s="4"/>
      <c r="J145" s="5" t="s">
        <v>2920</v>
      </c>
      <c r="K145" s="7" t="s">
        <v>2921</v>
      </c>
      <c r="L145" s="1" t="s">
        <v>770</v>
      </c>
      <c r="M145" s="9" t="s">
        <v>2</v>
      </c>
      <c r="N145" s="4" t="str">
        <f>VLOOKUP(H145,Clientes!B:D,3,)</f>
        <v>BGC LIQUIDEZ DTVM LTDA</v>
      </c>
    </row>
    <row r="146" spans="1:14" hidden="1" x14ac:dyDescent="0.25">
      <c r="A146" s="4" t="str">
        <f t="shared" si="3"/>
        <v>DESPESA DE REPRESENTAÇÃO - 2/2 EVENTO KAITAI NO OIZUMI SUSHI - BROKER - CESAR MARIANO SCARAMBONE MENEZES (AGENDA 43856)</v>
      </c>
      <c r="B146" s="11">
        <v>46235</v>
      </c>
      <c r="C146" s="4">
        <v>817991</v>
      </c>
      <c r="D146" s="1" t="s">
        <v>621</v>
      </c>
      <c r="E146" s="14">
        <v>-6907.5</v>
      </c>
      <c r="F146" s="5" t="s">
        <v>387</v>
      </c>
      <c r="G146" s="2">
        <v>46262</v>
      </c>
      <c r="H146" s="9">
        <v>1170</v>
      </c>
      <c r="I146" s="4"/>
      <c r="J146" s="5" t="s">
        <v>2920</v>
      </c>
      <c r="K146" s="7" t="s">
        <v>2921</v>
      </c>
      <c r="L146" s="1" t="s">
        <v>621</v>
      </c>
      <c r="M146" s="9" t="s">
        <v>2</v>
      </c>
      <c r="N146" s="4" t="str">
        <f>VLOOKUP(H146,Clientes!B:D,3,)</f>
        <v>BGC LIQUIDEZ DTVM LTDA</v>
      </c>
    </row>
    <row r="147" spans="1:14" hidden="1" x14ac:dyDescent="0.25">
      <c r="A147" s="4" t="str">
        <f t="shared" si="3"/>
        <v>DESPESA DE REPRESENTAÇÃO - 2/2 EVENTO KAITAI NO OIZUMI SUSHI - BROKER - DANIEL TEIXEIRA SIQUEIRA GONÇALVES (AGENDA 43856)</v>
      </c>
      <c r="B147" s="11">
        <v>46235</v>
      </c>
      <c r="C147" s="4">
        <v>817991</v>
      </c>
      <c r="D147" s="1" t="s">
        <v>516</v>
      </c>
      <c r="E147" s="14">
        <v>-6907.5</v>
      </c>
      <c r="F147" s="5" t="s">
        <v>387</v>
      </c>
      <c r="G147" s="2">
        <v>46262</v>
      </c>
      <c r="H147" s="9">
        <v>1170</v>
      </c>
      <c r="I147" s="4"/>
      <c r="J147" s="5" t="s">
        <v>2920</v>
      </c>
      <c r="K147" s="7" t="s">
        <v>2921</v>
      </c>
      <c r="L147" s="1" t="s">
        <v>516</v>
      </c>
      <c r="M147" s="9" t="s">
        <v>2</v>
      </c>
      <c r="N147" s="4" t="str">
        <f>VLOOKUP(H147,Clientes!B:D,3,)</f>
        <v>BGC LIQUIDEZ DTVM LTDA</v>
      </c>
    </row>
    <row r="148" spans="1:14" hidden="1" x14ac:dyDescent="0.25">
      <c r="A148" s="4" t="str">
        <f t="shared" si="3"/>
        <v>DESPESA DE REPRESENTAÇÃO - 2/2 EVENTO KAITAI NO OIZUMI SUSHI - BROKER - FELIPE MEIRELLES RACCAH (AGENDA 43856)</v>
      </c>
      <c r="B148" s="11">
        <v>46235</v>
      </c>
      <c r="C148" s="4">
        <v>817991</v>
      </c>
      <c r="D148" s="1" t="s">
        <v>632</v>
      </c>
      <c r="E148" s="14">
        <v>-6907.5</v>
      </c>
      <c r="F148" s="5" t="s">
        <v>387</v>
      </c>
      <c r="G148" s="2">
        <v>46262</v>
      </c>
      <c r="H148" s="9">
        <v>1170</v>
      </c>
      <c r="I148" s="4"/>
      <c r="J148" s="5" t="s">
        <v>2920</v>
      </c>
      <c r="K148" s="7" t="s">
        <v>2921</v>
      </c>
      <c r="L148" s="1" t="s">
        <v>632</v>
      </c>
      <c r="M148" s="9" t="s">
        <v>2</v>
      </c>
      <c r="N148" s="4" t="str">
        <f>VLOOKUP(H148,Clientes!B:D,3,)</f>
        <v>BGC LIQUIDEZ DTVM LTDA</v>
      </c>
    </row>
    <row r="149" spans="1:14" hidden="1" x14ac:dyDescent="0.25">
      <c r="A149" s="4" t="str">
        <f t="shared" si="3"/>
        <v>DESPESA DE REPRESENTAÇÃO - APRESENTAÇÃO EVENTO QUANLITATIVAS NO LOUP - CONSULTOR - CARLOS NAPOMUCENO (150819-3998JD)</v>
      </c>
      <c r="B149" s="11">
        <v>46235</v>
      </c>
      <c r="C149" s="4">
        <v>817991</v>
      </c>
      <c r="D149" s="1" t="s">
        <v>428</v>
      </c>
      <c r="E149" s="14">
        <v>-4402.4799999999996</v>
      </c>
      <c r="F149" s="5" t="s">
        <v>387</v>
      </c>
      <c r="G149" s="2">
        <v>46262</v>
      </c>
      <c r="H149" s="9">
        <v>82467</v>
      </c>
      <c r="I149" s="4"/>
      <c r="J149" s="5" t="s">
        <v>2924</v>
      </c>
      <c r="K149" s="7" t="s">
        <v>2923</v>
      </c>
      <c r="L149" s="1" t="s">
        <v>2922</v>
      </c>
      <c r="M149" s="9" t="s">
        <v>655</v>
      </c>
      <c r="N149" s="4" t="str">
        <f>VLOOKUP(H149,Clientes!B:D,3,)</f>
        <v>BRAM - BRADESCO ASSET MANAGEMENT S/A DTVM</v>
      </c>
    </row>
    <row r="150" spans="1:14" hidden="1" x14ac:dyDescent="0.25">
      <c r="A150" s="4" t="str">
        <f t="shared" si="3"/>
        <v>DESPESA DE REPRESENTAÇÃO - HOTEL LAGHETTO VIVERONE  - BROKER - FELIPE MEIRELLES RACCAH (AGENDA 43764)</v>
      </c>
      <c r="B150" s="11">
        <v>46235</v>
      </c>
      <c r="C150" s="4">
        <v>817991</v>
      </c>
      <c r="D150" s="1" t="s">
        <v>632</v>
      </c>
      <c r="E150" s="14">
        <v>-508.13</v>
      </c>
      <c r="F150" s="5" t="s">
        <v>422</v>
      </c>
      <c r="G150" s="2">
        <v>46265</v>
      </c>
      <c r="H150" s="9">
        <v>1170</v>
      </c>
      <c r="I150" s="4"/>
      <c r="J150" s="4" t="s">
        <v>2896</v>
      </c>
      <c r="K150" s="7" t="s">
        <v>2897</v>
      </c>
      <c r="L150" s="1" t="s">
        <v>632</v>
      </c>
      <c r="M150" s="9" t="s">
        <v>2</v>
      </c>
      <c r="N150" s="4" t="str">
        <f>VLOOKUP(H150,Clientes!B:D,3,)</f>
        <v>BGC LIQUIDEZ DTVM LTDA</v>
      </c>
    </row>
    <row r="151" spans="1:14" hidden="1" x14ac:dyDescent="0.25">
      <c r="A151" s="4" t="str">
        <f t="shared" si="3"/>
        <v>DESPESA DE REPRESENTAÇÃO - HOTEL LAGHETTO VIVERONE  - BROKER - REINALDO ANDRE URBANO FILHO (AGENDA 43764)</v>
      </c>
      <c r="B151" s="11">
        <v>46235</v>
      </c>
      <c r="C151" s="4">
        <v>817991</v>
      </c>
      <c r="D151" s="1" t="s">
        <v>652</v>
      </c>
      <c r="E151" s="14">
        <v>-457.5</v>
      </c>
      <c r="F151" s="5" t="s">
        <v>422</v>
      </c>
      <c r="G151" s="2">
        <v>46265</v>
      </c>
      <c r="H151" s="9">
        <v>1170</v>
      </c>
      <c r="I151" s="4"/>
      <c r="J151" s="4" t="s">
        <v>2896</v>
      </c>
      <c r="K151" s="7" t="s">
        <v>2897</v>
      </c>
      <c r="L151" s="1" t="s">
        <v>652</v>
      </c>
      <c r="M151" s="9" t="s">
        <v>2</v>
      </c>
      <c r="N151" s="4" t="str">
        <f>VLOOKUP(H151,Clientes!B:D,3,)</f>
        <v>BGC LIQUIDEZ DTVM LTDA</v>
      </c>
    </row>
    <row r="152" spans="1:14" hidden="1" x14ac:dyDescent="0.25">
      <c r="A152" s="4" t="str">
        <f t="shared" si="3"/>
        <v>DESPESA DE REPRESENTAÇÃO - UBER - SALES - MELISSA LEITE FIGUEIREDO ROCHA (EMAIL )</v>
      </c>
      <c r="B152" s="11">
        <v>46235</v>
      </c>
      <c r="C152" s="4">
        <v>817991</v>
      </c>
      <c r="D152" s="1" t="s">
        <v>428</v>
      </c>
      <c r="E152" s="14">
        <v>-166.9</v>
      </c>
      <c r="F152" s="5" t="s">
        <v>388</v>
      </c>
      <c r="G152" s="2">
        <v>46259</v>
      </c>
      <c r="H152" s="9">
        <v>1170</v>
      </c>
      <c r="I152" s="4"/>
      <c r="J152" s="5" t="s">
        <v>659</v>
      </c>
      <c r="K152" s="7" t="s">
        <v>2935</v>
      </c>
      <c r="L152" s="1" t="s">
        <v>663</v>
      </c>
      <c r="M152" s="9" t="s">
        <v>468</v>
      </c>
      <c r="N152" s="4" t="str">
        <f>VLOOKUP(H152,Clientes!B:D,3,)</f>
        <v>BGC LIQUIDEZ DTVM LTDA</v>
      </c>
    </row>
    <row r="153" spans="1:14" hidden="1" x14ac:dyDescent="0.25">
      <c r="A153" s="4" t="str">
        <f t="shared" si="3"/>
        <v>DESPESA DE REPRESENTAÇÃO - UBER - SALES - MARCELLE DA SILVEIRA GIL CADILHE (EMAIL )</v>
      </c>
      <c r="B153" s="11">
        <v>46235</v>
      </c>
      <c r="C153" s="4">
        <v>817991</v>
      </c>
      <c r="D153" s="1" t="s">
        <v>428</v>
      </c>
      <c r="E153" s="14">
        <v>-451.84</v>
      </c>
      <c r="F153" s="5" t="s">
        <v>388</v>
      </c>
      <c r="G153" s="2">
        <v>46241</v>
      </c>
      <c r="H153" s="9">
        <v>1170</v>
      </c>
      <c r="I153" s="4"/>
      <c r="J153" s="5" t="s">
        <v>659</v>
      </c>
      <c r="K153" s="7" t="s">
        <v>2935</v>
      </c>
      <c r="L153" s="1" t="s">
        <v>658</v>
      </c>
      <c r="M153" s="9" t="s">
        <v>468</v>
      </c>
      <c r="N153" s="4" t="str">
        <f>VLOOKUP(H153,Clientes!B:D,3,)</f>
        <v>BGC LIQUIDEZ DTVM LTDA</v>
      </c>
    </row>
    <row r="154" spans="1:14" hidden="1" x14ac:dyDescent="0.25">
      <c r="A154" s="4" t="str">
        <f t="shared" si="3"/>
        <v>DESPESA DE REPRESENTAÇÃO - UBER - BROKER - JUAREZ JOAQUIM DE LACERDA (EMAIL )</v>
      </c>
      <c r="B154" s="11">
        <v>46235</v>
      </c>
      <c r="C154" s="4">
        <v>817991</v>
      </c>
      <c r="D154" s="1" t="s">
        <v>614</v>
      </c>
      <c r="E154" s="14">
        <v>-119.79</v>
      </c>
      <c r="F154" s="5" t="s">
        <v>388</v>
      </c>
      <c r="G154" s="2">
        <v>46260</v>
      </c>
      <c r="H154" s="9">
        <v>1170</v>
      </c>
      <c r="I154" s="4"/>
      <c r="J154" s="5" t="s">
        <v>659</v>
      </c>
      <c r="K154" s="7" t="s">
        <v>2935</v>
      </c>
      <c r="L154" s="1" t="s">
        <v>614</v>
      </c>
      <c r="M154" s="9" t="s">
        <v>2</v>
      </c>
      <c r="N154" s="4" t="str">
        <f>VLOOKUP(H154,Clientes!B:D,3,)</f>
        <v>BGC LIQUIDEZ DTVM LTDA</v>
      </c>
    </row>
    <row r="155" spans="1:14" hidden="1" x14ac:dyDescent="0.25">
      <c r="A155" s="4" t="str">
        <f t="shared" si="3"/>
        <v>DESPESA DE REPRESENTAÇÃO - FRETE DOCUMENTAÇÃO - BROKER - ANDREA LICASSIA ALMEIDA SANTOS (EMAIL 03/09/2026)</v>
      </c>
      <c r="B155" s="11">
        <v>46235</v>
      </c>
      <c r="C155" s="4">
        <v>817991</v>
      </c>
      <c r="D155" s="1" t="s">
        <v>39</v>
      </c>
      <c r="E155" s="14">
        <v>-30.02</v>
      </c>
      <c r="F155" s="5" t="s">
        <v>389</v>
      </c>
      <c r="G155" s="2">
        <v>46259</v>
      </c>
      <c r="H155" s="9">
        <v>1170</v>
      </c>
      <c r="I155" s="4"/>
      <c r="J155" s="4" t="s">
        <v>660</v>
      </c>
      <c r="K155" s="7" t="s">
        <v>2936</v>
      </c>
      <c r="L155" s="1" t="s">
        <v>39</v>
      </c>
      <c r="M155" s="9" t="s">
        <v>2</v>
      </c>
      <c r="N155" s="4" t="str">
        <f>VLOOKUP(H155,Clientes!B:D,3,)</f>
        <v>BGC LIQUIDEZ DTVM LTDA</v>
      </c>
    </row>
    <row r="156" spans="1:14" hidden="1" x14ac:dyDescent="0.25">
      <c r="A156" s="4" t="str">
        <f t="shared" si="3"/>
        <v>DESPESA DE REPRESENTAÇÃO - FRETE DOCUMENTAÇÃO - BROKER - BRUNO FERREIRA GOMES (EMAIL 03/09/2026)</v>
      </c>
      <c r="B156" s="11">
        <v>46235</v>
      </c>
      <c r="C156" s="4">
        <v>817991</v>
      </c>
      <c r="D156" s="1" t="s">
        <v>23</v>
      </c>
      <c r="E156" s="14">
        <v>-18.8</v>
      </c>
      <c r="F156" s="5" t="s">
        <v>389</v>
      </c>
      <c r="G156" s="2">
        <v>46259</v>
      </c>
      <c r="H156" s="9">
        <v>1170</v>
      </c>
      <c r="I156" s="4"/>
      <c r="J156" s="4" t="s">
        <v>660</v>
      </c>
      <c r="K156" s="7" t="s">
        <v>2936</v>
      </c>
      <c r="L156" s="1" t="s">
        <v>664</v>
      </c>
      <c r="M156" s="9" t="s">
        <v>2</v>
      </c>
      <c r="N156" s="4" t="str">
        <f>VLOOKUP(H156,Clientes!B:D,3,)</f>
        <v>BGC LIQUIDEZ DTVM LTDA</v>
      </c>
    </row>
    <row r="157" spans="1:14" hidden="1" x14ac:dyDescent="0.25">
      <c r="A157" s="4" t="str">
        <f t="shared" si="3"/>
        <v>DESPESA DE REPRESENTAÇÃO - TRANSPORTE DE NOTEBOOK - BROKER - PAOLO FRANCA LIDA (AGENDA 43536)</v>
      </c>
      <c r="B157" s="11">
        <v>46235</v>
      </c>
      <c r="C157" s="4">
        <v>817991</v>
      </c>
      <c r="D157" s="1" t="s">
        <v>772</v>
      </c>
      <c r="E157" s="14">
        <v>-30</v>
      </c>
      <c r="F157" s="5" t="s">
        <v>389</v>
      </c>
      <c r="G157" s="2">
        <v>46244</v>
      </c>
      <c r="H157" s="9">
        <v>1170</v>
      </c>
      <c r="I157" s="4"/>
      <c r="J157" s="5" t="s">
        <v>2937</v>
      </c>
      <c r="K157" s="7" t="s">
        <v>2938</v>
      </c>
      <c r="L157" s="1" t="s">
        <v>772</v>
      </c>
      <c r="M157" s="9" t="s">
        <v>2</v>
      </c>
      <c r="N157" s="4" t="str">
        <f>VLOOKUP(H157,Clientes!B:D,3,)</f>
        <v>BGC LIQUIDEZ DTVM LTDA</v>
      </c>
    </row>
    <row r="158" spans="1:14" hidden="1" x14ac:dyDescent="0.25">
      <c r="A158" s="4" t="str">
        <f t="shared" si="3"/>
        <v>DESPESA DE REPRESENTAÇÃO - SERVIÇO DE ENTREGA E RETIRADA - BROKER - JUAREZ JOAQUIM DE LACERDA (AGENDA 43781)</v>
      </c>
      <c r="B158" s="11">
        <v>46235</v>
      </c>
      <c r="C158" s="4">
        <v>817991</v>
      </c>
      <c r="D158" s="1" t="s">
        <v>614</v>
      </c>
      <c r="E158" s="14">
        <v>-40</v>
      </c>
      <c r="F158" s="5" t="s">
        <v>389</v>
      </c>
      <c r="G158" s="2">
        <v>46259</v>
      </c>
      <c r="H158" s="9">
        <v>1170</v>
      </c>
      <c r="I158" s="4"/>
      <c r="J158" s="5" t="s">
        <v>2939</v>
      </c>
      <c r="K158" s="7" t="s">
        <v>2940</v>
      </c>
      <c r="L158" s="1" t="s">
        <v>614</v>
      </c>
      <c r="M158" s="9" t="s">
        <v>2</v>
      </c>
      <c r="N158" s="4" t="str">
        <f>VLOOKUP(H158,Clientes!B:D,3,)</f>
        <v>BGC LIQUIDEZ DTVM LTDA</v>
      </c>
    </row>
    <row r="159" spans="1:14" hidden="1" x14ac:dyDescent="0.25">
      <c r="A159" s="4"/>
      <c r="B159" s="11"/>
      <c r="C159" s="4"/>
      <c r="D159" s="1"/>
      <c r="E159" s="14"/>
      <c r="F159" s="5"/>
      <c r="G159" s="2"/>
      <c r="H159" s="9"/>
      <c r="I159" s="4"/>
      <c r="J159" s="4"/>
      <c r="K159" s="7"/>
      <c r="L159" s="1"/>
      <c r="M159" s="9"/>
      <c r="N159" s="4"/>
    </row>
    <row r="160" spans="1:14" hidden="1" x14ac:dyDescent="0.25">
      <c r="A160" s="4"/>
      <c r="B160" s="11"/>
      <c r="C160" s="4"/>
      <c r="D160" s="1"/>
      <c r="E160" s="14"/>
      <c r="F160" s="5"/>
      <c r="G160" s="2"/>
      <c r="H160" s="9"/>
      <c r="I160" s="4"/>
      <c r="J160" s="5"/>
      <c r="K160" s="7"/>
      <c r="L160" s="1"/>
      <c r="M160" s="9"/>
      <c r="N160" s="4"/>
    </row>
    <row r="161" spans="1:14" hidden="1" x14ac:dyDescent="0.25">
      <c r="A161" s="4"/>
      <c r="B161" s="11"/>
      <c r="C161" s="4"/>
      <c r="D161" s="1"/>
      <c r="E161" s="14"/>
      <c r="F161" s="5"/>
      <c r="G161" s="2"/>
      <c r="H161" s="9"/>
      <c r="I161" s="4"/>
      <c r="J161" s="4"/>
      <c r="K161" s="7"/>
      <c r="L161" s="1"/>
      <c r="M161" s="9"/>
      <c r="N161" s="4"/>
    </row>
    <row r="162" spans="1:14" hidden="1" x14ac:dyDescent="0.25">
      <c r="A162" s="4"/>
      <c r="B162" s="11"/>
      <c r="C162" s="4"/>
      <c r="D162" s="1"/>
      <c r="E162" s="14"/>
      <c r="F162" s="5"/>
      <c r="G162" s="2"/>
      <c r="H162" s="9"/>
      <c r="I162" s="4"/>
      <c r="J162" s="5"/>
      <c r="K162" s="7"/>
      <c r="L162" s="1"/>
      <c r="M162" s="9"/>
      <c r="N162" s="4"/>
    </row>
    <row r="163" spans="1:14" hidden="1" x14ac:dyDescent="0.25">
      <c r="A163" s="4"/>
      <c r="B163" s="11"/>
      <c r="C163" s="4"/>
      <c r="D163" s="1"/>
      <c r="E163" s="14"/>
      <c r="F163" s="5"/>
      <c r="G163" s="2"/>
      <c r="H163" s="9"/>
      <c r="I163" s="4"/>
      <c r="J163" s="5"/>
      <c r="K163" s="7"/>
      <c r="L163" s="1"/>
      <c r="M163" s="9"/>
      <c r="N163" s="4"/>
    </row>
    <row r="164" spans="1:14" hidden="1" x14ac:dyDescent="0.25">
      <c r="A164" s="4"/>
      <c r="B164" s="11"/>
      <c r="C164" s="4"/>
      <c r="D164" s="1"/>
      <c r="E164" s="14"/>
      <c r="F164" s="5"/>
      <c r="G164" s="2"/>
      <c r="H164" s="9"/>
      <c r="I164" s="4"/>
      <c r="J164" s="5"/>
      <c r="K164" s="7"/>
      <c r="L164" s="1"/>
      <c r="M164" s="9"/>
      <c r="N164" s="4"/>
    </row>
    <row r="165" spans="1:14" hidden="1" x14ac:dyDescent="0.25">
      <c r="A165" s="4"/>
      <c r="B165" s="11"/>
      <c r="C165" s="4"/>
      <c r="D165" s="1"/>
      <c r="E165" s="14"/>
      <c r="F165" s="5"/>
      <c r="G165" s="2"/>
      <c r="H165" s="9"/>
      <c r="I165" s="4"/>
      <c r="J165" s="4"/>
      <c r="K165" s="7"/>
      <c r="L165" s="1"/>
      <c r="M165" s="9"/>
      <c r="N165" s="4"/>
    </row>
    <row r="166" spans="1:14" hidden="1" x14ac:dyDescent="0.25">
      <c r="A166" s="4"/>
      <c r="B166" s="11"/>
      <c r="C166" s="4"/>
      <c r="D166" s="1"/>
      <c r="E166" s="14"/>
      <c r="F166" s="5"/>
      <c r="G166" s="2"/>
      <c r="H166" s="9"/>
      <c r="I166" s="4"/>
      <c r="J166" s="4"/>
      <c r="K166" s="7"/>
      <c r="L166" s="1"/>
      <c r="M166" s="9"/>
      <c r="N166" s="4"/>
    </row>
    <row r="167" spans="1:14" hidden="1" x14ac:dyDescent="0.25">
      <c r="A167" s="4"/>
      <c r="B167" s="11"/>
      <c r="C167" s="4"/>
      <c r="D167" s="1"/>
      <c r="E167" s="14"/>
      <c r="F167" s="5"/>
      <c r="G167" s="2"/>
      <c r="H167" s="9"/>
      <c r="I167" s="4"/>
      <c r="J167" s="4"/>
      <c r="K167" s="7"/>
      <c r="L167" s="1"/>
      <c r="M167" s="9"/>
      <c r="N167" s="4"/>
    </row>
    <row r="168" spans="1:14" hidden="1" x14ac:dyDescent="0.25">
      <c r="A168" s="4"/>
      <c r="B168" s="11"/>
      <c r="C168" s="4"/>
      <c r="D168" s="1"/>
      <c r="E168" s="14"/>
      <c r="F168" s="5"/>
      <c r="G168" s="2"/>
      <c r="H168" s="9"/>
      <c r="I168" s="4"/>
      <c r="J168" s="4"/>
      <c r="K168" s="7"/>
      <c r="L168" s="1"/>
      <c r="M168" s="9"/>
      <c r="N168" s="4"/>
    </row>
    <row r="169" spans="1:14" hidden="1" x14ac:dyDescent="0.25">
      <c r="A169" s="4"/>
      <c r="B169" s="11"/>
      <c r="C169" s="4"/>
      <c r="D169" s="1"/>
      <c r="E169" s="14"/>
      <c r="F169" s="5"/>
      <c r="G169" s="2"/>
      <c r="H169" s="9"/>
      <c r="I169" s="4"/>
      <c r="J169" s="4"/>
      <c r="K169" s="7"/>
      <c r="L169" s="1"/>
      <c r="M169" s="9"/>
      <c r="N169" s="4"/>
    </row>
    <row r="170" spans="1:14" hidden="1" x14ac:dyDescent="0.25">
      <c r="A170" s="4"/>
      <c r="B170" s="11"/>
      <c r="C170" s="4"/>
      <c r="D170" s="1"/>
      <c r="E170" s="14"/>
      <c r="F170" s="5"/>
      <c r="G170" s="2"/>
      <c r="H170" s="9"/>
      <c r="I170" s="4"/>
      <c r="J170" s="4"/>
      <c r="K170" s="7"/>
      <c r="L170" s="1"/>
      <c r="M170" s="9"/>
      <c r="N170" s="4"/>
    </row>
    <row r="171" spans="1:14" hidden="1" x14ac:dyDescent="0.25">
      <c r="A171" s="4"/>
      <c r="B171" s="11"/>
      <c r="C171" s="4"/>
      <c r="D171" s="1"/>
      <c r="E171" s="14"/>
      <c r="F171" s="5"/>
      <c r="G171" s="2"/>
      <c r="H171" s="9"/>
      <c r="I171" s="4"/>
      <c r="J171" s="4"/>
      <c r="K171" s="7"/>
      <c r="L171" s="1"/>
      <c r="M171" s="9"/>
      <c r="N171" s="4"/>
    </row>
    <row r="172" spans="1:14" hidden="1" x14ac:dyDescent="0.25">
      <c r="A172" s="4"/>
      <c r="B172" s="11"/>
      <c r="C172" s="4"/>
      <c r="D172" s="1"/>
      <c r="E172" s="14"/>
      <c r="F172" s="5"/>
      <c r="G172" s="2"/>
      <c r="H172" s="9"/>
      <c r="I172" s="4"/>
      <c r="J172" s="4"/>
      <c r="K172" s="7"/>
      <c r="L172" s="1"/>
      <c r="M172" s="9"/>
      <c r="N172" s="4"/>
    </row>
    <row r="173" spans="1:14" hidden="1" x14ac:dyDescent="0.25">
      <c r="A173" s="4"/>
      <c r="B173" s="11"/>
      <c r="C173" s="4"/>
      <c r="D173" s="1"/>
      <c r="E173" s="14"/>
      <c r="F173" s="5"/>
      <c r="G173" s="2"/>
      <c r="H173" s="9"/>
      <c r="I173" s="4"/>
      <c r="J173" s="4"/>
      <c r="K173" s="7"/>
      <c r="L173" s="1"/>
      <c r="M173" s="9"/>
      <c r="N173" s="4"/>
    </row>
    <row r="174" spans="1:14" hidden="1" x14ac:dyDescent="0.25">
      <c r="A174" s="4"/>
      <c r="B174" s="11"/>
      <c r="C174" s="4"/>
      <c r="D174" s="1"/>
      <c r="E174" s="14"/>
      <c r="F174" s="5"/>
      <c r="G174" s="2"/>
      <c r="H174" s="9"/>
      <c r="I174" s="4"/>
      <c r="J174" s="4"/>
      <c r="K174" s="7"/>
      <c r="L174" s="1"/>
      <c r="M174" s="9"/>
      <c r="N174" s="4"/>
    </row>
    <row r="175" spans="1:14" hidden="1" x14ac:dyDescent="0.25">
      <c r="A175" s="4"/>
      <c r="B175" s="11"/>
      <c r="C175" s="4"/>
      <c r="D175" s="1"/>
      <c r="E175" s="14"/>
      <c r="F175" s="5"/>
      <c r="G175" s="2"/>
      <c r="H175" s="9"/>
      <c r="I175" s="4"/>
      <c r="J175" s="4"/>
      <c r="K175" s="7"/>
      <c r="L175" s="1"/>
      <c r="M175" s="9"/>
      <c r="N175" s="4"/>
    </row>
    <row r="176" spans="1:14" hidden="1" x14ac:dyDescent="0.25">
      <c r="A176" s="4"/>
      <c r="B176" s="11"/>
      <c r="C176" s="4"/>
      <c r="D176" s="1"/>
      <c r="E176" s="14"/>
      <c r="F176" s="5"/>
      <c r="G176" s="2"/>
      <c r="H176" s="9"/>
      <c r="I176" s="4"/>
      <c r="J176" s="4"/>
      <c r="K176" s="7"/>
      <c r="L176" s="1"/>
      <c r="M176" s="9"/>
      <c r="N176" s="4"/>
    </row>
    <row r="177" spans="1:14" hidden="1" x14ac:dyDescent="0.25">
      <c r="A177" s="4"/>
      <c r="B177" s="11"/>
      <c r="C177" s="4"/>
      <c r="D177" s="1"/>
      <c r="E177" s="14"/>
      <c r="F177" s="5"/>
      <c r="G177" s="2"/>
      <c r="H177" s="9"/>
      <c r="I177" s="4"/>
      <c r="J177" s="4"/>
      <c r="K177" s="7"/>
      <c r="L177" s="1"/>
      <c r="M177" s="9"/>
      <c r="N177" s="4"/>
    </row>
    <row r="178" spans="1:14" hidden="1" x14ac:dyDescent="0.25">
      <c r="A178" s="4"/>
      <c r="B178" s="11"/>
      <c r="C178" s="4"/>
      <c r="D178" s="1"/>
      <c r="E178" s="14"/>
      <c r="F178" s="5"/>
      <c r="G178" s="2"/>
      <c r="H178" s="9"/>
      <c r="I178" s="4"/>
      <c r="J178" s="4"/>
      <c r="K178" s="7"/>
      <c r="L178" s="1"/>
      <c r="M178" s="9"/>
      <c r="N178" s="4"/>
    </row>
    <row r="179" spans="1:14" hidden="1" x14ac:dyDescent="0.25">
      <c r="A179" s="4"/>
      <c r="B179" s="11"/>
      <c r="C179" s="4"/>
      <c r="D179" s="1"/>
      <c r="E179" s="14"/>
      <c r="F179" s="5"/>
      <c r="G179" s="2"/>
      <c r="H179" s="9"/>
      <c r="I179" s="4"/>
      <c r="J179" s="4"/>
      <c r="K179" s="7"/>
      <c r="L179" s="1"/>
      <c r="M179" s="9"/>
      <c r="N179" s="4"/>
    </row>
    <row r="180" spans="1:14" hidden="1" x14ac:dyDescent="0.25">
      <c r="A180" s="4"/>
      <c r="B180" s="11"/>
      <c r="C180" s="4"/>
      <c r="D180" s="1"/>
      <c r="E180" s="14"/>
      <c r="F180" s="5"/>
      <c r="G180" s="2"/>
      <c r="H180" s="9"/>
      <c r="I180" s="4"/>
      <c r="J180" s="4"/>
      <c r="K180" s="7"/>
      <c r="L180" s="1"/>
      <c r="M180" s="9"/>
      <c r="N180" s="4"/>
    </row>
    <row r="181" spans="1:14" hidden="1" x14ac:dyDescent="0.25">
      <c r="A181" s="4"/>
      <c r="B181" s="11"/>
      <c r="C181" s="4"/>
      <c r="D181" s="1"/>
      <c r="E181" s="14"/>
      <c r="F181" s="5"/>
      <c r="G181" s="2"/>
      <c r="H181" s="9"/>
      <c r="I181" s="4"/>
      <c r="J181" s="4"/>
      <c r="K181" s="7"/>
      <c r="L181" s="1"/>
      <c r="M181" s="9"/>
      <c r="N181" s="4"/>
    </row>
    <row r="182" spans="1:14" hidden="1" x14ac:dyDescent="0.25">
      <c r="A182" s="4"/>
      <c r="B182" s="11"/>
      <c r="C182" s="4"/>
      <c r="D182" s="1"/>
      <c r="E182" s="14"/>
      <c r="F182" s="5"/>
      <c r="G182" s="2"/>
      <c r="H182" s="9"/>
      <c r="I182" s="4"/>
      <c r="J182" s="4"/>
      <c r="K182" s="7"/>
      <c r="L182" s="1"/>
      <c r="M182" s="9"/>
      <c r="N182" s="4"/>
    </row>
    <row r="183" spans="1:14" hidden="1" x14ac:dyDescent="0.25">
      <c r="A183" s="4"/>
      <c r="B183" s="11"/>
      <c r="C183" s="4"/>
      <c r="D183" s="1"/>
      <c r="E183" s="14"/>
      <c r="F183" s="5"/>
      <c r="G183" s="2"/>
      <c r="H183" s="9"/>
      <c r="I183" s="4"/>
      <c r="J183" s="4"/>
      <c r="K183" s="7"/>
      <c r="L183" s="1"/>
      <c r="M183" s="9"/>
      <c r="N183" s="4"/>
    </row>
    <row r="184" spans="1:14" hidden="1" x14ac:dyDescent="0.25">
      <c r="A184" s="4"/>
      <c r="B184" s="11"/>
      <c r="C184" s="4"/>
      <c r="D184" s="1"/>
      <c r="E184" s="14"/>
      <c r="F184" s="5"/>
      <c r="G184" s="2"/>
      <c r="H184" s="9"/>
      <c r="I184" s="4"/>
      <c r="J184" s="4"/>
      <c r="K184" s="7"/>
      <c r="L184" s="1"/>
      <c r="M184" s="9"/>
      <c r="N184" s="4"/>
    </row>
    <row r="185" spans="1:14" hidden="1" x14ac:dyDescent="0.25">
      <c r="A185" s="4"/>
      <c r="B185" s="11"/>
      <c r="C185" s="4"/>
      <c r="D185" s="1"/>
      <c r="E185" s="14"/>
      <c r="F185" s="5"/>
      <c r="G185" s="2"/>
      <c r="H185" s="9"/>
      <c r="I185" s="4"/>
      <c r="J185" s="4"/>
      <c r="K185" s="7"/>
      <c r="L185" s="1"/>
      <c r="M185" s="9"/>
      <c r="N185" s="4"/>
    </row>
    <row r="186" spans="1:14" hidden="1" x14ac:dyDescent="0.25">
      <c r="A186" s="4"/>
      <c r="B186" s="11"/>
      <c r="C186" s="4"/>
      <c r="D186" s="1"/>
      <c r="E186" s="14"/>
      <c r="F186" s="5"/>
      <c r="G186" s="2"/>
      <c r="H186" s="9"/>
      <c r="I186" s="4"/>
      <c r="J186" s="4"/>
      <c r="K186" s="7"/>
      <c r="L186" s="1"/>
      <c r="M186" s="9"/>
      <c r="N186" s="4"/>
    </row>
    <row r="187" spans="1:14" hidden="1" x14ac:dyDescent="0.25">
      <c r="A187" s="4"/>
      <c r="B187" s="11"/>
      <c r="C187" s="4"/>
      <c r="D187" s="1"/>
      <c r="E187" s="14"/>
      <c r="F187" s="5"/>
      <c r="G187" s="2"/>
      <c r="H187" s="9"/>
      <c r="I187" s="4"/>
      <c r="J187" s="4"/>
      <c r="K187" s="7"/>
      <c r="L187" s="1"/>
      <c r="M187" s="9"/>
      <c r="N187" s="4"/>
    </row>
    <row r="188" spans="1:14" hidden="1" x14ac:dyDescent="0.25">
      <c r="A188" s="4"/>
      <c r="B188" s="11"/>
      <c r="C188" s="4"/>
      <c r="D188" s="1"/>
      <c r="E188" s="14"/>
      <c r="F188" s="5"/>
      <c r="G188" s="2"/>
      <c r="H188" s="9"/>
      <c r="I188" s="4"/>
      <c r="J188" s="4"/>
      <c r="K188" s="7"/>
      <c r="L188" s="1"/>
      <c r="M188" s="9"/>
      <c r="N188" s="4"/>
    </row>
    <row r="189" spans="1:14" hidden="1" x14ac:dyDescent="0.25">
      <c r="A189" s="4"/>
      <c r="B189" s="11"/>
      <c r="C189" s="4"/>
      <c r="D189" s="1"/>
      <c r="E189" s="14"/>
      <c r="F189" s="5"/>
      <c r="G189" s="2"/>
      <c r="H189" s="9"/>
      <c r="I189" s="4"/>
      <c r="J189" s="4"/>
      <c r="K189" s="7"/>
      <c r="L189" s="1"/>
      <c r="M189" s="9"/>
      <c r="N189" s="4"/>
    </row>
    <row r="190" spans="1:14" hidden="1" x14ac:dyDescent="0.25">
      <c r="A190" s="4"/>
      <c r="B190" s="11"/>
      <c r="C190" s="4"/>
      <c r="D190" s="1"/>
      <c r="E190" s="14"/>
      <c r="F190" s="5"/>
      <c r="G190" s="2"/>
      <c r="H190" s="9"/>
      <c r="I190" s="4"/>
      <c r="J190" s="4"/>
      <c r="K190" s="7"/>
      <c r="L190" s="1"/>
      <c r="M190" s="9"/>
      <c r="N190" s="4"/>
    </row>
    <row r="191" spans="1:14" hidden="1" x14ac:dyDescent="0.25">
      <c r="A191" s="4"/>
      <c r="B191" s="11"/>
      <c r="C191" s="4"/>
      <c r="D191" s="1"/>
      <c r="E191" s="14"/>
      <c r="F191" s="5"/>
      <c r="G191" s="2"/>
      <c r="H191" s="9"/>
      <c r="I191" s="4"/>
      <c r="J191" s="5"/>
      <c r="K191" s="7"/>
      <c r="L191" s="1"/>
      <c r="M191" s="9"/>
      <c r="N191" s="4"/>
    </row>
    <row r="192" spans="1:14" hidden="1" x14ac:dyDescent="0.25">
      <c r="A192" s="4"/>
      <c r="B192" s="11"/>
      <c r="C192" s="4"/>
      <c r="D192" s="1"/>
      <c r="E192" s="14"/>
      <c r="F192" s="5"/>
      <c r="G192" s="2"/>
      <c r="H192" s="9"/>
      <c r="I192" s="4"/>
      <c r="J192" s="5"/>
      <c r="K192" s="7"/>
      <c r="L192" s="1"/>
      <c r="M192" s="9"/>
      <c r="N192" s="4"/>
    </row>
    <row r="193" spans="1:14" hidden="1" x14ac:dyDescent="0.25">
      <c r="A193" s="4"/>
      <c r="B193" s="11"/>
      <c r="C193" s="4"/>
      <c r="D193" s="1"/>
      <c r="E193" s="14"/>
      <c r="F193" s="5"/>
      <c r="G193" s="2"/>
      <c r="H193" s="9"/>
      <c r="I193" s="4"/>
      <c r="J193" s="5"/>
      <c r="K193" s="7"/>
      <c r="L193" s="1"/>
      <c r="M193" s="9"/>
      <c r="N193" s="4"/>
    </row>
    <row r="194" spans="1:14" hidden="1" x14ac:dyDescent="0.25">
      <c r="A194" s="4"/>
      <c r="B194" s="11"/>
      <c r="C194" s="4"/>
      <c r="D194" s="1"/>
      <c r="E194" s="14"/>
      <c r="F194" s="5"/>
      <c r="G194" s="2"/>
      <c r="H194" s="9"/>
      <c r="I194" s="4"/>
      <c r="J194" s="5"/>
      <c r="K194" s="7"/>
      <c r="L194" s="1"/>
      <c r="M194" s="9"/>
      <c r="N194" s="4"/>
    </row>
    <row r="195" spans="1:14" hidden="1" x14ac:dyDescent="0.25">
      <c r="A195" s="4"/>
      <c r="B195" s="11"/>
      <c r="C195" s="4"/>
      <c r="D195" s="1"/>
      <c r="E195" s="14"/>
      <c r="F195" s="5"/>
      <c r="G195" s="2"/>
      <c r="H195" s="9"/>
      <c r="I195" s="4"/>
      <c r="J195" s="5"/>
      <c r="K195" s="7"/>
      <c r="L195" s="1"/>
      <c r="M195" s="9"/>
      <c r="N195" s="4"/>
    </row>
    <row r="196" spans="1:14" hidden="1" x14ac:dyDescent="0.25">
      <c r="A196" s="4"/>
      <c r="B196" s="11"/>
      <c r="C196" s="4"/>
      <c r="D196" s="1"/>
      <c r="E196" s="14"/>
      <c r="F196" s="5"/>
      <c r="G196" s="2"/>
      <c r="H196" s="9"/>
      <c r="I196" s="4"/>
      <c r="J196" s="5"/>
      <c r="K196" s="7"/>
      <c r="L196" s="1"/>
      <c r="M196" s="9"/>
      <c r="N196" s="4"/>
    </row>
    <row r="197" spans="1:14" hidden="1" x14ac:dyDescent="0.25">
      <c r="A197" s="4"/>
      <c r="B197" s="11"/>
      <c r="C197" s="4"/>
      <c r="D197" s="1"/>
      <c r="E197" s="14"/>
      <c r="F197" s="5"/>
      <c r="G197" s="2"/>
      <c r="H197" s="9"/>
      <c r="I197" s="4"/>
      <c r="J197" s="5"/>
      <c r="K197" s="7"/>
      <c r="L197" s="1"/>
      <c r="M197" s="9"/>
      <c r="N197" s="4"/>
    </row>
    <row r="198" spans="1:14" hidden="1" x14ac:dyDescent="0.25">
      <c r="A198" s="4"/>
      <c r="B198" s="11"/>
      <c r="C198" s="4"/>
      <c r="D198" s="1"/>
      <c r="E198" s="14"/>
      <c r="F198" s="5"/>
      <c r="G198" s="2"/>
      <c r="H198" s="9"/>
      <c r="I198" s="4"/>
      <c r="J198" s="5"/>
      <c r="K198" s="7"/>
      <c r="L198" s="1"/>
      <c r="M198" s="9"/>
      <c r="N198" s="4"/>
    </row>
    <row r="199" spans="1:14" hidden="1" x14ac:dyDescent="0.25">
      <c r="A199" s="4"/>
      <c r="B199" s="11"/>
      <c r="C199" s="4"/>
      <c r="D199" s="1"/>
      <c r="E199" s="14"/>
      <c r="F199" s="5"/>
      <c r="G199" s="2"/>
      <c r="H199" s="9"/>
      <c r="I199" s="4"/>
      <c r="J199" s="5"/>
      <c r="K199" s="7"/>
      <c r="L199" s="1"/>
      <c r="M199" s="9"/>
      <c r="N199" s="4"/>
    </row>
    <row r="200" spans="1:14" hidden="1" x14ac:dyDescent="0.25">
      <c r="A200" s="4"/>
      <c r="B200" s="11"/>
      <c r="C200" s="4"/>
      <c r="D200" s="1"/>
      <c r="E200" s="14"/>
      <c r="F200" s="36"/>
      <c r="G200" s="2"/>
      <c r="H200" s="9"/>
      <c r="I200" s="4"/>
      <c r="J200" s="4"/>
      <c r="K200" s="7"/>
      <c r="L200" s="1"/>
      <c r="M200" s="9"/>
      <c r="N200" s="4"/>
    </row>
    <row r="201" spans="1:14" hidden="1" x14ac:dyDescent="0.25">
      <c r="A201" s="4"/>
      <c r="B201" s="11"/>
      <c r="C201" s="4"/>
      <c r="D201" s="1"/>
      <c r="E201" s="14"/>
      <c r="F201" s="36"/>
      <c r="G201" s="2"/>
      <c r="H201" s="9"/>
      <c r="I201" s="4"/>
      <c r="J201" s="4"/>
      <c r="K201" s="7"/>
      <c r="L201" s="1"/>
      <c r="M201" s="9"/>
      <c r="N201" s="4"/>
    </row>
    <row r="202" spans="1:14" hidden="1" x14ac:dyDescent="0.25">
      <c r="A202" s="4"/>
      <c r="B202" s="11"/>
      <c r="C202" s="4"/>
      <c r="D202" s="1"/>
      <c r="E202" s="14"/>
      <c r="F202" s="36"/>
      <c r="G202" s="2"/>
      <c r="H202" s="9"/>
      <c r="I202" s="4"/>
      <c r="J202" s="4"/>
      <c r="K202" s="7"/>
      <c r="L202" s="1"/>
      <c r="M202" s="9"/>
      <c r="N202" s="4"/>
    </row>
    <row r="203" spans="1:14" hidden="1" x14ac:dyDescent="0.25">
      <c r="A203" s="4"/>
      <c r="B203" s="11"/>
      <c r="C203" s="4"/>
      <c r="D203" s="1"/>
      <c r="E203" s="14"/>
      <c r="F203" s="36"/>
      <c r="G203" s="2"/>
      <c r="H203" s="9"/>
      <c r="I203" s="4"/>
      <c r="J203" s="4"/>
      <c r="K203" s="7"/>
      <c r="L203" s="1"/>
      <c r="M203" s="9"/>
      <c r="N203" s="4"/>
    </row>
    <row r="204" spans="1:14" hidden="1" x14ac:dyDescent="0.25">
      <c r="A204" s="4"/>
      <c r="B204" s="11"/>
      <c r="C204" s="4"/>
      <c r="D204" s="1"/>
      <c r="E204" s="14"/>
      <c r="F204" s="36"/>
      <c r="G204" s="2"/>
      <c r="H204" s="9"/>
      <c r="I204" s="4"/>
      <c r="J204" s="4"/>
      <c r="K204" s="7"/>
      <c r="L204" s="1"/>
      <c r="M204" s="9"/>
      <c r="N204" s="4"/>
    </row>
    <row r="205" spans="1:14" hidden="1" x14ac:dyDescent="0.25">
      <c r="A205" s="4"/>
      <c r="B205" s="11"/>
      <c r="C205" s="4"/>
      <c r="D205" s="1"/>
      <c r="E205" s="14"/>
      <c r="F205" s="36"/>
      <c r="G205" s="2"/>
      <c r="H205" s="9"/>
      <c r="I205" s="4"/>
      <c r="J205" s="4"/>
      <c r="K205" s="7"/>
      <c r="L205" s="1"/>
      <c r="M205" s="9"/>
      <c r="N205" s="4"/>
    </row>
    <row r="206" spans="1:14" hidden="1" x14ac:dyDescent="0.25">
      <c r="A206" s="4"/>
      <c r="B206" s="11"/>
      <c r="C206" s="4"/>
      <c r="D206" s="1"/>
      <c r="E206" s="14"/>
      <c r="F206" s="36"/>
      <c r="G206" s="2"/>
      <c r="H206" s="9"/>
      <c r="I206" s="4"/>
      <c r="J206" s="4"/>
      <c r="K206" s="7"/>
      <c r="L206" s="1"/>
      <c r="M206" s="9"/>
      <c r="N206" s="4"/>
    </row>
    <row r="207" spans="1:14" hidden="1" x14ac:dyDescent="0.25">
      <c r="A207" s="4"/>
      <c r="B207" s="11"/>
      <c r="C207" s="4"/>
      <c r="D207" s="1"/>
      <c r="E207" s="14"/>
      <c r="F207" s="36"/>
      <c r="G207" s="2"/>
      <c r="H207" s="9"/>
      <c r="I207" s="4"/>
      <c r="J207" s="4"/>
      <c r="K207" s="7"/>
      <c r="L207" s="1"/>
      <c r="M207" s="9"/>
      <c r="N207" s="4"/>
    </row>
    <row r="208" spans="1:14" hidden="1" x14ac:dyDescent="0.25">
      <c r="A208" s="4"/>
      <c r="B208" s="11"/>
      <c r="C208" s="4"/>
      <c r="D208" s="1"/>
      <c r="E208" s="14"/>
      <c r="F208" s="36"/>
      <c r="G208" s="2"/>
      <c r="H208" s="9"/>
      <c r="I208" s="4"/>
      <c r="J208" s="4"/>
      <c r="K208" s="7"/>
      <c r="L208" s="1"/>
      <c r="M208" s="9"/>
      <c r="N208" s="4"/>
    </row>
    <row r="209" spans="1:14" hidden="1" x14ac:dyDescent="0.25">
      <c r="A209" s="4"/>
      <c r="B209" s="11"/>
      <c r="C209" s="4"/>
      <c r="D209" s="1"/>
      <c r="E209" s="14"/>
      <c r="F209" s="36"/>
      <c r="G209" s="2"/>
      <c r="H209" s="9"/>
      <c r="I209" s="4"/>
      <c r="J209" s="4"/>
      <c r="K209" s="7"/>
      <c r="L209" s="1"/>
      <c r="M209" s="9"/>
      <c r="N209" s="4"/>
    </row>
    <row r="210" spans="1:14" hidden="1" x14ac:dyDescent="0.25">
      <c r="A210" s="4"/>
      <c r="B210" s="11"/>
      <c r="C210" s="4"/>
      <c r="D210" s="1"/>
      <c r="E210" s="14"/>
      <c r="F210" s="36"/>
      <c r="G210" s="2"/>
      <c r="H210" s="9"/>
      <c r="I210" s="4"/>
      <c r="J210" s="4"/>
      <c r="K210" s="7"/>
      <c r="L210" s="1"/>
      <c r="M210" s="9"/>
      <c r="N210" s="4"/>
    </row>
    <row r="211" spans="1:14" hidden="1" x14ac:dyDescent="0.25">
      <c r="A211" s="4"/>
      <c r="B211" s="11"/>
      <c r="C211" s="4"/>
      <c r="D211" s="1"/>
      <c r="E211" s="14"/>
      <c r="F211" s="36"/>
      <c r="G211" s="2"/>
      <c r="H211" s="9"/>
      <c r="I211" s="4"/>
      <c r="J211" s="4"/>
      <c r="K211" s="7"/>
      <c r="L211" s="1"/>
      <c r="M211" s="9"/>
      <c r="N211" s="4"/>
    </row>
    <row r="212" spans="1:14" hidden="1" x14ac:dyDescent="0.25">
      <c r="A212" s="4"/>
      <c r="B212" s="11"/>
      <c r="C212" s="4"/>
      <c r="D212" s="1"/>
      <c r="E212" s="14"/>
      <c r="F212" s="36"/>
      <c r="G212" s="2"/>
      <c r="H212" s="9"/>
      <c r="I212" s="4"/>
      <c r="J212" s="4"/>
      <c r="K212" s="7"/>
      <c r="L212" s="1"/>
      <c r="M212" s="9"/>
      <c r="N212" s="4"/>
    </row>
    <row r="213" spans="1:14" hidden="1" x14ac:dyDescent="0.25">
      <c r="A213" s="4"/>
      <c r="B213" s="11"/>
      <c r="C213" s="4"/>
      <c r="D213" s="1"/>
      <c r="E213" s="14"/>
      <c r="F213" s="36"/>
      <c r="G213" s="2"/>
      <c r="H213" s="9"/>
      <c r="J213" s="4"/>
      <c r="K213" s="7"/>
      <c r="L213" s="1"/>
      <c r="M213" s="9"/>
      <c r="N213" s="4"/>
    </row>
    <row r="214" spans="1:14" hidden="1" x14ac:dyDescent="0.25">
      <c r="A214" s="4"/>
      <c r="B214" s="11"/>
      <c r="C214" s="4"/>
      <c r="D214" s="1"/>
      <c r="E214" s="14"/>
      <c r="F214" s="36"/>
      <c r="G214" s="2"/>
      <c r="H214" s="9"/>
      <c r="J214" s="4"/>
      <c r="K214" s="7"/>
      <c r="L214" s="1"/>
      <c r="M214" s="9"/>
      <c r="N214" s="4"/>
    </row>
    <row r="215" spans="1:14" hidden="1" x14ac:dyDescent="0.25">
      <c r="A215" s="4"/>
      <c r="B215" s="11"/>
      <c r="C215" s="4"/>
      <c r="D215" s="1"/>
      <c r="E215" s="14"/>
      <c r="F215" s="5"/>
      <c r="G215" s="2"/>
      <c r="H215" s="9"/>
      <c r="I215" s="4"/>
      <c r="J215" s="4"/>
      <c r="K215" s="7"/>
      <c r="L215" s="1"/>
      <c r="M215" s="9"/>
      <c r="N215" s="4"/>
    </row>
    <row r="216" spans="1:14" hidden="1" x14ac:dyDescent="0.25">
      <c r="A216" s="4"/>
      <c r="B216" s="11"/>
      <c r="C216" s="4"/>
      <c r="D216" s="1"/>
      <c r="E216" s="14"/>
      <c r="F216" s="5"/>
      <c r="G216" s="2"/>
      <c r="H216" s="9"/>
      <c r="I216" s="4"/>
      <c r="J216" s="4"/>
      <c r="K216" s="7"/>
      <c r="L216" s="1"/>
      <c r="M216" s="9"/>
      <c r="N216" s="4"/>
    </row>
    <row r="217" spans="1:14" hidden="1" x14ac:dyDescent="0.25">
      <c r="A217" s="4"/>
      <c r="B217" s="11"/>
      <c r="C217" s="4"/>
      <c r="D217" s="1"/>
      <c r="E217" s="14"/>
      <c r="F217" s="5"/>
      <c r="G217" s="2"/>
      <c r="H217" s="9"/>
      <c r="I217" s="4"/>
      <c r="J217" s="4"/>
      <c r="K217" s="7"/>
      <c r="L217" s="1"/>
      <c r="M217" s="9"/>
      <c r="N217" s="4"/>
    </row>
    <row r="218" spans="1:14" hidden="1" x14ac:dyDescent="0.25">
      <c r="A218" s="4"/>
      <c r="B218" s="11"/>
      <c r="C218" s="4"/>
      <c r="D218" s="1"/>
      <c r="F218" s="5"/>
      <c r="G218" s="2"/>
      <c r="H218" s="9"/>
      <c r="I218" s="4"/>
      <c r="J218" s="4"/>
      <c r="K218" s="7"/>
      <c r="L218" s="1"/>
      <c r="M218" s="9"/>
      <c r="N218" s="4"/>
    </row>
    <row r="219" spans="1:14" hidden="1" x14ac:dyDescent="0.25">
      <c r="A219" s="4"/>
      <c r="B219" s="11"/>
      <c r="C219" s="4"/>
      <c r="N219" s="4"/>
    </row>
    <row r="220" spans="1:14" hidden="1" x14ac:dyDescent="0.25">
      <c r="A220" s="4"/>
      <c r="B220" s="11"/>
      <c r="C220" s="4"/>
      <c r="N220" s="4"/>
    </row>
    <row r="221" spans="1:14" hidden="1" x14ac:dyDescent="0.25">
      <c r="A221" s="4"/>
      <c r="B221" s="11"/>
      <c r="C221" s="4"/>
      <c r="N221" s="4"/>
    </row>
  </sheetData>
  <autoFilter ref="A1:P221" xr:uid="{722680DA-B733-4F54-850B-B1907ECFC407}">
    <filterColumn colId="3">
      <filters>
        <filter val="RENAN REIS CRUVINEL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FC61-C247-44CF-B1A8-A9AC893D12EE}">
  <dimension ref="A1:P1048576"/>
  <sheetViews>
    <sheetView showGridLines="0" tabSelected="1" topLeftCell="A89" zoomScaleNormal="100" workbookViewId="0">
      <selection activeCell="H89" sqref="H89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  <col min="15" max="15" width="39.85546875" bestFit="1" customWidth="1"/>
  </cols>
  <sheetData>
    <row r="1" spans="1:16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6" s="32" customFormat="1" x14ac:dyDescent="0.25">
      <c r="A2" s="24" t="str">
        <f t="shared" ref="A2:A66" si="0">CONCATENATE($J$1,J2,$I$3,M2,$I$3,L2,$I$1,K2,$I$2)</f>
        <v>DESPESA DE REPRESENTAÇÃO - HAPPY HOUR COM CLIENTES EM JOGO DA COPA NO D'BRESCIA 24/06 -  -  (AGENDA 41306)</v>
      </c>
      <c r="B2" s="25">
        <v>46266</v>
      </c>
      <c r="C2" s="24">
        <v>817991</v>
      </c>
      <c r="D2" s="26"/>
      <c r="E2" s="27">
        <v>-6170</v>
      </c>
      <c r="F2" s="28" t="s">
        <v>387</v>
      </c>
      <c r="G2" s="29">
        <v>46120</v>
      </c>
      <c r="H2" s="30">
        <v>1170</v>
      </c>
      <c r="I2" s="24" t="s">
        <v>333</v>
      </c>
      <c r="J2" s="24" t="s">
        <v>1257</v>
      </c>
      <c r="K2" s="31" t="s">
        <v>1258</v>
      </c>
      <c r="L2" s="26"/>
      <c r="M2" s="30"/>
      <c r="N2" s="24" t="str">
        <f>VLOOKUP(H2,Clientes!B:D,3,)</f>
        <v>BGC LIQUIDEZ DTVM LTDA</v>
      </c>
    </row>
    <row r="3" spans="1:16" x14ac:dyDescent="0.25">
      <c r="A3" s="4" t="str">
        <f t="shared" si="0"/>
        <v>DESPESA DE REPRESENTAÇÃO - HOTEL RADISSON BLU SÃO PAULO - CONSULTORIA - CLAUDIA TAVARES FERNANDES (AGENDA 43761)</v>
      </c>
      <c r="B3" s="11">
        <v>46266</v>
      </c>
      <c r="C3" s="4">
        <v>817991</v>
      </c>
      <c r="D3" s="1" t="s">
        <v>539</v>
      </c>
      <c r="E3" s="14">
        <v>-2026.5</v>
      </c>
      <c r="F3" s="2" t="s">
        <v>422</v>
      </c>
      <c r="G3" s="2">
        <v>46267</v>
      </c>
      <c r="H3" s="9">
        <v>1170</v>
      </c>
      <c r="I3" s="4" t="s">
        <v>2931</v>
      </c>
      <c r="J3" s="4" t="s">
        <v>1638</v>
      </c>
      <c r="K3" s="7" t="s">
        <v>2941</v>
      </c>
      <c r="L3" s="1" t="s">
        <v>539</v>
      </c>
      <c r="M3" s="9" t="s">
        <v>1479</v>
      </c>
      <c r="N3" s="4" t="str">
        <f>VLOOKUP(H3,Clientes!B:D,3,)</f>
        <v>BGC LIQUIDEZ DTVM LTDA</v>
      </c>
      <c r="O3">
        <f>_xlfn.XLOOKUP(D3,'[1]Matriz Brokers'!$C:$C,'[1]Matriz Brokers'!$C:$C,0,0,1)</f>
        <v>0</v>
      </c>
      <c r="P3" s="38"/>
    </row>
    <row r="4" spans="1:16" x14ac:dyDescent="0.25">
      <c r="A4" s="4" t="str">
        <f t="shared" si="0"/>
        <v>DESPESA DE REPRESENTAÇÃO - PASSAGEM BRASÍLIA X SÃO PAULO - CONSULTORIA - CLAUDIA TAVARES FERNANDES (AGENDA 43762)</v>
      </c>
      <c r="B4" s="11">
        <v>46266</v>
      </c>
      <c r="C4" s="4">
        <v>817991</v>
      </c>
      <c r="D4" s="1" t="s">
        <v>539</v>
      </c>
      <c r="E4" s="14">
        <v>-2180.89</v>
      </c>
      <c r="F4" s="5" t="s">
        <v>388</v>
      </c>
      <c r="G4" s="2">
        <v>46267</v>
      </c>
      <c r="H4" s="9">
        <v>1170</v>
      </c>
      <c r="I4" s="4"/>
      <c r="J4" s="5" t="s">
        <v>2780</v>
      </c>
      <c r="K4" s="7" t="s">
        <v>2942</v>
      </c>
      <c r="L4" s="1" t="s">
        <v>539</v>
      </c>
      <c r="M4" s="9" t="s">
        <v>1479</v>
      </c>
      <c r="N4" s="4" t="str">
        <f>VLOOKUP(H4,Clientes!B:D,3,)</f>
        <v>BGC LIQUIDEZ DTVM LTDA</v>
      </c>
      <c r="O4">
        <f>_xlfn.XLOOKUP(D4,'[1]Matriz Brokers'!$C:$C,'[1]Matriz Brokers'!$C:$C,0,0,1)</f>
        <v>0</v>
      </c>
    </row>
    <row r="5" spans="1:16" x14ac:dyDescent="0.25">
      <c r="A5" s="4" t="str">
        <f t="shared" si="0"/>
        <v>DESPESA DE REPRESENTAÇÃO - PASSAGEM BRASÍLIA X SÃO PAULO - CONSULTORIA - CLAUDIA TAVARES FERNANDES (AGENDA 43762)</v>
      </c>
      <c r="B5" s="11">
        <v>46266</v>
      </c>
      <c r="C5" s="4">
        <v>817991</v>
      </c>
      <c r="D5" s="1" t="s">
        <v>539</v>
      </c>
      <c r="E5" s="14">
        <v>-904.72</v>
      </c>
      <c r="F5" s="5" t="s">
        <v>388</v>
      </c>
      <c r="G5" s="2">
        <v>46267</v>
      </c>
      <c r="H5" s="9">
        <v>1170</v>
      </c>
      <c r="I5" s="4"/>
      <c r="J5" s="5" t="s">
        <v>2780</v>
      </c>
      <c r="K5" s="7" t="s">
        <v>2942</v>
      </c>
      <c r="L5" s="1" t="s">
        <v>539</v>
      </c>
      <c r="M5" s="9" t="s">
        <v>1479</v>
      </c>
      <c r="N5" s="4" t="str">
        <f>VLOOKUP(H5,Clientes!B:D,3,)</f>
        <v>BGC LIQUIDEZ DTVM LTDA</v>
      </c>
      <c r="O5">
        <f>_xlfn.XLOOKUP(D5,'[1]Matriz Brokers'!$C:$C,'[1]Matriz Brokers'!$C:$C,0,0,1)</f>
        <v>0</v>
      </c>
    </row>
    <row r="6" spans="1:16" x14ac:dyDescent="0.25">
      <c r="A6" s="4" t="str">
        <f t="shared" si="0"/>
        <v>DESPESA DE REPRESENTAÇÃO - PASSAGEM BRASÍLIA X SÃO PAULO - CONSULTORIA - RENAN REIS CRUVINEL (AGENDA 43762)</v>
      </c>
      <c r="B6" s="11">
        <v>46266</v>
      </c>
      <c r="C6" s="4">
        <v>817991</v>
      </c>
      <c r="D6" s="1" t="s">
        <v>538</v>
      </c>
      <c r="E6" s="14">
        <v>-1766.76</v>
      </c>
      <c r="F6" s="5" t="s">
        <v>388</v>
      </c>
      <c r="G6" s="2">
        <v>46267</v>
      </c>
      <c r="H6" s="9">
        <v>1170</v>
      </c>
      <c r="I6" s="4"/>
      <c r="J6" s="5" t="s">
        <v>2780</v>
      </c>
      <c r="K6" s="7" t="s">
        <v>2942</v>
      </c>
      <c r="L6" s="1" t="s">
        <v>538</v>
      </c>
      <c r="M6" s="9" t="s">
        <v>1479</v>
      </c>
      <c r="N6" s="4" t="str">
        <f>VLOOKUP(H6,Clientes!B:D,3,)</f>
        <v>BGC LIQUIDEZ DTVM LTDA</v>
      </c>
      <c r="O6">
        <f>_xlfn.XLOOKUP(D6,'[1]Matriz Brokers'!$C:$C,'[1]Matriz Brokers'!$C:$C,0,0,1)</f>
        <v>0</v>
      </c>
    </row>
    <row r="7" spans="1:16" x14ac:dyDescent="0.25">
      <c r="A7" s="4" t="str">
        <f t="shared" si="0"/>
        <v>DESPESA DE REPRESENTAÇÃO - JANTAR - TRADER - JOAO PEDRO BESSA LIMA OLIVEIRA (175411-4120PI)</v>
      </c>
      <c r="B7" s="11">
        <v>46266</v>
      </c>
      <c r="C7" s="4">
        <v>817991</v>
      </c>
      <c r="D7" s="1" t="s">
        <v>772</v>
      </c>
      <c r="E7" s="14">
        <v>-6777</v>
      </c>
      <c r="F7" s="5" t="s">
        <v>380</v>
      </c>
      <c r="G7" s="2">
        <v>46268</v>
      </c>
      <c r="H7" s="9">
        <v>81771</v>
      </c>
      <c r="I7" s="4"/>
      <c r="J7" s="5" t="s">
        <v>380</v>
      </c>
      <c r="K7" s="7" t="s">
        <v>2943</v>
      </c>
      <c r="L7" s="1" t="s">
        <v>1472</v>
      </c>
      <c r="M7" s="9" t="s">
        <v>335</v>
      </c>
      <c r="N7" s="4" t="str">
        <f>VLOOKUP(H7,Clientes!B:D,3,)</f>
        <v>BANCO JP MORGAN S/A</v>
      </c>
      <c r="O7" t="str">
        <f>_xlfn.XLOOKUP(D7,'[1]Matriz Brokers'!$C:$C,'[1]Matriz Brokers'!$C:$C,0,0,1)</f>
        <v>PAOLO FRANCA LIDA</v>
      </c>
    </row>
    <row r="8" spans="1:16" x14ac:dyDescent="0.25">
      <c r="A8" s="4" t="str">
        <f t="shared" si="0"/>
        <v>DESPESA DE REPRESENTAÇÃO - PASSAGEM SÃO PAULO X MIAMI - CEO - ERMINIO OLIVI LUCCI (AGENDA 43845)</v>
      </c>
      <c r="B8" s="11">
        <v>46266</v>
      </c>
      <c r="C8" s="4">
        <v>817991</v>
      </c>
      <c r="D8" s="1" t="s">
        <v>650</v>
      </c>
      <c r="E8" s="14">
        <v>-33010.21</v>
      </c>
      <c r="F8" s="2" t="s">
        <v>388</v>
      </c>
      <c r="G8" s="2">
        <v>46266</v>
      </c>
      <c r="H8" s="9">
        <v>1170</v>
      </c>
      <c r="I8" s="4"/>
      <c r="J8" s="2" t="s">
        <v>546</v>
      </c>
      <c r="K8" s="7" t="s">
        <v>2944</v>
      </c>
      <c r="L8" s="1" t="s">
        <v>650</v>
      </c>
      <c r="M8" s="9" t="s">
        <v>490</v>
      </c>
      <c r="N8" s="4" t="str">
        <f>VLOOKUP(H8,Clientes!B:D,3,)</f>
        <v>BGC LIQUIDEZ DTVM LTDA</v>
      </c>
      <c r="O8" t="str">
        <f>_xlfn.XLOOKUP(D8,'[1]Matriz Brokers'!$C:$C,'[1]Matriz Brokers'!$C:$C,0,0,1)</f>
        <v>ERMINIO OLIVI LUCCI</v>
      </c>
    </row>
    <row r="9" spans="1:16" x14ac:dyDescent="0.25">
      <c r="A9" s="4" t="str">
        <f t="shared" si="0"/>
        <v>DESPESA DE REPRESENTAÇÃO - JANTAR - TRADER - ANDRE BENDIT (175624-4120PI)</v>
      </c>
      <c r="B9" s="11">
        <v>46266</v>
      </c>
      <c r="C9" s="4">
        <v>817991</v>
      </c>
      <c r="D9" s="1" t="s">
        <v>772</v>
      </c>
      <c r="E9" s="14">
        <v>-1430</v>
      </c>
      <c r="F9" s="5" t="s">
        <v>380</v>
      </c>
      <c r="G9" s="2">
        <v>46268</v>
      </c>
      <c r="H9" s="9">
        <v>81972</v>
      </c>
      <c r="I9" s="4"/>
      <c r="J9" s="2" t="s">
        <v>380</v>
      </c>
      <c r="K9" s="7" t="s">
        <v>2945</v>
      </c>
      <c r="L9" s="1" t="s">
        <v>162</v>
      </c>
      <c r="M9" s="9" t="s">
        <v>335</v>
      </c>
      <c r="N9" s="4" t="str">
        <f>VLOOKUP(H9,Clientes!B:D,3,)</f>
        <v>BANCO RABOBANK INTERNATIONAL BRASIL S/A</v>
      </c>
      <c r="O9" t="str">
        <f>_xlfn.XLOOKUP(D9,'[1]Matriz Brokers'!$C:$C,'[1]Matriz Brokers'!$C:$C,0,0,1)</f>
        <v>PAOLO FRANCA LIDA</v>
      </c>
    </row>
    <row r="10" spans="1:16" x14ac:dyDescent="0.25">
      <c r="A10" s="4" t="str">
        <f t="shared" si="0"/>
        <v>DESPESA DE REPRESENTAÇÃO - ALMOÇO - TRADER - ROMULO MAGALHAES BRASIL (175727-4120FB)</v>
      </c>
      <c r="B10" s="11">
        <v>46266</v>
      </c>
      <c r="C10" s="4">
        <v>817991</v>
      </c>
      <c r="D10" s="1" t="s">
        <v>475</v>
      </c>
      <c r="E10" s="14">
        <v>-2401.25</v>
      </c>
      <c r="F10" s="2" t="s">
        <v>447</v>
      </c>
      <c r="G10" s="2">
        <v>46268</v>
      </c>
      <c r="H10" s="9">
        <v>79805</v>
      </c>
      <c r="I10" s="4"/>
      <c r="J10" s="2" t="s">
        <v>447</v>
      </c>
      <c r="K10" s="7" t="s">
        <v>2946</v>
      </c>
      <c r="L10" s="1" t="s">
        <v>517</v>
      </c>
      <c r="M10" s="9" t="s">
        <v>335</v>
      </c>
      <c r="N10" s="4" t="str">
        <f>VLOOKUP(H10,Clientes!B:D,3,)</f>
        <v>ITAU UNIBANCO S/A</v>
      </c>
      <c r="O10" t="str">
        <f>_xlfn.XLOOKUP(D10,'[1]Matriz Brokers'!$C:$C,'[1]Matriz Brokers'!$C:$C,0,0,1)</f>
        <v>FERNANDA CORVELLO BUTRICO</v>
      </c>
    </row>
    <row r="11" spans="1:16" x14ac:dyDescent="0.25">
      <c r="A11" s="4" t="str">
        <f t="shared" si="0"/>
        <v>DESPESA DE REPRESENTAÇÃO - ALMOÇO - TRADER - JOÃO AGUIAR (171220-4120EC)</v>
      </c>
      <c r="B11" s="11">
        <v>46266</v>
      </c>
      <c r="C11" s="4">
        <v>817991</v>
      </c>
      <c r="D11" s="1" t="s">
        <v>647</v>
      </c>
      <c r="E11" s="14">
        <v>-1238</v>
      </c>
      <c r="F11" s="2" t="s">
        <v>447</v>
      </c>
      <c r="G11" s="2">
        <v>46268</v>
      </c>
      <c r="H11" s="9">
        <v>82781</v>
      </c>
      <c r="I11" s="4"/>
      <c r="J11" s="2" t="s">
        <v>447</v>
      </c>
      <c r="K11" s="7" t="s">
        <v>2947</v>
      </c>
      <c r="L11" s="1" t="s">
        <v>2948</v>
      </c>
      <c r="M11" s="9" t="s">
        <v>335</v>
      </c>
      <c r="N11" s="4" t="str">
        <f>VLOOKUP(H11,Clientes!B:D,3,)</f>
        <v>BTG PACTUAL ASSET MANAGEMENT SA DTVM</v>
      </c>
      <c r="O11" t="str">
        <f>_xlfn.XLOOKUP(D11,'[1]Matriz Brokers'!$C:$C,'[1]Matriz Brokers'!$C:$C,0,0,1)</f>
        <v>ENRICO BORTPLUZO CASSIANO</v>
      </c>
    </row>
    <row r="12" spans="1:16" x14ac:dyDescent="0.25">
      <c r="A12" s="4" t="str">
        <f t="shared" si="0"/>
        <v>DESPESA DE REPRESENTAÇÃO - CAFÉ DA MANHÃ - TRADER - CHRISTIAN FARICELLI (183709-4120FT)</v>
      </c>
      <c r="B12" s="11">
        <v>46266</v>
      </c>
      <c r="C12" s="4">
        <v>817991</v>
      </c>
      <c r="D12" s="1" t="s">
        <v>768</v>
      </c>
      <c r="E12" s="14">
        <v>-201.14</v>
      </c>
      <c r="F12" s="2" t="s">
        <v>771</v>
      </c>
      <c r="G12" s="2">
        <v>46268</v>
      </c>
      <c r="H12" s="9">
        <v>144548</v>
      </c>
      <c r="I12" s="4"/>
      <c r="J12" s="2" t="s">
        <v>771</v>
      </c>
      <c r="K12" s="7" t="s">
        <v>2949</v>
      </c>
      <c r="L12" s="1" t="s">
        <v>2950</v>
      </c>
      <c r="M12" s="9" t="s">
        <v>335</v>
      </c>
      <c r="N12" s="4" t="str">
        <f>VLOOKUP(H12,Clientes!B:D,3,)</f>
        <v>ABSOLUTE GESTAO DE INVESTIMENTOS LTDA</v>
      </c>
      <c r="O12" t="str">
        <f>_xlfn.XLOOKUP(D12,'[1]Matriz Brokers'!$C:$C,'[1]Matriz Brokers'!$C:$C,0,0,1)</f>
        <v>FELIPE DE SA TAVARES</v>
      </c>
    </row>
    <row r="13" spans="1:16" x14ac:dyDescent="0.25">
      <c r="A13" s="4" t="str">
        <f t="shared" si="0"/>
        <v>DESPESA DE REPRESENTAÇÃO - JANTAR - ECONOMISTA - PEDRO FLORES (173355-4120FT)</v>
      </c>
      <c r="B13" s="11">
        <v>46266</v>
      </c>
      <c r="C13" s="4">
        <v>817991</v>
      </c>
      <c r="D13" s="1" t="s">
        <v>768</v>
      </c>
      <c r="E13" s="14">
        <v>-972.93</v>
      </c>
      <c r="F13" s="2" t="s">
        <v>380</v>
      </c>
      <c r="G13" s="2">
        <v>46268</v>
      </c>
      <c r="H13" s="9">
        <v>81565</v>
      </c>
      <c r="I13" s="4"/>
      <c r="J13" s="2" t="s">
        <v>380</v>
      </c>
      <c r="K13" s="7" t="s">
        <v>2951</v>
      </c>
      <c r="L13" s="1" t="s">
        <v>2952</v>
      </c>
      <c r="M13" s="9" t="s">
        <v>551</v>
      </c>
      <c r="N13" s="4" t="str">
        <f>VLOOKUP(H13,Clientes!B:D,3,)</f>
        <v>SPX GESTAO DE RECURSOS LTDA</v>
      </c>
      <c r="O13" t="str">
        <f>_xlfn.XLOOKUP(D13,'[1]Matriz Brokers'!$C:$C,'[1]Matriz Brokers'!$C:$C,0,0,1)</f>
        <v>FELIPE DE SA TAVARES</v>
      </c>
    </row>
    <row r="14" spans="1:16" x14ac:dyDescent="0.25">
      <c r="A14" s="4" t="str">
        <f t="shared" si="0"/>
        <v>DESPESA DE REPRESENTAÇÃO - ALMOÇO - TRADER - RODRIGO MELLO (181701-4120FT)</v>
      </c>
      <c r="B14" s="11">
        <v>46266</v>
      </c>
      <c r="C14" s="4">
        <v>817991</v>
      </c>
      <c r="D14" s="1" t="s">
        <v>768</v>
      </c>
      <c r="E14" s="14">
        <v>-201.52</v>
      </c>
      <c r="F14" s="2" t="s">
        <v>447</v>
      </c>
      <c r="G14" s="2">
        <v>46268</v>
      </c>
      <c r="H14" s="9">
        <v>81344</v>
      </c>
      <c r="I14" s="4"/>
      <c r="J14" s="2" t="s">
        <v>447</v>
      </c>
      <c r="K14" s="7" t="s">
        <v>2953</v>
      </c>
      <c r="L14" s="1" t="s">
        <v>2954</v>
      </c>
      <c r="M14" s="9" t="s">
        <v>335</v>
      </c>
      <c r="N14" s="4" t="str">
        <f>VLOOKUP(H14,Clientes!B:D,3,)</f>
        <v>TENAX CAPITAL LTDA</v>
      </c>
      <c r="O14" t="str">
        <f>_xlfn.XLOOKUP(D14,'[1]Matriz Brokers'!$C:$C,'[1]Matriz Brokers'!$C:$C,0,0,1)</f>
        <v>FELIPE DE SA TAVARES</v>
      </c>
    </row>
    <row r="15" spans="1:16" x14ac:dyDescent="0.25">
      <c r="A15" s="4" t="str">
        <f t="shared" si="0"/>
        <v>DESPESA DE REPRESENTAÇÃO - UBER VISITA CLIENTES APRESENTAÇÃO ECONOMISTA - ECONOMISTA - CARLOS THADEU DE FREITAS GOMES FILHO (112748-4120CF)</v>
      </c>
      <c r="B15" s="11">
        <v>46266</v>
      </c>
      <c r="C15" s="4">
        <v>817991</v>
      </c>
      <c r="D15" s="1" t="s">
        <v>1012</v>
      </c>
      <c r="E15" s="14">
        <v>-173.98</v>
      </c>
      <c r="F15" s="2" t="s">
        <v>388</v>
      </c>
      <c r="G15" s="2">
        <v>46268</v>
      </c>
      <c r="H15" s="9">
        <v>83024</v>
      </c>
      <c r="I15" s="4"/>
      <c r="J15" s="2" t="s">
        <v>2955</v>
      </c>
      <c r="K15" s="7" t="s">
        <v>2956</v>
      </c>
      <c r="L15" s="1" t="s">
        <v>1012</v>
      </c>
      <c r="M15" s="9" t="s">
        <v>551</v>
      </c>
      <c r="N15" s="4" t="str">
        <f>VLOOKUP(H15,Clientes!B:D,3,)</f>
        <v>ITAU UNIBANCO ASSET MANAGEMENT LTDA</v>
      </c>
      <c r="O15" t="str">
        <f>_xlfn.XLOOKUP(D15,'[1]Matriz Brokers'!$C:$C,'[1]Matriz Brokers'!$C:$C,0,0,1)</f>
        <v>CARLOS THADEU DE FREITAS GOMES FILHO</v>
      </c>
    </row>
    <row r="16" spans="1:16" x14ac:dyDescent="0.25">
      <c r="A16" s="4" t="str">
        <f t="shared" si="0"/>
        <v>DESPESA DE REPRESENTAÇÃO - ALMOÇO - TRADER - ALEXANDRE FERRAZ (182331-4120FT)</v>
      </c>
      <c r="B16" s="11">
        <v>46266</v>
      </c>
      <c r="C16" s="4">
        <v>817991</v>
      </c>
      <c r="D16" s="1" t="s">
        <v>768</v>
      </c>
      <c r="E16" s="14">
        <v>-406.8</v>
      </c>
      <c r="F16" s="2" t="s">
        <v>447</v>
      </c>
      <c r="G16" s="2">
        <v>46268</v>
      </c>
      <c r="H16" s="9">
        <v>83024</v>
      </c>
      <c r="I16" s="4"/>
      <c r="J16" s="2" t="s">
        <v>447</v>
      </c>
      <c r="K16" s="7" t="s">
        <v>2957</v>
      </c>
      <c r="L16" s="1" t="s">
        <v>2862</v>
      </c>
      <c r="M16" s="9" t="s">
        <v>335</v>
      </c>
      <c r="N16" s="4" t="str">
        <f>VLOOKUP(H16,Clientes!B:D,3,)</f>
        <v>ITAU UNIBANCO ASSET MANAGEMENT LTDA</v>
      </c>
      <c r="O16" t="str">
        <f>_xlfn.XLOOKUP(D16,'[1]Matriz Brokers'!$C:$C,'[1]Matriz Brokers'!$C:$C,0,0,1)</f>
        <v>FELIPE DE SA TAVARES</v>
      </c>
    </row>
    <row r="17" spans="1:15" x14ac:dyDescent="0.25">
      <c r="A17" s="4" t="str">
        <f t="shared" si="0"/>
        <v>DESPESA DE REPRESENTAÇÃO - ALMOÇO COM YVY CAPITAL - TRADER - LOURENÇO BASTOS TIGRE (145658-4120CM)</v>
      </c>
      <c r="B17" s="11">
        <v>46266</v>
      </c>
      <c r="C17" s="4">
        <v>817991</v>
      </c>
      <c r="D17" s="1" t="s">
        <v>621</v>
      </c>
      <c r="E17" s="14">
        <v>-627.15</v>
      </c>
      <c r="F17" s="2" t="s">
        <v>447</v>
      </c>
      <c r="G17" s="2">
        <v>46268</v>
      </c>
      <c r="H17" s="9">
        <v>1170</v>
      </c>
      <c r="I17" s="4"/>
      <c r="J17" s="2" t="s">
        <v>2959</v>
      </c>
      <c r="K17" s="7" t="s">
        <v>2960</v>
      </c>
      <c r="L17" s="1" t="s">
        <v>2958</v>
      </c>
      <c r="M17" s="9" t="s">
        <v>335</v>
      </c>
      <c r="N17" s="4" t="str">
        <f>VLOOKUP(H17,Clientes!B:D,3,)</f>
        <v>BGC LIQUIDEZ DTVM LTDA</v>
      </c>
      <c r="O17" t="str">
        <f>_xlfn.XLOOKUP(D17,'[1]Matriz Brokers'!$C:$C,'[1]Matriz Brokers'!$C:$C,0,0,1)</f>
        <v>CESAR MARIANO SCARAMBONE MENEZES</v>
      </c>
    </row>
    <row r="18" spans="1:15" x14ac:dyDescent="0.25">
      <c r="A18" s="4" t="str">
        <f t="shared" si="0"/>
        <v>DESPESA DE REPRESENTAÇÃO - ALMOÇO - TRADER - ROGERIO MATTEDI FOLSTER (174024-4120FT)</v>
      </c>
      <c r="B18" s="11">
        <v>46266</v>
      </c>
      <c r="C18" s="4">
        <v>817991</v>
      </c>
      <c r="D18" s="1" t="s">
        <v>768</v>
      </c>
      <c r="E18" s="14">
        <v>-487.6</v>
      </c>
      <c r="F18" s="2" t="s">
        <v>447</v>
      </c>
      <c r="G18" s="2">
        <v>46268</v>
      </c>
      <c r="H18" s="9">
        <v>80375</v>
      </c>
      <c r="I18" s="4"/>
      <c r="J18" s="2" t="s">
        <v>447</v>
      </c>
      <c r="K18" s="7" t="s">
        <v>2961</v>
      </c>
      <c r="L18" s="1" t="s">
        <v>1064</v>
      </c>
      <c r="M18" s="9" t="s">
        <v>335</v>
      </c>
      <c r="N18" s="4" t="str">
        <f>VLOOKUP(H18,Clientes!B:D,3,)</f>
        <v>ITAU UNIBANCO S/A</v>
      </c>
      <c r="O18" t="str">
        <f>_xlfn.XLOOKUP(D18,'[1]Matriz Brokers'!$C:$C,'[1]Matriz Brokers'!$C:$C,0,0,1)</f>
        <v>FELIPE DE SA TAVARES</v>
      </c>
    </row>
    <row r="19" spans="1:15" x14ac:dyDescent="0.25">
      <c r="A19" s="4" t="str">
        <f t="shared" si="0"/>
        <v>DESPESA DE REPRESENTAÇÃO - JANTAR - TRADER - FERNANDO MONTEIRO (145826-4120CM)</v>
      </c>
      <c r="B19" s="11">
        <v>46266</v>
      </c>
      <c r="C19" s="4">
        <v>817991</v>
      </c>
      <c r="D19" s="1" t="s">
        <v>621</v>
      </c>
      <c r="E19" s="14">
        <v>-1718.73</v>
      </c>
      <c r="F19" s="5" t="s">
        <v>380</v>
      </c>
      <c r="G19" s="2">
        <v>46268</v>
      </c>
      <c r="H19" s="9">
        <v>82467</v>
      </c>
      <c r="I19" s="4"/>
      <c r="J19" s="4" t="s">
        <v>380</v>
      </c>
      <c r="K19" s="7" t="s">
        <v>2962</v>
      </c>
      <c r="L19" s="1" t="s">
        <v>582</v>
      </c>
      <c r="M19" s="9" t="s">
        <v>335</v>
      </c>
      <c r="N19" s="4" t="str">
        <f>VLOOKUP(H19,Clientes!B:D,3,)</f>
        <v>BRAM - BRADESCO ASSET MANAGEMENT S/A DTVM</v>
      </c>
      <c r="O19" t="str">
        <f>_xlfn.XLOOKUP(D19,'[1]Matriz Brokers'!$C:$C,'[1]Matriz Brokers'!$C:$C,0,0,1)</f>
        <v>CESAR MARIANO SCARAMBONE MENEZES</v>
      </c>
    </row>
    <row r="20" spans="1:15" x14ac:dyDescent="0.25">
      <c r="A20" s="4" t="str">
        <f t="shared" si="0"/>
        <v>DESPESA DE REPRESENTAÇÃO - ALMOÇO - TRADER - MATHEUS BERLOFA (182540-4120FT)</v>
      </c>
      <c r="B20" s="11">
        <v>46266</v>
      </c>
      <c r="C20" s="4">
        <v>817991</v>
      </c>
      <c r="D20" s="1" t="s">
        <v>768</v>
      </c>
      <c r="E20" s="14">
        <v>-833.94</v>
      </c>
      <c r="F20" s="2" t="s">
        <v>447</v>
      </c>
      <c r="G20" s="2">
        <v>46268</v>
      </c>
      <c r="H20" s="9">
        <v>82435</v>
      </c>
      <c r="I20" s="4"/>
      <c r="J20" s="2" t="s">
        <v>447</v>
      </c>
      <c r="K20" s="7" t="s">
        <v>2963</v>
      </c>
      <c r="L20" s="1" t="s">
        <v>2964</v>
      </c>
      <c r="M20" s="9" t="s">
        <v>335</v>
      </c>
      <c r="N20" s="4" t="e">
        <f>VLOOKUP(H20,Clientes!B:D,3,)</f>
        <v>#N/A</v>
      </c>
      <c r="O20" t="str">
        <f>_xlfn.XLOOKUP(D20,'[1]Matriz Brokers'!$C:$C,'[1]Matriz Brokers'!$C:$C,0,0,1)</f>
        <v>FELIPE DE SA TAVARES</v>
      </c>
    </row>
    <row r="21" spans="1:15" x14ac:dyDescent="0.25">
      <c r="A21" s="4" t="str">
        <f t="shared" si="0"/>
        <v>DESPESA DE REPRESENTAÇÃO - ALMOÇO - TRADER - LEONARDO BREDER (095208-4120AV)</v>
      </c>
      <c r="B21" s="11">
        <v>46266</v>
      </c>
      <c r="C21" s="4">
        <v>817991</v>
      </c>
      <c r="D21" s="1" t="s">
        <v>23</v>
      </c>
      <c r="E21" s="14">
        <v>-615</v>
      </c>
      <c r="F21" s="2" t="s">
        <v>447</v>
      </c>
      <c r="G21" s="2">
        <v>46268</v>
      </c>
      <c r="H21" s="9">
        <v>144548</v>
      </c>
      <c r="I21" s="4"/>
      <c r="J21" s="2" t="s">
        <v>447</v>
      </c>
      <c r="K21" s="7" t="s">
        <v>2965</v>
      </c>
      <c r="L21" s="1" t="s">
        <v>1169</v>
      </c>
      <c r="M21" s="9" t="s">
        <v>335</v>
      </c>
      <c r="N21" s="4" t="str">
        <f>VLOOKUP(H21,Clientes!B:D,3,)</f>
        <v>ABSOLUTE GESTAO DE INVESTIMENTOS LTDA</v>
      </c>
      <c r="O21" t="str">
        <f>_xlfn.XLOOKUP(D21,'[1]Matriz Brokers'!$C:$C,'[1]Matriz Brokers'!$C:$C,0,0,1)</f>
        <v>JOSE MAURICIO GOMES TEIXEIRA</v>
      </c>
    </row>
    <row r="22" spans="1:15" x14ac:dyDescent="0.25">
      <c r="A22" s="4" t="str">
        <f t="shared" si="0"/>
        <v>DESPESA DE REPRESENTAÇÃO - ALMOÇO - TRADER - MATHEUS BERLOFA (181417-4120FT)</v>
      </c>
      <c r="B22" s="11">
        <v>46266</v>
      </c>
      <c r="C22" s="4">
        <v>817991</v>
      </c>
      <c r="D22" s="1" t="s">
        <v>768</v>
      </c>
      <c r="E22" s="14">
        <v>-2389.9499999999998</v>
      </c>
      <c r="F22" s="2" t="s">
        <v>447</v>
      </c>
      <c r="G22" s="2">
        <v>46268</v>
      </c>
      <c r="H22" s="9">
        <v>82435</v>
      </c>
      <c r="I22" s="4"/>
      <c r="J22" s="2" t="s">
        <v>447</v>
      </c>
      <c r="K22" s="7" t="s">
        <v>2966</v>
      </c>
      <c r="L22" s="1" t="s">
        <v>2964</v>
      </c>
      <c r="M22" s="9" t="s">
        <v>335</v>
      </c>
      <c r="N22" s="4" t="e">
        <f>VLOOKUP(H22,Clientes!B:D,3,)</f>
        <v>#N/A</v>
      </c>
      <c r="O22" t="str">
        <f>_xlfn.XLOOKUP(D22,'[1]Matriz Brokers'!$C:$C,'[1]Matriz Brokers'!$C:$C,0,0,1)</f>
        <v>FELIPE DE SA TAVARES</v>
      </c>
    </row>
    <row r="23" spans="1:15" x14ac:dyDescent="0.25">
      <c r="A23" s="4" t="str">
        <f t="shared" si="0"/>
        <v>DESPESA DE REPRESENTAÇÃO - ALMOÇO - TRADER - CHRISTIAN FARICELLI (182750-4120FT)</v>
      </c>
      <c r="B23" s="11">
        <v>46266</v>
      </c>
      <c r="C23" s="4">
        <v>817991</v>
      </c>
      <c r="D23" s="1" t="s">
        <v>768</v>
      </c>
      <c r="E23" s="14">
        <v>-1210.96</v>
      </c>
      <c r="F23" s="2" t="s">
        <v>447</v>
      </c>
      <c r="G23" s="2">
        <v>46268</v>
      </c>
      <c r="H23" s="9">
        <v>144548</v>
      </c>
      <c r="I23" s="4"/>
      <c r="J23" s="2" t="s">
        <v>447</v>
      </c>
      <c r="K23" s="7" t="s">
        <v>2967</v>
      </c>
      <c r="L23" s="1" t="s">
        <v>2950</v>
      </c>
      <c r="M23" s="9" t="s">
        <v>335</v>
      </c>
      <c r="N23" s="4" t="str">
        <f>VLOOKUP(H23,Clientes!B:D,3,)</f>
        <v>ABSOLUTE GESTAO DE INVESTIMENTOS LTDA</v>
      </c>
      <c r="O23" t="str">
        <f>_xlfn.XLOOKUP(D23,'[1]Matriz Brokers'!$C:$C,'[1]Matriz Brokers'!$C:$C,0,0,1)</f>
        <v>FELIPE DE SA TAVARES</v>
      </c>
    </row>
    <row r="24" spans="1:15" x14ac:dyDescent="0.25">
      <c r="A24" s="4" t="str">
        <f t="shared" si="0"/>
        <v>DESPESA DE REPRESENTAÇÃO - ALMOÇO - TRADER - MAURICIO DELGADO (124148-4120CM)</v>
      </c>
      <c r="B24" s="11">
        <v>46266</v>
      </c>
      <c r="C24" s="4">
        <v>817991</v>
      </c>
      <c r="D24" s="1" t="s">
        <v>621</v>
      </c>
      <c r="E24" s="14">
        <v>-454.26</v>
      </c>
      <c r="F24" s="2" t="s">
        <v>447</v>
      </c>
      <c r="G24" s="2">
        <v>46268</v>
      </c>
      <c r="H24" s="9">
        <v>82963</v>
      </c>
      <c r="I24" s="4"/>
      <c r="J24" s="2" t="s">
        <v>447</v>
      </c>
      <c r="K24" s="7" t="s">
        <v>2969</v>
      </c>
      <c r="L24" s="1" t="s">
        <v>2968</v>
      </c>
      <c r="M24" s="9" t="s">
        <v>335</v>
      </c>
      <c r="N24" s="4" t="str">
        <f>VLOOKUP(H24,Clientes!B:D,3,)</f>
        <v>BANCO DAYCOVAL S/A</v>
      </c>
      <c r="O24" t="str">
        <f>_xlfn.XLOOKUP(D24,'[1]Matriz Brokers'!$C:$C,'[1]Matriz Brokers'!$C:$C,0,0,1)</f>
        <v>CESAR MARIANO SCARAMBONE MENEZES</v>
      </c>
    </row>
    <row r="25" spans="1:15" x14ac:dyDescent="0.25">
      <c r="A25" s="4" t="str">
        <f t="shared" si="0"/>
        <v>DESPESA DE REPRESENTAÇÃO - JANTAR - ECONOMISTA - PEDRO FLORES (183831-4120FT)</v>
      </c>
      <c r="B25" s="11">
        <v>46266</v>
      </c>
      <c r="C25" s="4">
        <v>817991</v>
      </c>
      <c r="D25" s="1" t="s">
        <v>768</v>
      </c>
      <c r="E25" s="14">
        <v>-483.75</v>
      </c>
      <c r="F25" s="2" t="s">
        <v>380</v>
      </c>
      <c r="G25" s="2">
        <v>46268</v>
      </c>
      <c r="H25" s="9">
        <v>81565</v>
      </c>
      <c r="I25" s="4"/>
      <c r="J25" s="2" t="s">
        <v>380</v>
      </c>
      <c r="K25" s="7" t="s">
        <v>2970</v>
      </c>
      <c r="L25" s="1" t="s">
        <v>2952</v>
      </c>
      <c r="M25" s="9" t="s">
        <v>551</v>
      </c>
      <c r="N25" s="4" t="str">
        <f>VLOOKUP(H25,Clientes!B:D,3,)</f>
        <v>SPX GESTAO DE RECURSOS LTDA</v>
      </c>
      <c r="O25" t="str">
        <f>_xlfn.XLOOKUP(D25,'[1]Matriz Brokers'!$C:$C,'[1]Matriz Brokers'!$C:$C,0,0,1)</f>
        <v>FELIPE DE SA TAVARES</v>
      </c>
    </row>
    <row r="26" spans="1:15" x14ac:dyDescent="0.25">
      <c r="A26" s="4" t="str">
        <f t="shared" si="0"/>
        <v>DESPESA DE REPRESENTAÇÃO - ALMOÇO - TRADER - RAFAEL PISTELLI GOMES (143749-4120EA)</v>
      </c>
      <c r="B26" s="11">
        <v>46266</v>
      </c>
      <c r="C26" s="4">
        <v>817991</v>
      </c>
      <c r="D26" s="1" t="s">
        <v>653</v>
      </c>
      <c r="E26" s="14">
        <v>-1284</v>
      </c>
      <c r="F26" s="2" t="s">
        <v>447</v>
      </c>
      <c r="G26" s="2">
        <v>46268</v>
      </c>
      <c r="H26" s="9">
        <v>14479</v>
      </c>
      <c r="I26" s="4"/>
      <c r="J26" s="2" t="s">
        <v>447</v>
      </c>
      <c r="K26" s="7" t="s">
        <v>2971</v>
      </c>
      <c r="L26" s="1" t="s">
        <v>228</v>
      </c>
      <c r="M26" s="9" t="s">
        <v>335</v>
      </c>
      <c r="N26" s="4" t="str">
        <f>VLOOKUP(H26,Clientes!B:D,3,)</f>
        <v>BANCO SANTANDER (BRASIL) S/A</v>
      </c>
      <c r="O26" t="str">
        <f>_xlfn.XLOOKUP(D26,'[1]Matriz Brokers'!$C:$C,'[1]Matriz Brokers'!$C:$C,0,0,1)</f>
        <v>EDRAS DURAES D ANUNCIACAO</v>
      </c>
    </row>
    <row r="27" spans="1:15" x14ac:dyDescent="0.25">
      <c r="A27" s="4" t="str">
        <f t="shared" si="0"/>
        <v>DESPESA DE REPRESENTAÇÃO - TAXI REUNIÃO DEALERS - ECONOMISTA - FELIPE DE SA TAVARES (181848-4120FT)</v>
      </c>
      <c r="B27" s="11">
        <v>46266</v>
      </c>
      <c r="C27" s="4">
        <v>817991</v>
      </c>
      <c r="D27" s="1" t="s">
        <v>768</v>
      </c>
      <c r="E27" s="14">
        <v>-46</v>
      </c>
      <c r="F27" s="5" t="s">
        <v>388</v>
      </c>
      <c r="G27" s="2">
        <v>46268</v>
      </c>
      <c r="H27" s="9">
        <v>1170</v>
      </c>
      <c r="I27" s="4"/>
      <c r="J27" s="5" t="s">
        <v>2972</v>
      </c>
      <c r="K27" s="9" t="s">
        <v>2973</v>
      </c>
      <c r="L27" s="1" t="s">
        <v>768</v>
      </c>
      <c r="M27" s="9" t="s">
        <v>551</v>
      </c>
      <c r="N27" s="4" t="str">
        <f>VLOOKUP(H27,Clientes!B:D,3,)</f>
        <v>BGC LIQUIDEZ DTVM LTDA</v>
      </c>
      <c r="O27" t="str">
        <f>_xlfn.XLOOKUP(D27,'[1]Matriz Brokers'!$C:$C,'[1]Matriz Brokers'!$C:$C,0,0,1)</f>
        <v>FELIPE DE SA TAVARES</v>
      </c>
    </row>
    <row r="28" spans="1:15" x14ac:dyDescent="0.25">
      <c r="A28" s="4" t="str">
        <f t="shared" si="0"/>
        <v>DESPESA DE REPRESENTAÇÃO - CAFÉ DA MANHÃ - TRADER - RAFAEL PAIVA POPPE DO VALLE (182936-4120FT)</v>
      </c>
      <c r="B28" s="11">
        <v>46266</v>
      </c>
      <c r="C28" s="4">
        <v>817991</v>
      </c>
      <c r="D28" s="1" t="s">
        <v>768</v>
      </c>
      <c r="E28" s="14">
        <v>-107.9</v>
      </c>
      <c r="F28" s="5" t="s">
        <v>771</v>
      </c>
      <c r="G28" s="2">
        <v>46268</v>
      </c>
      <c r="H28" s="9">
        <v>82787</v>
      </c>
      <c r="I28" s="4"/>
      <c r="J28" s="5" t="s">
        <v>771</v>
      </c>
      <c r="K28" s="9" t="s">
        <v>2974</v>
      </c>
      <c r="L28" s="1" t="s">
        <v>239</v>
      </c>
      <c r="M28" s="9" t="s">
        <v>335</v>
      </c>
      <c r="N28" s="4" t="str">
        <f>VLOOKUP(H28,Clientes!B:D,3,)</f>
        <v>KAPITALO INVESTIMENTOS LTDA</v>
      </c>
      <c r="O28" t="str">
        <f>_xlfn.XLOOKUP(D28,'[1]Matriz Brokers'!$C:$C,'[1]Matriz Brokers'!$C:$C,0,0,1)</f>
        <v>FELIPE DE SA TAVARES</v>
      </c>
    </row>
    <row r="29" spans="1:15" x14ac:dyDescent="0.25">
      <c r="A29" s="4" t="str">
        <f t="shared" si="0"/>
        <v>DESPESA DE REPRESENTAÇÃO - ALMOÇO - TRADER - MARCUS VINICIUS MELLO BRAGANÇA (094903-4120AV)</v>
      </c>
      <c r="B29" s="11">
        <v>46266</v>
      </c>
      <c r="C29" s="4">
        <v>817991</v>
      </c>
      <c r="D29" s="1" t="s">
        <v>23</v>
      </c>
      <c r="E29" s="14">
        <v>-1443</v>
      </c>
      <c r="F29" s="5" t="s">
        <v>447</v>
      </c>
      <c r="G29" s="2">
        <v>46268</v>
      </c>
      <c r="H29" s="9">
        <v>80749</v>
      </c>
      <c r="I29" s="4"/>
      <c r="J29" s="5" t="s">
        <v>447</v>
      </c>
      <c r="K29" s="9" t="s">
        <v>2975</v>
      </c>
      <c r="L29" s="1" t="s">
        <v>2205</v>
      </c>
      <c r="M29" s="9" t="s">
        <v>335</v>
      </c>
      <c r="N29" s="4" t="str">
        <f>VLOOKUP(H29,Clientes!B:D,3,)</f>
        <v>BANCO XP S/A</v>
      </c>
      <c r="O29" t="str">
        <f>_xlfn.XLOOKUP(D29,'[1]Matriz Brokers'!$C:$C,'[1]Matriz Brokers'!$C:$C,0,0,1)</f>
        <v>JOSE MAURICIO GOMES TEIXEIRA</v>
      </c>
    </row>
    <row r="30" spans="1:15" x14ac:dyDescent="0.25">
      <c r="A30" s="4" t="str">
        <f t="shared" si="0"/>
        <v>DESPESA DE REPRESENTAÇÃO - ALMOÇO - TRADER - DANIEL BARROS RODRIGUES COSTA (183201-4120FT)</v>
      </c>
      <c r="B30" s="11">
        <v>46266</v>
      </c>
      <c r="C30" s="4">
        <v>817991</v>
      </c>
      <c r="D30" s="1" t="s">
        <v>768</v>
      </c>
      <c r="E30" s="14">
        <v>-700.6</v>
      </c>
      <c r="F30" s="5" t="s">
        <v>447</v>
      </c>
      <c r="G30" s="2">
        <v>46268</v>
      </c>
      <c r="H30" s="9">
        <v>82010</v>
      </c>
      <c r="I30" s="5"/>
      <c r="J30" s="5" t="s">
        <v>447</v>
      </c>
      <c r="K30" s="5" t="s">
        <v>2976</v>
      </c>
      <c r="L30" s="1" t="s">
        <v>1577</v>
      </c>
      <c r="M30" s="9" t="s">
        <v>335</v>
      </c>
      <c r="N30" s="4" t="str">
        <f>VLOOKUP(H30,Clientes!B:D,3,)</f>
        <v>ITAU UNIBANCO ASSET - JANEIRO</v>
      </c>
      <c r="O30" t="str">
        <f>_xlfn.XLOOKUP(D30,'[1]Matriz Brokers'!$C:$C,'[1]Matriz Brokers'!$C:$C,0,0,1)</f>
        <v>FELIPE DE SA TAVARES</v>
      </c>
    </row>
    <row r="31" spans="1:15" x14ac:dyDescent="0.25">
      <c r="A31" s="4" t="str">
        <f t="shared" si="0"/>
        <v>DESPESA DE REPRESENTAÇÃO - TAXI EVENTOS - ECONOMISTA - PEDRO FLORES (182028-4120FT)</v>
      </c>
      <c r="B31" s="11">
        <v>46266</v>
      </c>
      <c r="C31" s="4">
        <v>817991</v>
      </c>
      <c r="D31" s="1" t="s">
        <v>768</v>
      </c>
      <c r="E31" s="14">
        <v>-186</v>
      </c>
      <c r="F31" s="5" t="s">
        <v>388</v>
      </c>
      <c r="G31" s="2">
        <v>46268</v>
      </c>
      <c r="H31" s="9">
        <v>81565</v>
      </c>
      <c r="I31" s="4"/>
      <c r="J31" s="5" t="s">
        <v>2977</v>
      </c>
      <c r="K31" s="5" t="s">
        <v>2978</v>
      </c>
      <c r="L31" s="1" t="s">
        <v>2952</v>
      </c>
      <c r="M31" s="9" t="s">
        <v>551</v>
      </c>
      <c r="N31" s="4" t="str">
        <f>VLOOKUP(H31,Clientes!B:D,3,)</f>
        <v>SPX GESTAO DE RECURSOS LTDA</v>
      </c>
      <c r="O31" t="str">
        <f>_xlfn.XLOOKUP(D31,'[1]Matriz Brokers'!$C:$C,'[1]Matriz Brokers'!$C:$C,0,0,1)</f>
        <v>FELIPE DE SA TAVARES</v>
      </c>
    </row>
    <row r="32" spans="1:15" x14ac:dyDescent="0.25">
      <c r="A32" s="4" t="str">
        <f t="shared" si="0"/>
        <v>DESPESA DE REPRESENTAÇÃO - JANTAR - TRADER - NICOLE BELLINI (102019-4120RP)</v>
      </c>
      <c r="B32" s="11">
        <v>46266</v>
      </c>
      <c r="C32" s="4">
        <v>817991</v>
      </c>
      <c r="D32" s="1" t="s">
        <v>482</v>
      </c>
      <c r="E32" s="14">
        <v>-2859</v>
      </c>
      <c r="F32" s="5" t="s">
        <v>380</v>
      </c>
      <c r="G32" s="2">
        <v>46268</v>
      </c>
      <c r="H32" s="9">
        <v>83073</v>
      </c>
      <c r="I32" s="4"/>
      <c r="J32" s="5" t="s">
        <v>380</v>
      </c>
      <c r="K32" s="5" t="s">
        <v>2979</v>
      </c>
      <c r="L32" s="1" t="s">
        <v>2980</v>
      </c>
      <c r="M32" s="9" t="s">
        <v>335</v>
      </c>
      <c r="N32" s="4" t="str">
        <f>VLOOKUP(H32,Clientes!B:D,3,)</f>
        <v>UBS BRASIL ADMINISTRADORA DE VALORES MOBILIARIOS LTDA</v>
      </c>
      <c r="O32" t="str">
        <f>_xlfn.XLOOKUP(D32,'[1]Matriz Brokers'!$C:$C,'[1]Matriz Brokers'!$C:$C,0,0,1)</f>
        <v>RODRIGO PENTAGNA</v>
      </c>
    </row>
    <row r="33" spans="1:15" x14ac:dyDescent="0.25">
      <c r="A33" s="4" t="str">
        <f t="shared" si="0"/>
        <v>DESPESA DE REPRESENTAÇÃO - ALMOÇO - TRADER - WILLIAM PINTO PEREIRA LEITE (183548-4120FT)</v>
      </c>
      <c r="B33" s="11">
        <v>46266</v>
      </c>
      <c r="C33" s="4">
        <v>817991</v>
      </c>
      <c r="D33" s="1" t="s">
        <v>768</v>
      </c>
      <c r="E33" s="14">
        <v>-462.17</v>
      </c>
      <c r="F33" s="5" t="s">
        <v>447</v>
      </c>
      <c r="G33" s="2">
        <v>46268</v>
      </c>
      <c r="H33" s="9">
        <v>12296</v>
      </c>
      <c r="I33" s="4"/>
      <c r="J33" s="5" t="s">
        <v>447</v>
      </c>
      <c r="K33" s="5" t="s">
        <v>2981</v>
      </c>
      <c r="L33" s="1" t="s">
        <v>287</v>
      </c>
      <c r="M33" s="9" t="s">
        <v>335</v>
      </c>
      <c r="N33" s="4" t="str">
        <f>VLOOKUP(H33,Clientes!B:D,3,)</f>
        <v>PATRIA INVESTIMENTOS LTDA</v>
      </c>
      <c r="O33" t="str">
        <f>_xlfn.XLOOKUP(D33,'[1]Matriz Brokers'!$C:$C,'[1]Matriz Brokers'!$C:$C,0,0,1)</f>
        <v>FELIPE DE SA TAVARES</v>
      </c>
    </row>
    <row r="34" spans="1:15" x14ac:dyDescent="0.25">
      <c r="A34" s="4" t="str">
        <f t="shared" si="0"/>
        <v>DESPESA DE REPRESENTAÇÃO - ALMOÇO - TRADER - CARLOS R DE MENEZES JUNIOR (144059-4120EA)</v>
      </c>
      <c r="B34" s="11">
        <v>46266</v>
      </c>
      <c r="C34" s="4">
        <v>817991</v>
      </c>
      <c r="D34" s="1" t="s">
        <v>653</v>
      </c>
      <c r="E34" s="14">
        <v>-2452</v>
      </c>
      <c r="F34" s="5" t="s">
        <v>447</v>
      </c>
      <c r="G34" s="2">
        <v>46268</v>
      </c>
      <c r="H34" s="9">
        <v>79258</v>
      </c>
      <c r="I34" s="4"/>
      <c r="J34" s="5" t="s">
        <v>447</v>
      </c>
      <c r="K34" s="7" t="s">
        <v>2982</v>
      </c>
      <c r="L34" s="1" t="s">
        <v>362</v>
      </c>
      <c r="M34" s="9" t="s">
        <v>335</v>
      </c>
      <c r="N34" s="4" t="str">
        <f>VLOOKUP(H34,Clientes!B:D,3,)</f>
        <v>ITAU UNIBANCO S/A</v>
      </c>
      <c r="O34" t="str">
        <f>_xlfn.XLOOKUP(D34,'[1]Matriz Brokers'!$C:$C,'[1]Matriz Brokers'!$C:$C,0,0,1)</f>
        <v>EDRAS DURAES D ANUNCIACAO</v>
      </c>
    </row>
    <row r="35" spans="1:15" x14ac:dyDescent="0.25">
      <c r="A35" s="4" t="str">
        <f t="shared" si="0"/>
        <v>DESPESA DE REPRESENTAÇÃO - JANTAR - ECONOMISTA - PEDRO FLORES (183419-4120FT)</v>
      </c>
      <c r="B35" s="11">
        <v>46266</v>
      </c>
      <c r="C35" s="4">
        <v>817991</v>
      </c>
      <c r="D35" s="1" t="s">
        <v>768</v>
      </c>
      <c r="E35" s="14">
        <v>-959.37</v>
      </c>
      <c r="F35" s="5" t="s">
        <v>380</v>
      </c>
      <c r="G35" s="2">
        <v>46268</v>
      </c>
      <c r="H35" s="9">
        <v>81565</v>
      </c>
      <c r="I35" s="4"/>
      <c r="J35" s="4" t="s">
        <v>380</v>
      </c>
      <c r="K35" s="7" t="s">
        <v>2983</v>
      </c>
      <c r="L35" s="1" t="s">
        <v>2952</v>
      </c>
      <c r="M35" s="9" t="s">
        <v>551</v>
      </c>
      <c r="N35" s="4" t="str">
        <f>VLOOKUP(H35,Clientes!B:D,3,)</f>
        <v>SPX GESTAO DE RECURSOS LTDA</v>
      </c>
      <c r="O35" t="str">
        <f>_xlfn.XLOOKUP(D35,'[1]Matriz Brokers'!$C:$C,'[1]Matriz Brokers'!$C:$C,0,0,1)</f>
        <v>FELIPE DE SA TAVARES</v>
      </c>
    </row>
    <row r="36" spans="1:15" x14ac:dyDescent="0.25">
      <c r="A36" s="4" t="str">
        <f t="shared" si="0"/>
        <v>DESPESA DE REPRESENTAÇÃO - ALMOÇO - DIRETOR DE OPERAÇÕES - FABIO MAEDA (160833-4120JL)</v>
      </c>
      <c r="B36" s="11">
        <v>46266</v>
      </c>
      <c r="C36" s="4">
        <v>817991</v>
      </c>
      <c r="D36" s="1" t="s">
        <v>614</v>
      </c>
      <c r="E36" s="14">
        <v>-487.03</v>
      </c>
      <c r="F36" s="5" t="s">
        <v>447</v>
      </c>
      <c r="G36" s="2">
        <v>46268</v>
      </c>
      <c r="H36" s="9">
        <v>81235</v>
      </c>
      <c r="I36" s="4"/>
      <c r="J36" s="4" t="s">
        <v>447</v>
      </c>
      <c r="K36" s="7" t="s">
        <v>2984</v>
      </c>
      <c r="L36" s="1" t="s">
        <v>730</v>
      </c>
      <c r="M36" s="9" t="s">
        <v>731</v>
      </c>
      <c r="N36" s="4" t="e">
        <f>VLOOKUP(H36,Clientes!B:D,3,)</f>
        <v>#N/A</v>
      </c>
      <c r="O36" t="str">
        <f>_xlfn.XLOOKUP(D36,'[1]Matriz Brokers'!$C:$C,'[1]Matriz Brokers'!$C:$C,0,0,1)</f>
        <v>JUAREZ JOAQUIM DE LACERDA</v>
      </c>
    </row>
    <row r="37" spans="1:15" x14ac:dyDescent="0.25">
      <c r="A37" s="4" t="str">
        <f t="shared" si="0"/>
        <v>DESPESA DE REPRESENTAÇÃO - HAPPY HOUR - TRADER - MARCELO SCHOLZ ISSA (091449-4120AA)</v>
      </c>
      <c r="B37" s="11">
        <v>46266</v>
      </c>
      <c r="C37" s="4">
        <v>817991</v>
      </c>
      <c r="D37" s="1" t="s">
        <v>379</v>
      </c>
      <c r="E37" s="14">
        <v>-923</v>
      </c>
      <c r="F37" s="5" t="s">
        <v>387</v>
      </c>
      <c r="G37" s="2">
        <v>46268</v>
      </c>
      <c r="H37" s="9">
        <v>81259</v>
      </c>
      <c r="I37" s="4"/>
      <c r="J37" s="5" t="s">
        <v>485</v>
      </c>
      <c r="K37" s="7" t="s">
        <v>2985</v>
      </c>
      <c r="L37" s="1" t="s">
        <v>681</v>
      </c>
      <c r="M37" s="9" t="s">
        <v>335</v>
      </c>
      <c r="N37" s="4" t="str">
        <f>VLOOKUP(H37,Clientes!B:D,3,)</f>
        <v>GOLDMAN SACHS DO BRASIL BANCO MULTIPLO S/A</v>
      </c>
      <c r="O37" t="str">
        <f>_xlfn.XLOOKUP(D37,'[1]Matriz Brokers'!$C:$C,'[1]Matriz Brokers'!$C:$C,0,0,1)</f>
        <v>ANTONIO AGIZ FILHO</v>
      </c>
    </row>
    <row r="38" spans="1:15" x14ac:dyDescent="0.25">
      <c r="A38" s="4" t="str">
        <f t="shared" si="0"/>
        <v>DESPESA DE REPRESENTAÇÃO - ALMOÇO - TRADER - ALEXANDRE SOUSA (100229-4120EC)</v>
      </c>
      <c r="B38" s="11">
        <v>46266</v>
      </c>
      <c r="C38" s="4">
        <v>817991</v>
      </c>
      <c r="D38" s="1" t="s">
        <v>647</v>
      </c>
      <c r="E38" s="14">
        <v>-302</v>
      </c>
      <c r="F38" s="5" t="s">
        <v>447</v>
      </c>
      <c r="G38" s="2">
        <v>46268</v>
      </c>
      <c r="H38" s="9">
        <v>82244</v>
      </c>
      <c r="I38" s="4"/>
      <c r="J38" s="5" t="s">
        <v>447</v>
      </c>
      <c r="K38" s="7" t="s">
        <v>2986</v>
      </c>
      <c r="L38" s="1" t="s">
        <v>2987</v>
      </c>
      <c r="M38" s="9" t="s">
        <v>335</v>
      </c>
      <c r="N38" s="4" t="str">
        <f>VLOOKUP(H38,Clientes!B:D,3,)</f>
        <v>MONGERAL AEGON RENDA VARIAVEL LTDA</v>
      </c>
      <c r="O38" t="str">
        <f>_xlfn.XLOOKUP(D38,'[1]Matriz Brokers'!$C:$C,'[1]Matriz Brokers'!$C:$C,0,0,1)</f>
        <v>ENRICO BORTPLUZO CASSIANO</v>
      </c>
    </row>
    <row r="39" spans="1:15" x14ac:dyDescent="0.25">
      <c r="A39" s="4" t="str">
        <f t="shared" si="0"/>
        <v>DESPESA DE REPRESENTAÇÃO - ALMOÇO - TRADER - GUSTAVO ZUPO (120557-4120JL)</v>
      </c>
      <c r="B39" s="11">
        <v>46266</v>
      </c>
      <c r="C39" s="4">
        <v>817991</v>
      </c>
      <c r="D39" s="1" t="s">
        <v>614</v>
      </c>
      <c r="E39" s="14">
        <v>-736.87</v>
      </c>
      <c r="F39" s="5" t="s">
        <v>447</v>
      </c>
      <c r="G39" s="2">
        <v>46268</v>
      </c>
      <c r="H39" s="9">
        <v>12395</v>
      </c>
      <c r="I39" s="4"/>
      <c r="J39" s="5" t="s">
        <v>447</v>
      </c>
      <c r="K39" s="7" t="s">
        <v>2988</v>
      </c>
      <c r="L39" s="1" t="s">
        <v>2989</v>
      </c>
      <c r="M39" s="9" t="s">
        <v>335</v>
      </c>
      <c r="N39" s="4" t="str">
        <f>VLOOKUP(H39,Clientes!B:D,3,)</f>
        <v>AZ QUEST INVESTIMENTOS LTDA</v>
      </c>
      <c r="O39" t="str">
        <f>_xlfn.XLOOKUP(D39,'[1]Matriz Brokers'!$C:$C,'[1]Matriz Brokers'!$C:$C,0,0,1)</f>
        <v>JUAREZ JOAQUIM DE LACERDA</v>
      </c>
    </row>
    <row r="40" spans="1:15" x14ac:dyDescent="0.25">
      <c r="A40" s="4" t="str">
        <f t="shared" si="0"/>
        <v>DESPESA DE REPRESENTAÇÃO - ALMOÇO COM TAG INVESTIMENTOS - TRADER - GUSTAVO (101847-4120GF)</v>
      </c>
      <c r="B40" s="11">
        <v>46266</v>
      </c>
      <c r="C40" s="4">
        <v>817991</v>
      </c>
      <c r="D40" s="1" t="s">
        <v>615</v>
      </c>
      <c r="E40" s="14">
        <v>-1976.37</v>
      </c>
      <c r="F40" s="5" t="s">
        <v>447</v>
      </c>
      <c r="G40" s="2">
        <v>46268</v>
      </c>
      <c r="H40" s="9">
        <v>1170</v>
      </c>
      <c r="I40" s="4"/>
      <c r="J40" s="5" t="s">
        <v>2991</v>
      </c>
      <c r="K40" s="7" t="s">
        <v>2990</v>
      </c>
      <c r="L40" s="1" t="s">
        <v>1116</v>
      </c>
      <c r="M40" s="9" t="s">
        <v>335</v>
      </c>
      <c r="N40" s="4" t="str">
        <f>VLOOKUP(H40,Clientes!B:D,3,)</f>
        <v>BGC LIQUIDEZ DTVM LTDA</v>
      </c>
      <c r="O40" t="str">
        <f>_xlfn.XLOOKUP(D40,'[1]Matriz Brokers'!$C:$C,'[1]Matriz Brokers'!$C:$C,0,0,1)</f>
        <v>GUSTAVO D ELBOUX FERRIELLO</v>
      </c>
    </row>
    <row r="41" spans="1:15" x14ac:dyDescent="0.25">
      <c r="A41" s="4" t="str">
        <f t="shared" si="0"/>
        <v>DESPESA DE REPRESENTAÇÃO - ALMOÇO - TRADER - FELIPE NOVAIS GARCIA (181737-4120AS)</v>
      </c>
      <c r="B41" s="11">
        <v>46266</v>
      </c>
      <c r="C41" s="4">
        <v>817991</v>
      </c>
      <c r="D41" s="1" t="s">
        <v>449</v>
      </c>
      <c r="E41" s="14">
        <v>-1030</v>
      </c>
      <c r="F41" s="5" t="s">
        <v>447</v>
      </c>
      <c r="G41" s="2">
        <v>46268</v>
      </c>
      <c r="H41" s="9">
        <v>80573</v>
      </c>
      <c r="I41" s="4"/>
      <c r="J41" s="5" t="s">
        <v>447</v>
      </c>
      <c r="K41" s="7" t="s">
        <v>2992</v>
      </c>
      <c r="L41" s="1" t="s">
        <v>611</v>
      </c>
      <c r="M41" s="9" t="s">
        <v>335</v>
      </c>
      <c r="N41" s="4" t="str">
        <f>VLOOKUP(H41,Clientes!B:D,3,)</f>
        <v>BANCO C6 S/A</v>
      </c>
      <c r="O41" t="str">
        <f>_xlfn.XLOOKUP(D41,'[1]Matriz Brokers'!$C:$C,'[1]Matriz Brokers'!$C:$C,0,0,1)</f>
        <v>ALEXANDRE BRENO STEVENS</v>
      </c>
    </row>
    <row r="42" spans="1:15" x14ac:dyDescent="0.25">
      <c r="A42" s="4" t="str">
        <f t="shared" si="0"/>
        <v>DESPESA DE REPRESENTAÇÃO - UBER E TAXI SÃO PAULO - BROKER - CESAR MARIANO SCARAMBONE MENEZES (123353-4120CM)</v>
      </c>
      <c r="B42" s="11">
        <v>46266</v>
      </c>
      <c r="C42" s="4">
        <v>817991</v>
      </c>
      <c r="D42" s="1" t="s">
        <v>621</v>
      </c>
      <c r="E42" s="14">
        <v>-262.43</v>
      </c>
      <c r="F42" s="5" t="s">
        <v>388</v>
      </c>
      <c r="G42" s="2">
        <v>46268</v>
      </c>
      <c r="H42" s="9">
        <v>1170</v>
      </c>
      <c r="I42" s="4"/>
      <c r="J42" s="4" t="s">
        <v>2993</v>
      </c>
      <c r="K42" s="7" t="s">
        <v>2994</v>
      </c>
      <c r="L42" s="1" t="s">
        <v>621</v>
      </c>
      <c r="M42" s="9" t="s">
        <v>2</v>
      </c>
      <c r="N42" s="4" t="str">
        <f>VLOOKUP(H42,Clientes!B:D,3,)</f>
        <v>BGC LIQUIDEZ DTVM LTDA</v>
      </c>
      <c r="O42" t="str">
        <f>_xlfn.XLOOKUP(D42,'[1]Matriz Brokers'!$C:$C,'[1]Matriz Brokers'!$C:$C,0,0,1)</f>
        <v>CESAR MARIANO SCARAMBONE MENEZES</v>
      </c>
    </row>
    <row r="43" spans="1:15" x14ac:dyDescent="0.25">
      <c r="A43" s="4" t="str">
        <f t="shared" si="0"/>
        <v>DESPESA DE REPRESENTAÇÃO - ALMOÇO - TRADER - PEDRO BRANDAO COUTINHO (082325-4120CB)</v>
      </c>
      <c r="B43" s="11">
        <v>46266</v>
      </c>
      <c r="C43" s="4">
        <v>817991</v>
      </c>
      <c r="D43" s="1" t="s">
        <v>132</v>
      </c>
      <c r="E43" s="14">
        <v>-1497.25</v>
      </c>
      <c r="F43" s="5" t="s">
        <v>447</v>
      </c>
      <c r="G43" s="2">
        <v>46268</v>
      </c>
      <c r="H43" s="9">
        <v>83024</v>
      </c>
      <c r="I43" s="4"/>
      <c r="J43" s="5" t="s">
        <v>447</v>
      </c>
      <c r="K43" s="7" t="s">
        <v>2995</v>
      </c>
      <c r="L43" s="1" t="s">
        <v>2996</v>
      </c>
      <c r="M43" s="9" t="s">
        <v>335</v>
      </c>
      <c r="N43" s="4" t="str">
        <f>VLOOKUP(H43,Clientes!B:D,3,)</f>
        <v>ITAU UNIBANCO ASSET MANAGEMENT LTDA</v>
      </c>
      <c r="O43" t="str">
        <f>_xlfn.XLOOKUP(D43,'[1]Matriz Brokers'!$C:$C,'[1]Matriz Brokers'!$C:$C,0,0,1)</f>
        <v>CARLOS BASILE</v>
      </c>
    </row>
    <row r="44" spans="1:15" x14ac:dyDescent="0.25">
      <c r="A44" s="4" t="str">
        <f t="shared" si="0"/>
        <v>DESPESA DE REPRESENTAÇÃO - HAPPY HOUR  - TRADER - JOAO PEDRO BESSA LIMA OLIVEIRA (140951-4120PI)</v>
      </c>
      <c r="B44" s="11">
        <v>46266</v>
      </c>
      <c r="C44" s="4">
        <v>817991</v>
      </c>
      <c r="D44" s="1" t="s">
        <v>772</v>
      </c>
      <c r="E44" s="14">
        <v>-2164</v>
      </c>
      <c r="F44" s="5" t="s">
        <v>387</v>
      </c>
      <c r="G44" s="2">
        <v>46268</v>
      </c>
      <c r="H44" s="9">
        <v>81771</v>
      </c>
      <c r="I44" s="4"/>
      <c r="J44" s="5" t="s">
        <v>1335</v>
      </c>
      <c r="K44" s="7" t="s">
        <v>2997</v>
      </c>
      <c r="L44" s="1" t="s">
        <v>1472</v>
      </c>
      <c r="M44" s="9" t="s">
        <v>335</v>
      </c>
      <c r="N44" s="4" t="str">
        <f>VLOOKUP(H44,Clientes!B:D,3,)</f>
        <v>BANCO JP MORGAN S/A</v>
      </c>
      <c r="O44" t="str">
        <f>_xlfn.XLOOKUP(D44,'[1]Matriz Brokers'!$C:$C,'[1]Matriz Brokers'!$C:$C,0,0,1)</f>
        <v>PAOLO FRANCA LIDA</v>
      </c>
    </row>
    <row r="45" spans="1:15" x14ac:dyDescent="0.25">
      <c r="A45" s="4" t="str">
        <f t="shared" si="0"/>
        <v>DESPESA DE REPRESENTAÇÃO - JANTAR - TRADER - VITOR BITTAR NUSSIO (165833-4120JT)</v>
      </c>
      <c r="B45" s="11">
        <v>46266</v>
      </c>
      <c r="C45" s="4">
        <v>817991</v>
      </c>
      <c r="D45" s="1" t="s">
        <v>23</v>
      </c>
      <c r="E45" s="14">
        <v>-1105</v>
      </c>
      <c r="F45" s="5" t="s">
        <v>380</v>
      </c>
      <c r="G45" s="2">
        <v>46268</v>
      </c>
      <c r="H45" s="9">
        <v>15501</v>
      </c>
      <c r="I45" s="4"/>
      <c r="J45" s="5" t="s">
        <v>380</v>
      </c>
      <c r="K45" s="7" t="s">
        <v>3028</v>
      </c>
      <c r="L45" s="1" t="s">
        <v>1955</v>
      </c>
      <c r="M45" s="9" t="s">
        <v>335</v>
      </c>
      <c r="N45" s="4" t="str">
        <f>VLOOKUP(H45,Clientes!B:D,3,)</f>
        <v>BANCO BTG PACTUAL S/A</v>
      </c>
      <c r="O45" t="str">
        <f>_xlfn.XLOOKUP(D45,'[1]Matriz Brokers'!$C:$C,'[1]Matriz Brokers'!$C:$C,0,0,1)</f>
        <v>JOSE MAURICIO GOMES TEIXEIRA</v>
      </c>
    </row>
    <row r="46" spans="1:15" x14ac:dyDescent="0.25">
      <c r="A46" s="4" t="str">
        <f t="shared" si="0"/>
        <v>DESPESA DE REPRESENTAÇÃO - JANTAR - TRADER - BRUNO CARDOSO (142909-4120FP)</v>
      </c>
      <c r="B46" s="11">
        <v>46266</v>
      </c>
      <c r="C46" s="4">
        <v>817991</v>
      </c>
      <c r="D46" s="1" t="s">
        <v>503</v>
      </c>
      <c r="E46" s="14">
        <v>-1923.26</v>
      </c>
      <c r="F46" s="5" t="s">
        <v>380</v>
      </c>
      <c r="G46" s="2">
        <v>46268</v>
      </c>
      <c r="H46" s="9">
        <v>81771</v>
      </c>
      <c r="I46" s="4"/>
      <c r="J46" s="5" t="s">
        <v>380</v>
      </c>
      <c r="K46" s="7" t="s">
        <v>3029</v>
      </c>
      <c r="L46" s="1" t="s">
        <v>2328</v>
      </c>
      <c r="M46" s="9" t="s">
        <v>335</v>
      </c>
      <c r="N46" s="4" t="str">
        <f>VLOOKUP(H46,Clientes!B:D,3,)</f>
        <v>BANCO JP MORGAN S/A</v>
      </c>
      <c r="O46" t="str">
        <f>_xlfn.XLOOKUP(D46,'[1]Matriz Brokers'!$C:$C,'[1]Matriz Brokers'!$C:$C,0,0,1)</f>
        <v>FABIO SOARES PFAENDER</v>
      </c>
    </row>
    <row r="47" spans="1:15" x14ac:dyDescent="0.25">
      <c r="A47" s="4" t="str">
        <f t="shared" si="0"/>
        <v>DESPESA DE REPRESENTAÇÃO - ALMOÇO - TRADER - FREDERICO MASSOTE TRIZZI ALVES (170132-4120JT)</v>
      </c>
      <c r="B47" s="11">
        <v>46266</v>
      </c>
      <c r="C47" s="4">
        <v>817991</v>
      </c>
      <c r="D47" s="1" t="s">
        <v>23</v>
      </c>
      <c r="E47" s="14">
        <v>-2543</v>
      </c>
      <c r="F47" s="5" t="s">
        <v>447</v>
      </c>
      <c r="G47" s="2">
        <v>46268</v>
      </c>
      <c r="H47" s="9">
        <v>80233</v>
      </c>
      <c r="I47" s="4"/>
      <c r="J47" s="5" t="s">
        <v>447</v>
      </c>
      <c r="K47" s="7" t="s">
        <v>3030</v>
      </c>
      <c r="L47" s="1" t="s">
        <v>1597</v>
      </c>
      <c r="M47" s="9" t="s">
        <v>335</v>
      </c>
      <c r="N47" s="4" t="str">
        <f>VLOOKUP(H47,Clientes!B:D,3,)</f>
        <v>BANCO ABC BRASIL S/A</v>
      </c>
      <c r="O47" t="str">
        <f>_xlfn.XLOOKUP(D47,'[1]Matriz Brokers'!$C:$C,'[1]Matriz Brokers'!$C:$C,0,0,1)</f>
        <v>JOSE MAURICIO GOMES TEIXEIRA</v>
      </c>
    </row>
    <row r="48" spans="1:15" x14ac:dyDescent="0.25">
      <c r="A48" s="4" t="str">
        <f t="shared" si="0"/>
        <v>DESPESA DE REPRESENTAÇÃO - ALMOÇO - TRADER - RICARDO SANTOS DE F NOVAES (171836-4120JT)</v>
      </c>
      <c r="B48" s="11">
        <v>46266</v>
      </c>
      <c r="C48" s="4">
        <v>817991</v>
      </c>
      <c r="D48" s="1" t="s">
        <v>23</v>
      </c>
      <c r="E48" s="14">
        <v>-1607</v>
      </c>
      <c r="F48" s="5" t="s">
        <v>447</v>
      </c>
      <c r="G48" s="2">
        <v>46268</v>
      </c>
      <c r="H48" s="9">
        <v>79805</v>
      </c>
      <c r="I48" s="4"/>
      <c r="J48" s="5" t="s">
        <v>447</v>
      </c>
      <c r="K48" s="7" t="s">
        <v>3031</v>
      </c>
      <c r="L48" s="1" t="s">
        <v>1096</v>
      </c>
      <c r="M48" s="9" t="s">
        <v>335</v>
      </c>
      <c r="N48" s="4" t="str">
        <f>VLOOKUP(H48,Clientes!B:D,3,)</f>
        <v>ITAU UNIBANCO S/A</v>
      </c>
      <c r="O48" t="str">
        <f>_xlfn.XLOOKUP(D48,'[1]Matriz Brokers'!$C:$C,'[1]Matriz Brokers'!$C:$C,0,0,1)</f>
        <v>JOSE MAURICIO GOMES TEIXEIRA</v>
      </c>
    </row>
    <row r="49" spans="1:15" x14ac:dyDescent="0.25">
      <c r="A49" s="4" t="str">
        <f t="shared" si="0"/>
        <v>DESPESA DE REPRESENTAÇÃO - ALMOÇO - TRADER - BRUNO SILVA CARVALHO (172528-4120CL)</v>
      </c>
      <c r="B49" s="11">
        <v>46266</v>
      </c>
      <c r="C49" s="4">
        <v>817991</v>
      </c>
      <c r="D49" s="1" t="s">
        <v>60</v>
      </c>
      <c r="E49" s="14">
        <v>-3974</v>
      </c>
      <c r="F49" s="5" t="s">
        <v>447</v>
      </c>
      <c r="G49" s="2">
        <v>46268</v>
      </c>
      <c r="H49" s="9">
        <v>82639</v>
      </c>
      <c r="I49" s="4"/>
      <c r="J49" s="5" t="s">
        <v>447</v>
      </c>
      <c r="K49" s="7" t="s">
        <v>3032</v>
      </c>
      <c r="L49" s="1" t="s">
        <v>1082</v>
      </c>
      <c r="M49" s="9" t="s">
        <v>335</v>
      </c>
      <c r="N49" s="4" t="str">
        <f>VLOOKUP(H49,Clientes!B:D,3,)</f>
        <v>SAFRA ASSET CORRETORA DE TITULOS E VALORES MOBILIARIOS S.A.</v>
      </c>
      <c r="O49" t="str">
        <f>_xlfn.XLOOKUP(D49,'[1]Matriz Brokers'!$C:$C,'[1]Matriz Brokers'!$C:$C,0,0,1)</f>
        <v>CHRISTIANO MARCONDES DE BARROS LIMA</v>
      </c>
    </row>
    <row r="50" spans="1:15" x14ac:dyDescent="0.25">
      <c r="A50" s="4" t="str">
        <f t="shared" si="0"/>
        <v>DESPESA DE REPRESENTAÇÃO - ALMOÇO COM ZURICH  - GESTOR - ALAN BELO (155806-4120JL)</v>
      </c>
      <c r="B50" s="11">
        <v>46266</v>
      </c>
      <c r="C50" s="4">
        <v>817991</v>
      </c>
      <c r="D50" s="1" t="s">
        <v>614</v>
      </c>
      <c r="E50" s="14">
        <v>-426.01</v>
      </c>
      <c r="F50" s="5" t="s">
        <v>447</v>
      </c>
      <c r="G50" s="2">
        <v>46268</v>
      </c>
      <c r="H50" s="9">
        <v>1170</v>
      </c>
      <c r="I50" s="4"/>
      <c r="J50" s="5" t="s">
        <v>3034</v>
      </c>
      <c r="K50" s="7" t="s">
        <v>3033</v>
      </c>
      <c r="L50" s="1" t="s">
        <v>599</v>
      </c>
      <c r="M50" s="9" t="s">
        <v>598</v>
      </c>
      <c r="N50" s="4" t="str">
        <f>VLOOKUP(H50,Clientes!B:D,3,)</f>
        <v>BGC LIQUIDEZ DTVM LTDA</v>
      </c>
      <c r="O50" t="str">
        <f>_xlfn.XLOOKUP(D50,'[1]Matriz Brokers'!$C:$C,'[1]Matriz Brokers'!$C:$C,0,0,1)</f>
        <v>JUAREZ JOAQUIM DE LACERDA</v>
      </c>
    </row>
    <row r="51" spans="1:15" x14ac:dyDescent="0.25">
      <c r="A51" s="4" t="str">
        <f t="shared" si="0"/>
        <v>DESPESA DE REPRESENTAÇÃO - ALMOÇO - TRADER - BRUNO LUIGI FORESTI (101801-4120JV)</v>
      </c>
      <c r="B51" s="11">
        <v>46266</v>
      </c>
      <c r="C51" s="4">
        <v>817991</v>
      </c>
      <c r="D51" s="1" t="s">
        <v>459</v>
      </c>
      <c r="E51" s="14">
        <v>-1301.0999999999999</v>
      </c>
      <c r="F51" s="5" t="s">
        <v>447</v>
      </c>
      <c r="G51" s="2">
        <v>46268</v>
      </c>
      <c r="H51" s="9">
        <v>79581</v>
      </c>
      <c r="I51" s="4"/>
      <c r="J51" s="5" t="s">
        <v>447</v>
      </c>
      <c r="K51" s="7" t="s">
        <v>3035</v>
      </c>
      <c r="L51" s="1" t="s">
        <v>179</v>
      </c>
      <c r="M51" s="9" t="s">
        <v>335</v>
      </c>
      <c r="N51" s="4" t="str">
        <f>VLOOKUP(H51,Clientes!B:D,3,)</f>
        <v>OURIBANK S.A. BANCO MULTIPLO</v>
      </c>
      <c r="O51" t="str">
        <f>_xlfn.XLOOKUP(D51,'[1]Matriz Brokers'!$C:$C,'[1]Matriz Brokers'!$C:$C,0,0,1)</f>
        <v>JOSÉ VERGARA</v>
      </c>
    </row>
    <row r="52" spans="1:15" x14ac:dyDescent="0.25">
      <c r="A52" s="4" t="str">
        <f t="shared" si="0"/>
        <v>DESPESA DE REPRESENTAÇÃO - ALMOÇO - TRADER - CARLOS R DE MENEZES JUNIOR (084100-4120RR)</v>
      </c>
      <c r="B52" s="11">
        <v>46266</v>
      </c>
      <c r="C52" s="4">
        <v>817991</v>
      </c>
      <c r="D52" s="1" t="s">
        <v>604</v>
      </c>
      <c r="E52" s="14">
        <v>-712.8</v>
      </c>
      <c r="F52" s="5" t="s">
        <v>447</v>
      </c>
      <c r="G52" s="2">
        <v>46268</v>
      </c>
      <c r="H52" s="9">
        <v>79258</v>
      </c>
      <c r="I52" s="4"/>
      <c r="J52" s="5" t="s">
        <v>447</v>
      </c>
      <c r="K52" s="7" t="s">
        <v>3036</v>
      </c>
      <c r="L52" s="1" t="s">
        <v>362</v>
      </c>
      <c r="M52" s="9" t="s">
        <v>335</v>
      </c>
      <c r="N52" s="4" t="str">
        <f>VLOOKUP(H52,Clientes!B:D,3,)</f>
        <v>ITAU UNIBANCO S/A</v>
      </c>
      <c r="O52" t="str">
        <f>_xlfn.XLOOKUP(D52,'[1]Matriz Brokers'!$C:$C,'[1]Matriz Brokers'!$C:$C,0,0,1)</f>
        <v>RICARDO ANDRE VASCONCELOS RAMOS</v>
      </c>
    </row>
    <row r="53" spans="1:15" x14ac:dyDescent="0.25">
      <c r="A53" s="4" t="str">
        <f t="shared" si="0"/>
        <v>DESPESA DE REPRESENTAÇÃO - HOTEL INNSIDE SÃO PAULO - BROKER - CESAR MARIANO SCARAMBONE MENEZES (AGENDA 43929)</v>
      </c>
      <c r="B53" s="11">
        <v>46266</v>
      </c>
      <c r="C53" s="4">
        <v>817991</v>
      </c>
      <c r="D53" s="26" t="s">
        <v>621</v>
      </c>
      <c r="E53" s="27">
        <v>-2307.9</v>
      </c>
      <c r="F53" s="28" t="s">
        <v>422</v>
      </c>
      <c r="G53" s="29">
        <v>46274</v>
      </c>
      <c r="H53" s="30">
        <v>1170</v>
      </c>
      <c r="I53" s="24"/>
      <c r="J53" s="28" t="s">
        <v>3037</v>
      </c>
      <c r="K53" s="31" t="s">
        <v>3038</v>
      </c>
      <c r="L53" s="26" t="s">
        <v>621</v>
      </c>
      <c r="M53" s="30" t="s">
        <v>2</v>
      </c>
      <c r="N53" s="4" t="str">
        <f>VLOOKUP(H53,Clientes!B:D,3,)</f>
        <v>BGC LIQUIDEZ DTVM LTDA</v>
      </c>
      <c r="O53" t="str">
        <f>_xlfn.XLOOKUP(D53,'[1]Matriz Brokers'!$C:$C,'[1]Matriz Brokers'!$C:$C,0,0,1)</f>
        <v>CESAR MARIANO SCARAMBONE MENEZES</v>
      </c>
    </row>
    <row r="54" spans="1:15" x14ac:dyDescent="0.25">
      <c r="A54" s="4" t="str">
        <f t="shared" si="0"/>
        <v>DESPESA DE REPRESENTAÇÃO - HOTEL INNSIDE SÃO PAULO - BROKER - CESAR MARIANO SCARAMBONE MENEZES (AGENDA 43930)</v>
      </c>
      <c r="B54" s="11">
        <v>46266</v>
      </c>
      <c r="C54" s="4">
        <v>817991</v>
      </c>
      <c r="D54" s="1" t="s">
        <v>621</v>
      </c>
      <c r="E54" s="14">
        <v>-71.5</v>
      </c>
      <c r="F54" s="5" t="s">
        <v>422</v>
      </c>
      <c r="G54" s="2">
        <v>46274</v>
      </c>
      <c r="H54" s="9">
        <v>1170</v>
      </c>
      <c r="I54" s="4"/>
      <c r="J54" s="5" t="s">
        <v>3037</v>
      </c>
      <c r="K54" s="7" t="s">
        <v>3039</v>
      </c>
      <c r="L54" s="1" t="s">
        <v>621</v>
      </c>
      <c r="M54" s="9" t="s">
        <v>2</v>
      </c>
      <c r="N54" s="4" t="str">
        <f>VLOOKUP(H54,Clientes!B:D,3,)</f>
        <v>BGC LIQUIDEZ DTVM LTDA</v>
      </c>
      <c r="O54" t="str">
        <f>_xlfn.XLOOKUP(D54,'[1]Matriz Brokers'!$C:$C,'[1]Matriz Brokers'!$C:$C,0,0,1)</f>
        <v>CESAR MARIANO SCARAMBONE MENEZES</v>
      </c>
    </row>
    <row r="55" spans="1:15" x14ac:dyDescent="0.25">
      <c r="A55" s="4" t="str">
        <f t="shared" si="0"/>
        <v>DESPESA DE REPRESENTAÇÃO - ALMOÇO - TRADER - FERNANDA CRIVELENTI (142948-4120RR)</v>
      </c>
      <c r="B55" s="11">
        <v>46266</v>
      </c>
      <c r="C55" s="4">
        <v>817991</v>
      </c>
      <c r="D55" s="1" t="s">
        <v>604</v>
      </c>
      <c r="E55" s="14">
        <v>-517.54</v>
      </c>
      <c r="F55" s="5" t="s">
        <v>447</v>
      </c>
      <c r="G55" s="2">
        <v>46275</v>
      </c>
      <c r="H55" s="9">
        <v>79452</v>
      </c>
      <c r="I55" s="4"/>
      <c r="J55" s="5" t="s">
        <v>447</v>
      </c>
      <c r="K55" s="7" t="s">
        <v>3040</v>
      </c>
      <c r="L55" s="1" t="s">
        <v>3041</v>
      </c>
      <c r="M55" s="9" t="s">
        <v>335</v>
      </c>
      <c r="N55" s="4" t="str">
        <f>VLOOKUP(H55,Clientes!B:D,3,)</f>
        <v>JGP GESTAO PATRIMONIAL LTDA</v>
      </c>
      <c r="O55" t="str">
        <f>_xlfn.XLOOKUP(D55,'[1]Matriz Brokers'!$C:$C,'[1]Matriz Brokers'!$C:$C,0,0,1)</f>
        <v>RICARDO ANDRE VASCONCELOS RAMOS</v>
      </c>
    </row>
    <row r="56" spans="1:15" x14ac:dyDescent="0.25">
      <c r="A56" s="4" t="str">
        <f t="shared" si="0"/>
        <v>DESPESA DE REPRESENTAÇÃO - ALMOÇO - TRADER - VINICIUS COLETTO (143228-4120BG)</v>
      </c>
      <c r="B56" s="11">
        <v>46266</v>
      </c>
      <c r="C56" s="4">
        <v>817991</v>
      </c>
      <c r="D56" s="1" t="s">
        <v>664</v>
      </c>
      <c r="E56" s="14">
        <v>-597</v>
      </c>
      <c r="F56" s="5" t="s">
        <v>447</v>
      </c>
      <c r="G56" s="2">
        <v>46275</v>
      </c>
      <c r="H56" s="9">
        <v>80359</v>
      </c>
      <c r="I56" s="4"/>
      <c r="J56" s="5" t="s">
        <v>447</v>
      </c>
      <c r="K56" s="7" t="s">
        <v>3042</v>
      </c>
      <c r="L56" s="1" t="s">
        <v>1965</v>
      </c>
      <c r="M56" s="9" t="s">
        <v>335</v>
      </c>
      <c r="N56" s="4" t="str">
        <f>VLOOKUP(H56,Clientes!B:D,3,)</f>
        <v>VINLAND CAPITAL MANAGEMENT GESTORA DE RECURSOS LTDA</v>
      </c>
      <c r="O56" t="str">
        <f>_xlfn.XLOOKUP(D56,'[1]Matriz Brokers'!$C:$C,'[1]Matriz Brokers'!$C:$C,0,0,1)</f>
        <v>BRUNO FERREIRA GOMES</v>
      </c>
    </row>
    <row r="57" spans="1:15" x14ac:dyDescent="0.25">
      <c r="A57" s="4" t="str">
        <f t="shared" si="0"/>
        <v>DESPESA DE REPRESENTAÇÃO - TAXI - ECONOMISTA - CARLOS THADEU DE FREITAS GOMES FILHO (123353-4120CF)</v>
      </c>
      <c r="B57" s="11">
        <v>46266</v>
      </c>
      <c r="C57" s="4">
        <v>817991</v>
      </c>
      <c r="D57" s="1" t="s">
        <v>1012</v>
      </c>
      <c r="E57" s="14">
        <v>-120</v>
      </c>
      <c r="F57" s="5" t="s">
        <v>388</v>
      </c>
      <c r="G57" s="2">
        <v>46273</v>
      </c>
      <c r="H57" s="9">
        <v>18857</v>
      </c>
      <c r="I57" s="4"/>
      <c r="J57" s="5" t="s">
        <v>525</v>
      </c>
      <c r="K57" s="7" t="s">
        <v>3043</v>
      </c>
      <c r="L57" s="1" t="s">
        <v>1012</v>
      </c>
      <c r="M57" s="9" t="s">
        <v>551</v>
      </c>
      <c r="N57" s="4" t="str">
        <f>VLOOKUP(H57,Clientes!B:D,3,)</f>
        <v>BANCO DO BRASIL S/A</v>
      </c>
      <c r="O57" t="str">
        <f>_xlfn.XLOOKUP(D57,'[1]Matriz Brokers'!$C:$C,'[1]Matriz Brokers'!$C:$C,0,0,1)</f>
        <v>CARLOS THADEU DE FREITAS GOMES FILHO</v>
      </c>
    </row>
    <row r="58" spans="1:15" x14ac:dyDescent="0.25">
      <c r="A58" s="4" t="str">
        <f t="shared" si="0"/>
        <v>DESPESA DE REPRESENTAÇÃO - TAXI - ECONOMISTA - CARLOS THADEU DE FREITAS GOMES FILHO (123151-4120CF)</v>
      </c>
      <c r="B58" s="11">
        <v>46266</v>
      </c>
      <c r="C58" s="4">
        <v>817991</v>
      </c>
      <c r="D58" s="1" t="s">
        <v>1012</v>
      </c>
      <c r="E58" s="14">
        <v>-20</v>
      </c>
      <c r="F58" s="5" t="s">
        <v>388</v>
      </c>
      <c r="G58" s="2">
        <v>46273</v>
      </c>
      <c r="H58" s="9">
        <v>18857</v>
      </c>
      <c r="I58" s="4"/>
      <c r="J58" s="5" t="s">
        <v>525</v>
      </c>
      <c r="K58" s="7" t="s">
        <v>3044</v>
      </c>
      <c r="L58" s="1" t="s">
        <v>1012</v>
      </c>
      <c r="M58" s="9" t="s">
        <v>551</v>
      </c>
      <c r="N58" s="4" t="str">
        <f>VLOOKUP(H58,Clientes!B:D,3,)</f>
        <v>BANCO DO BRASIL S/A</v>
      </c>
      <c r="O58" t="str">
        <f>_xlfn.XLOOKUP(D58,'[1]Matriz Brokers'!$C:$C,'[1]Matriz Brokers'!$C:$C,0,0,1)</f>
        <v>CARLOS THADEU DE FREITAS GOMES FILHO</v>
      </c>
    </row>
    <row r="59" spans="1:15" x14ac:dyDescent="0.25">
      <c r="A59" s="4" t="str">
        <f t="shared" si="0"/>
        <v>DESPESA DE REPRESENTAÇÃO - HAPPY HOUR - TRADER - LUIZ OTAVIO MARQUES CALOBA (123051- 4120DG)</v>
      </c>
      <c r="B59" s="11">
        <v>46266</v>
      </c>
      <c r="C59" s="4">
        <v>817991</v>
      </c>
      <c r="D59" s="1" t="s">
        <v>516</v>
      </c>
      <c r="E59" s="14">
        <v>-870.32</v>
      </c>
      <c r="F59" s="5" t="s">
        <v>387</v>
      </c>
      <c r="G59" s="2">
        <v>46275</v>
      </c>
      <c r="H59" s="9">
        <v>79931</v>
      </c>
      <c r="I59" s="4"/>
      <c r="J59" s="4" t="s">
        <v>485</v>
      </c>
      <c r="K59" s="7" t="s">
        <v>3045</v>
      </c>
      <c r="L59" s="1" t="s">
        <v>733</v>
      </c>
      <c r="M59" s="9" t="s">
        <v>335</v>
      </c>
      <c r="N59" s="4" t="str">
        <f>VLOOKUP(H59,Clientes!B:D,3,)</f>
        <v>SPX GESTAO DE RECURSOS LTDA</v>
      </c>
      <c r="O59" t="str">
        <f>_xlfn.XLOOKUP(D59,'[1]Matriz Brokers'!$C:$C,'[1]Matriz Brokers'!$C:$C,0,0,1)</f>
        <v>DANIEL TEIXEIRA SIQUEIRA GONÇALVES</v>
      </c>
    </row>
    <row r="60" spans="1:15" x14ac:dyDescent="0.25">
      <c r="A60" s="4" t="str">
        <f t="shared" si="0"/>
        <v>DESPESA DE REPRESENTAÇÃO - JANTAR - TRADER - NORBERTO SUZIGAN FONSECA ALVES (153948-4120PI)</v>
      </c>
      <c r="B60" s="11">
        <v>46266</v>
      </c>
      <c r="C60" s="4">
        <v>817991</v>
      </c>
      <c r="D60" s="1" t="s">
        <v>772</v>
      </c>
      <c r="E60" s="14">
        <v>-3764</v>
      </c>
      <c r="F60" s="5" t="s">
        <v>380</v>
      </c>
      <c r="G60" s="2">
        <v>46275</v>
      </c>
      <c r="H60" s="9">
        <v>79965</v>
      </c>
      <c r="I60" s="4"/>
      <c r="J60" s="4" t="s">
        <v>380</v>
      </c>
      <c r="K60" s="7" t="s">
        <v>3046</v>
      </c>
      <c r="L60" s="1" t="s">
        <v>710</v>
      </c>
      <c r="M60" s="9" t="s">
        <v>335</v>
      </c>
      <c r="N60" s="4" t="str">
        <f>VLOOKUP(H60,Clientes!B:D,3,)</f>
        <v>BANCO HSBC S/A</v>
      </c>
      <c r="O60" t="str">
        <f>_xlfn.XLOOKUP(D60,'[1]Matriz Brokers'!$C:$C,'[1]Matriz Brokers'!$C:$C,0,0,1)</f>
        <v>PAOLO FRANCA LIDA</v>
      </c>
    </row>
    <row r="61" spans="1:15" x14ac:dyDescent="0.25">
      <c r="A61" s="4" t="str">
        <f t="shared" si="0"/>
        <v>DESPESA DE REPRESENTAÇÃO - VAN PARA ROADSHOW EM BRASÍLIA - ECONOMISTA - RAFAEL MORILHA DUARTE (164224-4120MC)</v>
      </c>
      <c r="B61" s="11">
        <v>46266</v>
      </c>
      <c r="C61" s="4">
        <v>817991</v>
      </c>
      <c r="D61" s="1" t="s">
        <v>428</v>
      </c>
      <c r="E61" s="14">
        <v>-750</v>
      </c>
      <c r="F61" s="5" t="s">
        <v>388</v>
      </c>
      <c r="G61" s="2">
        <v>46275</v>
      </c>
      <c r="H61" s="9">
        <v>12413</v>
      </c>
      <c r="I61" s="4"/>
      <c r="J61" s="4" t="s">
        <v>3047</v>
      </c>
      <c r="K61" s="7" t="s">
        <v>3048</v>
      </c>
      <c r="L61" s="1" t="s">
        <v>3049</v>
      </c>
      <c r="M61" s="9" t="s">
        <v>551</v>
      </c>
      <c r="N61" s="4" t="str">
        <f>VLOOKUP(H61,Clientes!B:D,3,)</f>
        <v>KAPITALO INVESTIMENTOS LTDA</v>
      </c>
      <c r="O61" t="str">
        <f>_xlfn.XLOOKUP(D61,'[1]Matriz Brokers'!$C:$C,'[1]Matriz Brokers'!$C:$C,0,0,1)</f>
        <v>JOSE ANTONIO DEZENE JUNIOR</v>
      </c>
    </row>
    <row r="62" spans="1:15" x14ac:dyDescent="0.25">
      <c r="A62" s="4" t="str">
        <f t="shared" si="0"/>
        <v>DESPESA DE REPRESENTAÇÃO - HAPPY HOUR - TRADER - SEAN MADISON GREGORY (083438-4120VP)</v>
      </c>
      <c r="B62" s="11">
        <v>46266</v>
      </c>
      <c r="C62" s="4">
        <v>817991</v>
      </c>
      <c r="D62" s="1" t="s">
        <v>3025</v>
      </c>
      <c r="E62" s="14">
        <v>-1894</v>
      </c>
      <c r="F62" s="5" t="s">
        <v>387</v>
      </c>
      <c r="G62" s="2">
        <v>46275</v>
      </c>
      <c r="H62" s="9">
        <v>79409</v>
      </c>
      <c r="I62" s="4"/>
      <c r="J62" s="4" t="s">
        <v>485</v>
      </c>
      <c r="K62" s="7" t="s">
        <v>3050</v>
      </c>
      <c r="L62" s="1" t="s">
        <v>392</v>
      </c>
      <c r="M62" s="9" t="s">
        <v>335</v>
      </c>
      <c r="N62" s="4" t="str">
        <f>VLOOKUP(H62,Clientes!B:D,3,)</f>
        <v>BANCO CITIBANK S/A</v>
      </c>
      <c r="O62" t="str">
        <f>_xlfn.XLOOKUP(D62,'[1]Matriz Brokers'!$C:$C,'[1]Matriz Brokers'!$C:$C,0,0,1)</f>
        <v>VICTOR FRANCISCO DOS SANTOS PRETO</v>
      </c>
    </row>
    <row r="63" spans="1:15" x14ac:dyDescent="0.25">
      <c r="A63" s="4" t="str">
        <f t="shared" si="0"/>
        <v>DESPESA DE REPRESENTAÇÃO - JANTAR - TRADER - ROBERIO SOARES NUNES (080830-4120PI)</v>
      </c>
      <c r="B63" s="11">
        <v>46266</v>
      </c>
      <c r="C63" s="4">
        <v>817991</v>
      </c>
      <c r="D63" s="1" t="s">
        <v>772</v>
      </c>
      <c r="E63" s="14">
        <v>-359</v>
      </c>
      <c r="F63" s="5" t="s">
        <v>380</v>
      </c>
      <c r="G63" s="2">
        <v>46275</v>
      </c>
      <c r="H63" s="9">
        <v>79798</v>
      </c>
      <c r="I63" s="4"/>
      <c r="J63" s="4" t="s">
        <v>380</v>
      </c>
      <c r="K63" s="7" t="s">
        <v>3051</v>
      </c>
      <c r="L63" s="1" t="s">
        <v>1993</v>
      </c>
      <c r="M63" s="9" t="s">
        <v>335</v>
      </c>
      <c r="N63" s="4" t="str">
        <f>VLOOKUP(H63,Clientes!B:D,3,)</f>
        <v>ITAU UNIBANCO S/A</v>
      </c>
      <c r="O63" t="str">
        <f>_xlfn.XLOOKUP(D63,'[1]Matriz Brokers'!$C:$C,'[1]Matriz Brokers'!$C:$C,0,0,1)</f>
        <v>PAOLO FRANCA LIDA</v>
      </c>
    </row>
    <row r="64" spans="1:15" x14ac:dyDescent="0.25">
      <c r="A64" s="4" t="str">
        <f t="shared" si="0"/>
        <v>DESPESA DE REPRESENTAÇÃO - 1/2 EVENTO KAITAI NO OIZUMI SUSHI - BROKER - HAMILTON DEL MONACO FILHO (AGENDA 44081)</v>
      </c>
      <c r="B64" s="11">
        <v>46266</v>
      </c>
      <c r="C64" s="4">
        <v>817991</v>
      </c>
      <c r="D64" s="1" t="s">
        <v>1053</v>
      </c>
      <c r="E64" s="14">
        <v>-25230</v>
      </c>
      <c r="F64" s="5" t="s">
        <v>387</v>
      </c>
      <c r="G64" s="2">
        <v>46276</v>
      </c>
      <c r="H64" s="9">
        <f>_xlfn.XLOOKUP(SET!L64,Clientes!E:E,Clientes!B:B,0,0,1)</f>
        <v>1170</v>
      </c>
      <c r="I64" s="4"/>
      <c r="J64" s="4" t="s">
        <v>3073</v>
      </c>
      <c r="K64" s="7" t="s">
        <v>3074</v>
      </c>
      <c r="L64" s="1" t="s">
        <v>1053</v>
      </c>
      <c r="M64" s="9" t="str">
        <f>_xlfn.XLOOKUP(L64,Clientes!E:E,Clientes!F:F,0,0,1)</f>
        <v>BROKER</v>
      </c>
      <c r="N64" s="4" t="str">
        <f>VLOOKUP(H64,Clientes!B:D,3,)</f>
        <v>BGC LIQUIDEZ DTVM LTDA</v>
      </c>
      <c r="O64" t="str">
        <f>_xlfn.XLOOKUP(D64,'[1]Matriz Brokers'!$C:$C,'[1]Matriz Brokers'!$C:$C,0,0,1)</f>
        <v>HAMILTON DEL MONACO FILHO</v>
      </c>
    </row>
    <row r="65" spans="1:15" x14ac:dyDescent="0.25">
      <c r="A65" s="4" t="str">
        <f t="shared" si="0"/>
        <v>DESPESA DE REPRESENTAÇÃO - CARTÃO CORPORATIVO NACIONAL - CEO - ERMINIO OLIVI LUCCI (AGENDA 44121)</v>
      </c>
      <c r="B65" s="11">
        <v>46266</v>
      </c>
      <c r="C65" s="4">
        <v>817991</v>
      </c>
      <c r="D65" s="26" t="s">
        <v>650</v>
      </c>
      <c r="E65" s="27">
        <v>-6903.1</v>
      </c>
      <c r="F65" s="28" t="s">
        <v>389</v>
      </c>
      <c r="G65" s="29">
        <v>46280</v>
      </c>
      <c r="H65" s="30">
        <f>_xlfn.XLOOKUP(SET!L65,Clientes!E:E,Clientes!B:B,0,0,1)</f>
        <v>1170</v>
      </c>
      <c r="I65" s="24"/>
      <c r="J65" s="24" t="s">
        <v>984</v>
      </c>
      <c r="K65" s="31" t="s">
        <v>3075</v>
      </c>
      <c r="L65" s="26" t="s">
        <v>650</v>
      </c>
      <c r="M65" s="30" t="str">
        <f>_xlfn.XLOOKUP(L65,Clientes!E:E,Clientes!F:F,0,0,1)</f>
        <v>CEO</v>
      </c>
      <c r="N65" s="4" t="str">
        <f>VLOOKUP(H65,Clientes!B:D,3,)</f>
        <v>BGC LIQUIDEZ DTVM LTDA</v>
      </c>
      <c r="O65" t="str">
        <f>_xlfn.XLOOKUP(D65,'[1]Matriz Brokers'!$C:$C,'[1]Matriz Brokers'!$C:$C,0,0,1)</f>
        <v>ERMINIO OLIVI LUCCI</v>
      </c>
    </row>
    <row r="66" spans="1:15" x14ac:dyDescent="0.25">
      <c r="A66" s="4" t="str">
        <f t="shared" si="0"/>
        <v>DESPESA DE REPRESENTAÇÃO - CARTÃO CORPORATIVO INTERNACIONAL - CEO - ERMINIO OLIVI LUCCI (AGENDA 44121)</v>
      </c>
      <c r="B66" s="11">
        <v>46266</v>
      </c>
      <c r="C66" s="4">
        <v>817991</v>
      </c>
      <c r="D66" s="26" t="s">
        <v>650</v>
      </c>
      <c r="E66" s="27">
        <v>-29308.400000000001</v>
      </c>
      <c r="F66" s="28" t="s">
        <v>389</v>
      </c>
      <c r="G66" s="29">
        <v>46280</v>
      </c>
      <c r="H66" s="30">
        <f>_xlfn.XLOOKUP(SET!L66,Clientes!E:E,Clientes!B:B,0,0,1)</f>
        <v>1170</v>
      </c>
      <c r="I66" s="24"/>
      <c r="J66" s="24" t="s">
        <v>983</v>
      </c>
      <c r="K66" s="31" t="s">
        <v>3075</v>
      </c>
      <c r="L66" s="26" t="s">
        <v>650</v>
      </c>
      <c r="M66" s="30" t="str">
        <f>_xlfn.XLOOKUP(L66,Clientes!E:E,Clientes!F:F,0,0,1)</f>
        <v>CEO</v>
      </c>
      <c r="N66" s="4" t="str">
        <f>VLOOKUP(H66,Clientes!B:D,3,)</f>
        <v>BGC LIQUIDEZ DTVM LTDA</v>
      </c>
      <c r="O66" t="str">
        <f>_xlfn.XLOOKUP(D66,'[1]Matriz Brokers'!$C:$C,'[1]Matriz Brokers'!$C:$C,0,0,1)</f>
        <v>ERMINIO OLIVI LUCCI</v>
      </c>
    </row>
    <row r="67" spans="1:15" x14ac:dyDescent="0.25">
      <c r="A67" s="4" t="str">
        <f t="shared" ref="A67:A130" si="1">CONCATENATE($J$1,J67,$I$3,M67,$I$3,L67,$I$1,K67,$I$2)</f>
        <v>DESPESA DE REPRESENTAÇÃO - ALMOÇO NO LOUP COM SIMONE TEBET - SALES - JOSE ANTONIO DEZENE JUNIOR (AGENDA 44121)</v>
      </c>
      <c r="B67" s="11">
        <v>46266</v>
      </c>
      <c r="C67" s="4">
        <v>817991</v>
      </c>
      <c r="D67" s="26" t="s">
        <v>428</v>
      </c>
      <c r="E67" s="27">
        <v>-4423.95</v>
      </c>
      <c r="F67" s="28" t="s">
        <v>447</v>
      </c>
      <c r="G67" s="29">
        <v>46280</v>
      </c>
      <c r="H67" s="30">
        <f>_xlfn.XLOOKUP(SET!L67,Clientes!E:E,Clientes!B:B,0,0,1)</f>
        <v>1170</v>
      </c>
      <c r="I67" s="24"/>
      <c r="J67" s="28" t="s">
        <v>3076</v>
      </c>
      <c r="K67" s="31" t="s">
        <v>3075</v>
      </c>
      <c r="L67" s="26" t="s">
        <v>428</v>
      </c>
      <c r="M67" s="30" t="str">
        <f>_xlfn.XLOOKUP(L67,Clientes!E:E,Clientes!F:F,0,0,1)</f>
        <v>SALES</v>
      </c>
      <c r="N67" s="4" t="str">
        <f>VLOOKUP(H67,Clientes!B:D,3,)</f>
        <v>BGC LIQUIDEZ DTVM LTDA</v>
      </c>
      <c r="O67" t="str">
        <f>_xlfn.XLOOKUP(D67,'[1]Matriz Brokers'!$C:$C,'[1]Matriz Brokers'!$C:$C,0,0,1)</f>
        <v>JOSE ANTONIO DEZENE JUNIOR</v>
      </c>
    </row>
    <row r="68" spans="1:15" x14ac:dyDescent="0.25">
      <c r="A68" s="4" t="str">
        <f t="shared" si="1"/>
        <v>DESPESA DE REPRESENTAÇÃO - PASSAGEM SÃO PAULO X RIO DE JANEIRO - BROKER - GUSTAVO D ELBOUX FERRIELLO (AGENDA 43944)</v>
      </c>
      <c r="B68" s="11">
        <v>46266</v>
      </c>
      <c r="C68" s="4">
        <v>817991</v>
      </c>
      <c r="D68" s="26" t="s">
        <v>615</v>
      </c>
      <c r="E68" s="27">
        <v>-1312</v>
      </c>
      <c r="F68" s="28" t="s">
        <v>388</v>
      </c>
      <c r="G68" s="29">
        <v>46280</v>
      </c>
      <c r="H68" s="30">
        <f>_xlfn.XLOOKUP(SET!L68,Clientes!E:E,Clientes!B:B,0,0,1)</f>
        <v>1170</v>
      </c>
      <c r="I68" s="24"/>
      <c r="J68" s="24" t="s">
        <v>756</v>
      </c>
      <c r="K68" s="31" t="s">
        <v>3077</v>
      </c>
      <c r="L68" s="26" t="s">
        <v>615</v>
      </c>
      <c r="M68" s="30" t="str">
        <f>_xlfn.XLOOKUP(L68,Clientes!E:E,Clientes!F:F,0,0,1)</f>
        <v>BROKER</v>
      </c>
      <c r="N68" s="4" t="str">
        <f>VLOOKUP(H68,Clientes!B:D,3,)</f>
        <v>BGC LIQUIDEZ DTVM LTDA</v>
      </c>
      <c r="O68" t="str">
        <f>_xlfn.XLOOKUP(D68,'[1]Matriz Brokers'!$C:$C,'[1]Matriz Brokers'!$C:$C,0,0,1)</f>
        <v>GUSTAVO D ELBOUX FERRIELLO</v>
      </c>
    </row>
    <row r="69" spans="1:15" x14ac:dyDescent="0.25">
      <c r="A69" s="4" t="str">
        <f t="shared" si="1"/>
        <v>DESPESA DE REPRESENTAÇÃO - PASSAGEM SÃO PAULO X RIO DE JANEIRO - BROKER - FERNANDA CORVELLO BUTRICO (AGENDA 43944)</v>
      </c>
      <c r="B69" s="11">
        <v>46266</v>
      </c>
      <c r="C69" s="4">
        <v>817991</v>
      </c>
      <c r="D69" s="26" t="s">
        <v>475</v>
      </c>
      <c r="E69" s="27">
        <v>-1498.83</v>
      </c>
      <c r="F69" s="28" t="s">
        <v>388</v>
      </c>
      <c r="G69" s="29">
        <v>46280</v>
      </c>
      <c r="H69" s="30">
        <f>_xlfn.XLOOKUP(SET!L69,Clientes!E:E,Clientes!B:B,0,0,1)</f>
        <v>1170</v>
      </c>
      <c r="I69" s="24"/>
      <c r="J69" s="24" t="s">
        <v>756</v>
      </c>
      <c r="K69" s="31" t="s">
        <v>3077</v>
      </c>
      <c r="L69" s="26" t="s">
        <v>475</v>
      </c>
      <c r="M69" s="30" t="str">
        <f>_xlfn.XLOOKUP(L69,Clientes!E:E,Clientes!F:F,0,0,1)</f>
        <v>BROKER</v>
      </c>
      <c r="N69" s="4" t="str">
        <f>VLOOKUP(H69,Clientes!B:D,3,)</f>
        <v>BGC LIQUIDEZ DTVM LTDA</v>
      </c>
      <c r="O69" t="str">
        <f>_xlfn.XLOOKUP(D69,'[1]Matriz Brokers'!$C:$C,'[1]Matriz Brokers'!$C:$C,0,0,1)</f>
        <v>FERNANDA CORVELLO BUTRICO</v>
      </c>
    </row>
    <row r="70" spans="1:15" x14ac:dyDescent="0.25">
      <c r="A70" s="4" t="str">
        <f t="shared" si="1"/>
        <v>DESPESA DE REPRESENTAÇÃO - PASSAGEM SÃO PAULO X RIO DE JANEIRO - ECONOMISTA - FELIPE DE SA TAVARES (AGENDA 43944)</v>
      </c>
      <c r="B70" s="11">
        <v>46266</v>
      </c>
      <c r="C70" s="4">
        <v>817991</v>
      </c>
      <c r="D70" s="26" t="s">
        <v>768</v>
      </c>
      <c r="E70" s="27">
        <v>-1305.02</v>
      </c>
      <c r="F70" s="28" t="s">
        <v>388</v>
      </c>
      <c r="G70" s="29">
        <v>46280</v>
      </c>
      <c r="H70" s="30">
        <f>_xlfn.XLOOKUP(SET!L70,Clientes!E:E,Clientes!B:B,0,0,1)</f>
        <v>1170</v>
      </c>
      <c r="I70" s="24"/>
      <c r="J70" s="24" t="s">
        <v>756</v>
      </c>
      <c r="K70" s="31" t="s">
        <v>3077</v>
      </c>
      <c r="L70" s="26" t="s">
        <v>768</v>
      </c>
      <c r="M70" s="30" t="str">
        <f>_xlfn.XLOOKUP(L70,Clientes!E:E,Clientes!F:F,0,0,1)</f>
        <v>ECONOMISTA</v>
      </c>
      <c r="N70" s="4" t="str">
        <f>VLOOKUP(H70,Clientes!B:D,3,)</f>
        <v>BGC LIQUIDEZ DTVM LTDA</v>
      </c>
      <c r="O70" t="str">
        <f>_xlfn.XLOOKUP(D70,'[1]Matriz Brokers'!$C:$C,'[1]Matriz Brokers'!$C:$C,0,0,1)</f>
        <v>FELIPE DE SA TAVARES</v>
      </c>
    </row>
    <row r="71" spans="1:15" x14ac:dyDescent="0.25">
      <c r="A71" s="4" t="str">
        <f t="shared" si="1"/>
        <v>DESPESA DE REPRESENTAÇÃO - PASSAGEM SÃO PAULO X BRASÍLIA - SALES - MARCELLE DA SILVEIRA GIL CADILHE (AGENDA 43944)</v>
      </c>
      <c r="B71" s="11">
        <v>46266</v>
      </c>
      <c r="C71" s="4">
        <v>817991</v>
      </c>
      <c r="D71" s="26" t="s">
        <v>428</v>
      </c>
      <c r="E71" s="27">
        <v>-3104.41</v>
      </c>
      <c r="F71" s="28" t="s">
        <v>388</v>
      </c>
      <c r="G71" s="29">
        <v>46280</v>
      </c>
      <c r="H71" s="30">
        <f>_xlfn.XLOOKUP(SET!L71,Clientes!E:E,Clientes!B:B,0,0,1)</f>
        <v>1170</v>
      </c>
      <c r="I71" s="24"/>
      <c r="J71" s="24" t="s">
        <v>1065</v>
      </c>
      <c r="K71" s="31" t="s">
        <v>3077</v>
      </c>
      <c r="L71" s="26" t="s">
        <v>658</v>
      </c>
      <c r="M71" s="30" t="str">
        <f>_xlfn.XLOOKUP(L71,Clientes!E:E,Clientes!F:F,0,0,1)</f>
        <v>SALES</v>
      </c>
      <c r="N71" s="4" t="str">
        <f>VLOOKUP(H71,Clientes!B:D,3,)</f>
        <v>BGC LIQUIDEZ DTVM LTDA</v>
      </c>
      <c r="O71" t="str">
        <f>_xlfn.XLOOKUP(D71,'[1]Matriz Brokers'!$C:$C,'[1]Matriz Brokers'!$C:$C,0,0,1)</f>
        <v>JOSE ANTONIO DEZENE JUNIOR</v>
      </c>
    </row>
    <row r="72" spans="1:15" x14ac:dyDescent="0.25">
      <c r="A72" s="4" t="str">
        <f t="shared" si="1"/>
        <v>DESPESA DE REPRESENTAÇÃO - PASSAGEM SÃO PAULO X RIO DE JANEIRO - BROKER - CHRISTIANO MARCONDES DE BARROS LIMA (AGENDA 43944)</v>
      </c>
      <c r="B72" s="11">
        <v>46266</v>
      </c>
      <c r="C72" s="4">
        <v>817991</v>
      </c>
      <c r="D72" s="26" t="s">
        <v>60</v>
      </c>
      <c r="E72" s="27">
        <v>-269.14999999999998</v>
      </c>
      <c r="F72" s="28" t="s">
        <v>388</v>
      </c>
      <c r="G72" s="29">
        <v>46280</v>
      </c>
      <c r="H72" s="30">
        <f>_xlfn.XLOOKUP(SET!L72,Clientes!E:E,Clientes!B:B,0,0,1)</f>
        <v>1170</v>
      </c>
      <c r="I72" s="24"/>
      <c r="J72" s="24" t="s">
        <v>756</v>
      </c>
      <c r="K72" s="31" t="s">
        <v>3077</v>
      </c>
      <c r="L72" s="26" t="s">
        <v>60</v>
      </c>
      <c r="M72" s="30" t="str">
        <f>_xlfn.XLOOKUP(L72,Clientes!E:E,Clientes!F:F,0,0,1)</f>
        <v>BROKER</v>
      </c>
      <c r="N72" s="4" t="str">
        <f>VLOOKUP(H72,Clientes!B:D,3,)</f>
        <v>BGC LIQUIDEZ DTVM LTDA</v>
      </c>
      <c r="O72" t="str">
        <f>_xlfn.XLOOKUP(D72,'[1]Matriz Brokers'!$C:$C,'[1]Matriz Brokers'!$C:$C,0,0,1)</f>
        <v>CHRISTIANO MARCONDES DE BARROS LIMA</v>
      </c>
    </row>
    <row r="73" spans="1:15" x14ac:dyDescent="0.25">
      <c r="A73" s="4" t="str">
        <f t="shared" si="1"/>
        <v>DESPESA DE REPRESENTAÇÃO - PASSAGEM SÃO PAULO X RIO DE JANEIRO - BROKER - CHRISTIANO MARCONDES DE BARROS LIMA (AGENDA 43944)</v>
      </c>
      <c r="B73" s="11">
        <v>46266</v>
      </c>
      <c r="C73" s="4">
        <v>817991</v>
      </c>
      <c r="D73" s="26" t="s">
        <v>60</v>
      </c>
      <c r="E73" s="27">
        <v>-828.67</v>
      </c>
      <c r="F73" s="28" t="s">
        <v>388</v>
      </c>
      <c r="G73" s="29">
        <v>46280</v>
      </c>
      <c r="H73" s="30">
        <f>_xlfn.XLOOKUP(SET!L73,Clientes!E:E,Clientes!B:B,0,0,1)</f>
        <v>1170</v>
      </c>
      <c r="I73" s="24"/>
      <c r="J73" s="24" t="s">
        <v>756</v>
      </c>
      <c r="K73" s="31" t="s">
        <v>3077</v>
      </c>
      <c r="L73" s="26" t="s">
        <v>60</v>
      </c>
      <c r="M73" s="30" t="str">
        <f>_xlfn.XLOOKUP(L73,Clientes!E:E,Clientes!F:F,0,0,1)</f>
        <v>BROKER</v>
      </c>
      <c r="N73" s="4" t="str">
        <f>VLOOKUP(H73,Clientes!B:D,3,)</f>
        <v>BGC LIQUIDEZ DTVM LTDA</v>
      </c>
      <c r="O73" t="str">
        <f>_xlfn.XLOOKUP(D73,'[1]Matriz Brokers'!$C:$C,'[1]Matriz Brokers'!$C:$C,0,0,1)</f>
        <v>CHRISTIANO MARCONDES DE BARROS LIMA</v>
      </c>
    </row>
    <row r="74" spans="1:15" x14ac:dyDescent="0.25">
      <c r="A74" s="4" t="str">
        <f t="shared" si="1"/>
        <v>DESPESA DE REPRESENTAÇÃO - PASSAGEM SÃO PAULO X RIO DE JANEIRO - BROKER - RODRIGO ZARKO VITAL BRASIL (AGENDA 43944)</v>
      </c>
      <c r="B74" s="11">
        <v>46266</v>
      </c>
      <c r="C74" s="4">
        <v>817991</v>
      </c>
      <c r="D74" s="26" t="s">
        <v>60</v>
      </c>
      <c r="E74" s="27">
        <v>-953.92</v>
      </c>
      <c r="F74" s="28" t="s">
        <v>388</v>
      </c>
      <c r="G74" s="29">
        <v>46280</v>
      </c>
      <c r="H74" s="30">
        <f>_xlfn.XLOOKUP(SET!L74,Clientes!E:E,Clientes!B:B,0,0,1)</f>
        <v>1170</v>
      </c>
      <c r="I74" s="24"/>
      <c r="J74" s="24" t="s">
        <v>756</v>
      </c>
      <c r="K74" s="31" t="s">
        <v>3077</v>
      </c>
      <c r="L74" s="26" t="s">
        <v>672</v>
      </c>
      <c r="M74" s="30" t="str">
        <f>_xlfn.XLOOKUP(L74,Clientes!E:E,Clientes!F:F,0,0,1)</f>
        <v>BROKER</v>
      </c>
      <c r="N74" s="4" t="str">
        <f>VLOOKUP(H74,Clientes!B:D,3,)</f>
        <v>BGC LIQUIDEZ DTVM LTDA</v>
      </c>
      <c r="O74" t="str">
        <f>_xlfn.XLOOKUP(D74,'[1]Matriz Brokers'!$C:$C,'[1]Matriz Brokers'!$C:$C,0,0,1)</f>
        <v>CHRISTIANO MARCONDES DE BARROS LIMA</v>
      </c>
    </row>
    <row r="75" spans="1:15" x14ac:dyDescent="0.25">
      <c r="A75" s="4" t="str">
        <f t="shared" si="1"/>
        <v>DESPESA DE REPRESENTAÇÃO - PASSAGEM SÃO PAULO X RIO DE JANEIRO - BROKER - JOSE MAURICIO GOMES TEIXEIRA (AGENDA 43944)</v>
      </c>
      <c r="B75" s="11">
        <v>46266</v>
      </c>
      <c r="C75" s="4">
        <v>817991</v>
      </c>
      <c r="D75" s="26" t="s">
        <v>23</v>
      </c>
      <c r="E75" s="27">
        <v>-548.13</v>
      </c>
      <c r="F75" s="28" t="s">
        <v>388</v>
      </c>
      <c r="G75" s="29">
        <v>46280</v>
      </c>
      <c r="H75" s="30">
        <f>_xlfn.XLOOKUP(SET!L75,Clientes!E:E,Clientes!B:B,0,0,1)</f>
        <v>1170</v>
      </c>
      <c r="I75" s="24"/>
      <c r="J75" s="24" t="s">
        <v>756</v>
      </c>
      <c r="K75" s="31" t="s">
        <v>3077</v>
      </c>
      <c r="L75" s="26" t="s">
        <v>23</v>
      </c>
      <c r="M75" s="30" t="str">
        <f>_xlfn.XLOOKUP(L75,Clientes!E:E,Clientes!F:F,0,0,1)</f>
        <v>BROKER</v>
      </c>
      <c r="N75" s="4" t="str">
        <f>VLOOKUP(H75,Clientes!B:D,3,)</f>
        <v>BGC LIQUIDEZ DTVM LTDA</v>
      </c>
      <c r="O75" t="str">
        <f>_xlfn.XLOOKUP(D75,'[1]Matriz Brokers'!$C:$C,'[1]Matriz Brokers'!$C:$C,0,0,1)</f>
        <v>JOSE MAURICIO GOMES TEIXEIRA</v>
      </c>
    </row>
    <row r="76" spans="1:15" x14ac:dyDescent="0.25">
      <c r="A76" s="4" t="str">
        <f t="shared" si="1"/>
        <v>DESPESA DE REPRESENTAÇÃO - PASSAGEM SÃO PAULO X CURITIBA - BROKER - JOSÉ VERGARA (AGENDA 44078)</v>
      </c>
      <c r="B76" s="11">
        <v>46266</v>
      </c>
      <c r="C76" s="4">
        <v>817991</v>
      </c>
      <c r="D76" s="1" t="s">
        <v>459</v>
      </c>
      <c r="E76" s="14">
        <v>-1891.6</v>
      </c>
      <c r="F76" s="5" t="s">
        <v>388</v>
      </c>
      <c r="G76" s="2">
        <v>46281</v>
      </c>
      <c r="H76" s="9">
        <f>_xlfn.XLOOKUP(SET!L76,Clientes!E:E,Clientes!B:B,0,0,1)</f>
        <v>1170</v>
      </c>
      <c r="I76" s="4"/>
      <c r="J76" s="5" t="s">
        <v>2707</v>
      </c>
      <c r="K76" s="7" t="s">
        <v>3078</v>
      </c>
      <c r="L76" s="1" t="s">
        <v>459</v>
      </c>
      <c r="M76" s="9" t="str">
        <f>_xlfn.XLOOKUP(L76,Clientes!E:E,Clientes!F:F,0,0,1)</f>
        <v>BROKER</v>
      </c>
      <c r="N76" s="4" t="str">
        <f>VLOOKUP(H76,Clientes!B:D,3,)</f>
        <v>BGC LIQUIDEZ DTVM LTDA</v>
      </c>
      <c r="O76" t="str">
        <f>_xlfn.XLOOKUP(D76,'[1]Matriz Brokers'!$C:$C,'[1]Matriz Brokers'!$C:$C,0,0,1)</f>
        <v>JOSÉ VERGARA</v>
      </c>
    </row>
    <row r="77" spans="1:15" x14ac:dyDescent="0.25">
      <c r="A77" s="4" t="str">
        <f t="shared" si="1"/>
        <v>DESPESA DE REPRESENTAÇÃO - ESTACIONAMENTO - BROKER - ROBERT HENDRIK SCHARRINGA (131759-4185RS)</v>
      </c>
      <c r="B77" s="11">
        <v>46266</v>
      </c>
      <c r="C77" s="4">
        <v>817991</v>
      </c>
      <c r="D77" s="1" t="s">
        <v>769</v>
      </c>
      <c r="E77" s="14">
        <v>-70</v>
      </c>
      <c r="F77" s="5" t="s">
        <v>388</v>
      </c>
      <c r="G77" s="2">
        <v>46282</v>
      </c>
      <c r="H77" s="9">
        <f>_xlfn.XLOOKUP(SET!L77,Clientes!E:E,Clientes!B:B,0,0,1)</f>
        <v>1170</v>
      </c>
      <c r="I77" s="4"/>
      <c r="J77" s="5" t="s">
        <v>3079</v>
      </c>
      <c r="K77" s="7" t="s">
        <v>3080</v>
      </c>
      <c r="L77" s="1" t="s">
        <v>769</v>
      </c>
      <c r="M77" s="9" t="str">
        <f>_xlfn.XLOOKUP(L77,Clientes!E:E,Clientes!F:F,0,0,1)</f>
        <v>BROKER</v>
      </c>
      <c r="N77" s="4" t="str">
        <f>VLOOKUP(H77,Clientes!B:D,3,)</f>
        <v>BGC LIQUIDEZ DTVM LTDA</v>
      </c>
      <c r="O77" t="str">
        <f>_xlfn.XLOOKUP(D77,'[1]Matriz Brokers'!$C:$C,'[1]Matriz Brokers'!$C:$C,0,0,1)</f>
        <v>ROBERT HENDRIK SCHARRINGA</v>
      </c>
    </row>
    <row r="78" spans="1:15" x14ac:dyDescent="0.25">
      <c r="A78" s="4" t="str">
        <f t="shared" si="1"/>
        <v>DESPESA DE REPRESENTAÇÃO - ALMOÇOS COM CLIENTES - BROKER - ROBERT HENDRIK SCHARRINGA (131122-4185RS)</v>
      </c>
      <c r="B78" s="11">
        <v>46266</v>
      </c>
      <c r="C78" s="4">
        <v>817991</v>
      </c>
      <c r="D78" s="1" t="s">
        <v>769</v>
      </c>
      <c r="E78" s="14">
        <v>-2056.96</v>
      </c>
      <c r="F78" s="5" t="s">
        <v>447</v>
      </c>
      <c r="G78" s="2">
        <v>46282</v>
      </c>
      <c r="H78" s="9">
        <f>_xlfn.XLOOKUP(SET!L78,Clientes!E:E,Clientes!B:B,0,0,1)</f>
        <v>1170</v>
      </c>
      <c r="I78" s="4"/>
      <c r="J78" s="5" t="s">
        <v>3082</v>
      </c>
      <c r="K78" s="7" t="s">
        <v>3081</v>
      </c>
      <c r="L78" s="1" t="s">
        <v>769</v>
      </c>
      <c r="M78" s="9" t="str">
        <f>_xlfn.XLOOKUP(L78,Clientes!E:E,Clientes!F:F,0,0,1)</f>
        <v>BROKER</v>
      </c>
      <c r="N78" s="4" t="str">
        <f>VLOOKUP(H78,Clientes!B:D,3,)</f>
        <v>BGC LIQUIDEZ DTVM LTDA</v>
      </c>
      <c r="O78" t="str">
        <f>_xlfn.XLOOKUP(D78,'[1]Matriz Brokers'!$C:$C,'[1]Matriz Brokers'!$C:$C,0,0,1)</f>
        <v>ROBERT HENDRIK SCHARRINGA</v>
      </c>
    </row>
    <row r="79" spans="1:15" x14ac:dyDescent="0.25">
      <c r="A79" s="4" t="str">
        <f t="shared" si="1"/>
        <v>DESPESA DE REPRESENTAÇÃO - UBER - BROKER - ROBERT HENDRIK SCHARRINGA (132208-4185RS)</v>
      </c>
      <c r="B79" s="11">
        <v>46266</v>
      </c>
      <c r="C79" s="4">
        <v>817991</v>
      </c>
      <c r="D79" s="1" t="s">
        <v>769</v>
      </c>
      <c r="E79" s="14">
        <v>-224.63</v>
      </c>
      <c r="F79" s="5" t="s">
        <v>388</v>
      </c>
      <c r="G79" s="2">
        <v>46282</v>
      </c>
      <c r="H79" s="9">
        <f>_xlfn.XLOOKUP(SET!L79,Clientes!E:E,Clientes!B:B,0,0,1)</f>
        <v>1170</v>
      </c>
      <c r="I79" s="4"/>
      <c r="J79" s="5" t="s">
        <v>659</v>
      </c>
      <c r="K79" s="7" t="s">
        <v>3083</v>
      </c>
      <c r="L79" s="1" t="s">
        <v>769</v>
      </c>
      <c r="M79" s="9" t="str">
        <f>_xlfn.XLOOKUP(L79,Clientes!E:E,Clientes!F:F,0,0,1)</f>
        <v>BROKER</v>
      </c>
      <c r="N79" s="4" t="str">
        <f>VLOOKUP(H79,Clientes!B:D,3,)</f>
        <v>BGC LIQUIDEZ DTVM LTDA</v>
      </c>
      <c r="O79" t="str">
        <f>_xlfn.XLOOKUP(D79,'[1]Matriz Brokers'!$C:$C,'[1]Matriz Brokers'!$C:$C,0,0,1)</f>
        <v>ROBERT HENDRIK SCHARRINGA</v>
      </c>
    </row>
    <row r="80" spans="1:15" x14ac:dyDescent="0.25">
      <c r="A80" s="4" t="str">
        <f t="shared" si="1"/>
        <v>DESPESA DE REPRESENTAÇÃO - JANTAR - TRADER - MARCOS DE CASTRO LOPEZ (101308-4185GF)</v>
      </c>
      <c r="B80" s="11">
        <v>46266</v>
      </c>
      <c r="C80" s="4">
        <v>817991</v>
      </c>
      <c r="D80" s="1" t="s">
        <v>615</v>
      </c>
      <c r="E80" s="14">
        <v>-168</v>
      </c>
      <c r="F80" s="5" t="s">
        <v>380</v>
      </c>
      <c r="G80" s="2">
        <v>46282</v>
      </c>
      <c r="H80" s="9">
        <f>_xlfn.XLOOKUP(SET!L80,Clientes!E:E,Clientes!B:B,0,0,1)</f>
        <v>12413</v>
      </c>
      <c r="I80" s="4"/>
      <c r="J80" s="5" t="s">
        <v>380</v>
      </c>
      <c r="K80" s="7" t="s">
        <v>3084</v>
      </c>
      <c r="L80" s="1" t="s">
        <v>618</v>
      </c>
      <c r="M80" s="9" t="str">
        <f>_xlfn.XLOOKUP(L80,Clientes!E:E,Clientes!F:F,0,0,1)</f>
        <v>TRADER</v>
      </c>
      <c r="N80" s="4" t="str">
        <f>VLOOKUP(H80,Clientes!B:D,3,)</f>
        <v>KAPITALO INVESTIMENTOS LTDA</v>
      </c>
      <c r="O80" t="str">
        <f>_xlfn.XLOOKUP(D80,'[1]Matriz Brokers'!$C:$C,'[1]Matriz Brokers'!$C:$C,0,0,1)</f>
        <v>GUSTAVO D ELBOUX FERRIELLO</v>
      </c>
    </row>
    <row r="81" spans="1:15" x14ac:dyDescent="0.25">
      <c r="A81" s="4" t="str">
        <f t="shared" si="1"/>
        <v>DESPESA DE REPRESENTAÇÃO - ALMOÇO - TRADER - GUILHERME PACHECO (100626-4185GF)</v>
      </c>
      <c r="B81" s="11">
        <v>46266</v>
      </c>
      <c r="C81" s="4">
        <v>817991</v>
      </c>
      <c r="D81" s="39" t="s">
        <v>615</v>
      </c>
      <c r="E81" s="40">
        <v>-2762.3</v>
      </c>
      <c r="F81" s="41" t="s">
        <v>447</v>
      </c>
      <c r="G81" s="42">
        <v>46282</v>
      </c>
      <c r="H81" s="43">
        <f>_xlfn.XLOOKUP(SET!L81,Clientes!E:E,Clientes!B:B,0,0,1)</f>
        <v>15781</v>
      </c>
      <c r="I81" s="44"/>
      <c r="J81" s="41" t="s">
        <v>447</v>
      </c>
      <c r="K81" s="45" t="s">
        <v>3085</v>
      </c>
      <c r="L81" s="39" t="s">
        <v>949</v>
      </c>
      <c r="M81" s="43" t="str">
        <f>_xlfn.XLOOKUP(L81,Clientes!E:E,Clientes!F:F,0,0,1)</f>
        <v>TRADER</v>
      </c>
      <c r="N81" s="4" t="str">
        <f>VLOOKUP(H81,Clientes!B:D,3,)</f>
        <v>BANCO SAFRA S/A</v>
      </c>
      <c r="O81" t="str">
        <f>_xlfn.XLOOKUP(D81,'[1]Matriz Brokers'!$C:$C,'[1]Matriz Brokers'!$C:$C,0,0,1)</f>
        <v>GUSTAVO D ELBOUX FERRIELLO</v>
      </c>
    </row>
    <row r="82" spans="1:15" x14ac:dyDescent="0.25">
      <c r="A82" s="4" t="str">
        <f t="shared" si="1"/>
        <v>DESPESA DE REPRESENTAÇÃO - HAPPY HOUR - TRADER - GUILHERME NOGUEIRA (163110-4185EC)</v>
      </c>
      <c r="B82" s="11">
        <v>46266</v>
      </c>
      <c r="C82" s="4">
        <v>817991</v>
      </c>
      <c r="D82" s="1" t="s">
        <v>647</v>
      </c>
      <c r="E82" s="14">
        <v>-1975</v>
      </c>
      <c r="F82" s="5" t="s">
        <v>387</v>
      </c>
      <c r="G82" s="2">
        <v>46282</v>
      </c>
      <c r="H82" s="9">
        <v>83024</v>
      </c>
      <c r="I82" s="4"/>
      <c r="J82" s="5" t="s">
        <v>485</v>
      </c>
      <c r="K82" s="7" t="s">
        <v>3086</v>
      </c>
      <c r="L82" s="1" t="s">
        <v>3087</v>
      </c>
      <c r="M82" s="9" t="s">
        <v>335</v>
      </c>
      <c r="N82" s="4" t="str">
        <f>VLOOKUP(H82,Clientes!B:D,3,)</f>
        <v>ITAU UNIBANCO ASSET MANAGEMENT LTDA</v>
      </c>
      <c r="O82" t="str">
        <f>_xlfn.XLOOKUP(D82,'[1]Matriz Brokers'!$C:$C,'[1]Matriz Brokers'!$C:$C,0,0,1)</f>
        <v>ENRICO BORTPLUZO CASSIANO</v>
      </c>
    </row>
    <row r="83" spans="1:15" ht="13.5" customHeight="1" x14ac:dyDescent="0.25">
      <c r="A83" s="4" t="str">
        <f t="shared" si="1"/>
        <v>DESPESA DE REPRESENTAÇÃO - ALMOÇO - TRADER - GABRIEL GODOY CAMILO (091054-4185PI)</v>
      </c>
      <c r="B83" s="11">
        <v>46266</v>
      </c>
      <c r="C83" s="4">
        <v>817991</v>
      </c>
      <c r="D83" s="1" t="s">
        <v>772</v>
      </c>
      <c r="E83" s="14">
        <v>-1377</v>
      </c>
      <c r="F83" s="5" t="s">
        <v>447</v>
      </c>
      <c r="G83" s="2">
        <v>46282</v>
      </c>
      <c r="H83" s="9">
        <f>_xlfn.XLOOKUP(SET!L83,Clientes!E:E,Clientes!B:B,0,0,1)</f>
        <v>79407</v>
      </c>
      <c r="I83" s="4"/>
      <c r="J83" s="5" t="s">
        <v>447</v>
      </c>
      <c r="K83" s="9" t="s">
        <v>3088</v>
      </c>
      <c r="L83" s="1" t="s">
        <v>1507</v>
      </c>
      <c r="M83" s="9" t="str">
        <f>_xlfn.XLOOKUP(L83,Clientes!E:E,Clientes!F:F,0,0,1)</f>
        <v>TRADER</v>
      </c>
      <c r="N83" s="4" t="str">
        <f>VLOOKUP(H83,Clientes!B:D,3,)</f>
        <v>BANCO MORGAN STANLEY S/A</v>
      </c>
      <c r="O83" t="str">
        <f>_xlfn.XLOOKUP(D83,'[1]Matriz Brokers'!$C:$C,'[1]Matriz Brokers'!$C:$C,0,0,1)</f>
        <v>PAOLO FRANCA LIDA</v>
      </c>
    </row>
    <row r="84" spans="1:15" x14ac:dyDescent="0.25">
      <c r="A84" s="4" t="str">
        <f t="shared" si="1"/>
        <v>DESPESA DE REPRESENTAÇÃO - ALMOÇO COM WARREN BRASIL - TRADER - GABRIEL KRAUSS (173143-4185EC)</v>
      </c>
      <c r="B84" s="11">
        <v>46266</v>
      </c>
      <c r="C84" s="4">
        <v>817991</v>
      </c>
      <c r="D84" s="1" t="s">
        <v>647</v>
      </c>
      <c r="E84" s="14">
        <v>-422</v>
      </c>
      <c r="F84" s="5" t="s">
        <v>447</v>
      </c>
      <c r="G84" s="2">
        <v>46282</v>
      </c>
      <c r="H84" s="9">
        <v>1170</v>
      </c>
      <c r="I84" s="4"/>
      <c r="J84" s="5" t="s">
        <v>3090</v>
      </c>
      <c r="K84" s="7" t="s">
        <v>3089</v>
      </c>
      <c r="L84" s="1" t="s">
        <v>3091</v>
      </c>
      <c r="M84" s="9" t="s">
        <v>335</v>
      </c>
      <c r="N84" s="4" t="str">
        <f>VLOOKUP(H84,Clientes!B:D,3,)</f>
        <v>BGC LIQUIDEZ DTVM LTDA</v>
      </c>
      <c r="O84" t="str">
        <f>_xlfn.XLOOKUP(D84,'[1]Matriz Brokers'!$C:$C,'[1]Matriz Brokers'!$C:$C,0,0,1)</f>
        <v>ENRICO BORTPLUZO CASSIANO</v>
      </c>
    </row>
    <row r="85" spans="1:15" x14ac:dyDescent="0.25">
      <c r="A85" s="4" t="str">
        <f t="shared" si="1"/>
        <v>DESPESA DE REPRESENTAÇÃO - ALMOÇO - TRADER - ANDRE ELIAS VAZQUEZ FADUL (135940-4185JT)</v>
      </c>
      <c r="B85" s="11">
        <v>46266</v>
      </c>
      <c r="C85" s="4">
        <v>817991</v>
      </c>
      <c r="D85" s="1" t="s">
        <v>23</v>
      </c>
      <c r="E85" s="14">
        <v>-1156</v>
      </c>
      <c r="F85" s="5" t="s">
        <v>447</v>
      </c>
      <c r="G85" s="2">
        <v>46282</v>
      </c>
      <c r="H85" s="9">
        <f>_xlfn.XLOOKUP(SET!L85,Clientes!E:E,Clientes!B:B,0,0,1)</f>
        <v>81767</v>
      </c>
      <c r="I85" s="4"/>
      <c r="J85" s="5" t="s">
        <v>447</v>
      </c>
      <c r="K85" s="7" t="s">
        <v>3092</v>
      </c>
      <c r="L85" s="1" t="s">
        <v>264</v>
      </c>
      <c r="M85" s="9" t="str">
        <f>_xlfn.XLOOKUP(L85,Clientes!E:E,Clientes!F:F,0,0,1)</f>
        <v>TRADER</v>
      </c>
      <c r="N85" s="4" t="str">
        <f>VLOOKUP(H85,Clientes!B:D,3,)</f>
        <v>SAFRA DISTRIBUIDORA DE TITULOS E VALORES MOBILIARIOS LTDA.</v>
      </c>
      <c r="O85" t="str">
        <f>_xlfn.XLOOKUP(D85,'[1]Matriz Brokers'!$C:$C,'[1]Matriz Brokers'!$C:$C,0,0,1)</f>
        <v>JOSE MAURICIO GOMES TEIXEIRA</v>
      </c>
    </row>
    <row r="86" spans="1:15" x14ac:dyDescent="0.25">
      <c r="A86" s="4" t="str">
        <f t="shared" si="1"/>
        <v>DESPESA DE REPRESENTAÇÃO - ALMOÇO - TRADER - CARLOS R DE MENEZES JUNIOR (143538-4185RR)</v>
      </c>
      <c r="B86" s="11">
        <v>46266</v>
      </c>
      <c r="C86" s="4">
        <v>817991</v>
      </c>
      <c r="D86" s="1" t="s">
        <v>604</v>
      </c>
      <c r="E86" s="14">
        <v>-1759.41</v>
      </c>
      <c r="F86" s="5" t="s">
        <v>447</v>
      </c>
      <c r="G86" s="2">
        <v>46282</v>
      </c>
      <c r="H86" s="9">
        <f>_xlfn.XLOOKUP(SET!L86,Clientes!E:E,Clientes!B:B,0,0,1)</f>
        <v>79258</v>
      </c>
      <c r="I86" s="4"/>
      <c r="J86" s="5" t="s">
        <v>447</v>
      </c>
      <c r="K86" s="7" t="s">
        <v>3093</v>
      </c>
      <c r="L86" s="1" t="s">
        <v>362</v>
      </c>
      <c r="M86" s="9" t="str">
        <f>_xlfn.XLOOKUP(L86,Clientes!E:E,Clientes!F:F,0,0,1)</f>
        <v>TRADER</v>
      </c>
      <c r="N86" s="4" t="str">
        <f>VLOOKUP(H86,Clientes!B:D,3,)</f>
        <v>ITAU UNIBANCO S/A</v>
      </c>
      <c r="O86" t="str">
        <f>_xlfn.XLOOKUP(D86,'[1]Matriz Brokers'!$C:$C,'[1]Matriz Brokers'!$C:$C,0,0,1)</f>
        <v>RICARDO ANDRE VASCONCELOS RAMOS</v>
      </c>
    </row>
    <row r="87" spans="1:15" x14ac:dyDescent="0.25">
      <c r="A87" s="4" t="str">
        <f t="shared" si="1"/>
        <v>DESPESA DE REPRESENTAÇÃO - JANTAR - TRADER - BRUNO B PEROTTONI (124518-4185JV)</v>
      </c>
      <c r="B87" s="11">
        <v>46266</v>
      </c>
      <c r="C87" s="4">
        <v>817991</v>
      </c>
      <c r="D87" s="1" t="s">
        <v>459</v>
      </c>
      <c r="E87" s="14">
        <v>-1523.78</v>
      </c>
      <c r="F87" s="5" t="s">
        <v>380</v>
      </c>
      <c r="G87" s="2">
        <v>46282</v>
      </c>
      <c r="H87" s="9">
        <f>_xlfn.XLOOKUP(SET!L87,Clientes!E:E,Clientes!B:B,0,0,1)</f>
        <v>81794</v>
      </c>
      <c r="I87" s="4"/>
      <c r="J87" s="5" t="s">
        <v>380</v>
      </c>
      <c r="K87" s="7" t="s">
        <v>3094</v>
      </c>
      <c r="L87" s="1" t="s">
        <v>226</v>
      </c>
      <c r="M87" s="9" t="str">
        <f>_xlfn.XLOOKUP(L87,Clientes!E:E,Clientes!F:F,0,0,1)</f>
        <v>TRADER</v>
      </c>
      <c r="N87" s="4" t="str">
        <f>VLOOKUP(H87,Clientes!B:D,3,)</f>
        <v>BRAZA BANK S/A BANCO DE CAMBIO</v>
      </c>
      <c r="O87" t="str">
        <f>_xlfn.XLOOKUP(D87,'[1]Matriz Brokers'!$C:$C,'[1]Matriz Brokers'!$C:$C,0,0,1)</f>
        <v>JOSÉ VERGARA</v>
      </c>
    </row>
    <row r="88" spans="1:15" x14ac:dyDescent="0.25">
      <c r="A88" s="4" t="str">
        <f t="shared" si="1"/>
        <v>DESPESA DE REPRESENTAÇÃO - ALMOÇO - TRADER - LUCAS TERAMOSSI (124459-4185RC)</v>
      </c>
      <c r="B88" s="11">
        <v>46266</v>
      </c>
      <c r="C88" s="4">
        <v>817991</v>
      </c>
      <c r="D88" s="1" t="s">
        <v>646</v>
      </c>
      <c r="E88" s="14">
        <v>-1306</v>
      </c>
      <c r="F88" s="5" t="s">
        <v>447</v>
      </c>
      <c r="G88" s="2">
        <v>46282</v>
      </c>
      <c r="H88" s="9">
        <v>79978</v>
      </c>
      <c r="I88" s="4"/>
      <c r="J88" s="5" t="s">
        <v>447</v>
      </c>
      <c r="K88" s="7" t="s">
        <v>3095</v>
      </c>
      <c r="L88" s="1" t="s">
        <v>3096</v>
      </c>
      <c r="M88" s="9" t="s">
        <v>335</v>
      </c>
      <c r="N88" s="4" t="str">
        <f>VLOOKUP(H88,Clientes!B:D,3,)</f>
        <v>CREDIT SUISSE (BRASIL) S/A CTVM</v>
      </c>
      <c r="O88" t="str">
        <f>_xlfn.XLOOKUP(D88,'[1]Matriz Brokers'!$C:$C,'[1]Matriz Brokers'!$C:$C,0,0,1)</f>
        <v>RAFAEL TENORIO CAVALCANTI</v>
      </c>
    </row>
    <row r="89" spans="1:15" x14ac:dyDescent="0.25">
      <c r="A89" s="4" t="str">
        <f t="shared" si="1"/>
        <v>DESPESA DE REPRESENTAÇÃO - JANTAR - TRADER - GUSTAVO MENDES (083907-4120VP)</v>
      </c>
      <c r="B89" s="11">
        <v>46266</v>
      </c>
      <c r="C89" s="4">
        <v>817991</v>
      </c>
      <c r="D89" s="1" t="s">
        <v>624</v>
      </c>
      <c r="E89" s="14">
        <v>-1134</v>
      </c>
      <c r="F89" s="5" t="s">
        <v>380</v>
      </c>
      <c r="G89" s="2">
        <v>46282</v>
      </c>
      <c r="H89" s="9" t="s">
        <v>3148</v>
      </c>
      <c r="I89" s="4"/>
      <c r="J89" s="5" t="s">
        <v>380</v>
      </c>
      <c r="K89" s="7" t="s">
        <v>3097</v>
      </c>
      <c r="L89" s="1" t="s">
        <v>1737</v>
      </c>
      <c r="M89" s="9" t="s">
        <v>335</v>
      </c>
      <c r="N89" s="4" t="e">
        <f>VLOOKUP(H89,Clientes!B:D,3,)</f>
        <v>#N/A</v>
      </c>
      <c r="O89" t="str">
        <f>_xlfn.XLOOKUP(D89,'[1]Matriz Brokers'!$C:$C,'[1]Matriz Brokers'!$C:$C,0,0,1)</f>
        <v>ALEXANDRE DA COSTA SOARES</v>
      </c>
    </row>
    <row r="90" spans="1:15" x14ac:dyDescent="0.25">
      <c r="A90" s="4" t="str">
        <f t="shared" si="1"/>
        <v>DESPESA DE REPRESENTAÇÃO - ALMOÇO - TRADER - LEONARDO (143129-4120RR)</v>
      </c>
      <c r="B90" s="11">
        <v>46266</v>
      </c>
      <c r="C90" s="4">
        <v>817991</v>
      </c>
      <c r="D90" s="1" t="s">
        <v>604</v>
      </c>
      <c r="E90" s="14">
        <v>-682.52</v>
      </c>
      <c r="F90" s="5" t="s">
        <v>447</v>
      </c>
      <c r="G90" s="2">
        <v>46282</v>
      </c>
      <c r="H90" s="9">
        <v>82963</v>
      </c>
      <c r="I90" s="4"/>
      <c r="J90" s="4" t="s">
        <v>447</v>
      </c>
      <c r="K90" s="7" t="s">
        <v>3098</v>
      </c>
      <c r="L90" s="1" t="s">
        <v>3099</v>
      </c>
      <c r="M90" s="9" t="s">
        <v>335</v>
      </c>
      <c r="N90" s="4" t="str">
        <f>VLOOKUP(H90,Clientes!B:D,3,)</f>
        <v>BANCO DAYCOVAL S/A</v>
      </c>
      <c r="O90" t="str">
        <f>_xlfn.XLOOKUP(D90,'[1]Matriz Brokers'!$C:$C,'[1]Matriz Brokers'!$C:$C,0,0,1)</f>
        <v>RICARDO ANDRE VASCONCELOS RAMOS</v>
      </c>
    </row>
    <row r="91" spans="1:15" x14ac:dyDescent="0.25">
      <c r="A91" s="4" t="str">
        <f t="shared" si="1"/>
        <v>DESPESA DE REPRESENTAÇÃO - JANTAR - TRADER - PEDRO REIS (093815-4120MP)</v>
      </c>
      <c r="B91" s="11">
        <v>46266</v>
      </c>
      <c r="C91" s="4">
        <v>817991</v>
      </c>
      <c r="D91" s="1" t="s">
        <v>477</v>
      </c>
      <c r="E91" s="14">
        <v>-1672.4</v>
      </c>
      <c r="F91" s="5" t="s">
        <v>380</v>
      </c>
      <c r="G91" s="2">
        <v>46282</v>
      </c>
      <c r="H91" s="9">
        <v>12413</v>
      </c>
      <c r="I91" s="4"/>
      <c r="J91" s="4" t="s">
        <v>380</v>
      </c>
      <c r="K91" s="7" t="s">
        <v>3100</v>
      </c>
      <c r="L91" s="1" t="s">
        <v>3101</v>
      </c>
      <c r="M91" s="9" t="s">
        <v>335</v>
      </c>
      <c r="N91" s="4" t="str">
        <f>VLOOKUP(H91,Clientes!B:D,3,)</f>
        <v>KAPITALO INVESTIMENTOS LTDA</v>
      </c>
      <c r="O91" t="str">
        <f>_xlfn.XLOOKUP(D91,'[1]Matriz Brokers'!$C:$C,'[1]Matriz Brokers'!$C:$C,0,0,1)</f>
        <v>MARYLIA CARVALHO PONCE</v>
      </c>
    </row>
    <row r="92" spans="1:15" x14ac:dyDescent="0.25">
      <c r="A92" s="4" t="str">
        <f t="shared" si="1"/>
        <v>DESPESA DE REPRESENTAÇÃO - JANTAR - TRADER - ERISON RODRIGUES DE SOUZA (170510-4185AS)</v>
      </c>
      <c r="B92" s="11">
        <v>46266</v>
      </c>
      <c r="C92" s="4">
        <v>817991</v>
      </c>
      <c r="D92" s="1" t="s">
        <v>770</v>
      </c>
      <c r="E92" s="14">
        <v>-881.4</v>
      </c>
      <c r="F92" s="5" t="s">
        <v>380</v>
      </c>
      <c r="G92" s="2">
        <v>46282</v>
      </c>
      <c r="H92" s="9">
        <f>_xlfn.XLOOKUP(SET!L92,Clientes!E:E,Clientes!B:B,0,0,1)</f>
        <v>80111</v>
      </c>
      <c r="I92" s="4"/>
      <c r="J92" s="5" t="s">
        <v>380</v>
      </c>
      <c r="K92" s="7" t="s">
        <v>3102</v>
      </c>
      <c r="L92" s="1" t="s">
        <v>2169</v>
      </c>
      <c r="M92" s="9" t="str">
        <f>_xlfn.XLOOKUP(L92,Clientes!E:E,Clientes!F:F,0,0,1)</f>
        <v>TRADER</v>
      </c>
      <c r="N92" s="4" t="str">
        <f>VLOOKUP(H92,Clientes!B:D,3,)</f>
        <v>IBIUNA GESTAO DE RECURSOS LTDA</v>
      </c>
      <c r="O92" t="str">
        <f>_xlfn.XLOOKUP(D92,'[1]Matriz Brokers'!$C:$C,'[1]Matriz Brokers'!$C:$C,0,0,1)</f>
        <v>ANDRE FERREIRA DOS SANTOS</v>
      </c>
    </row>
    <row r="93" spans="1:15" x14ac:dyDescent="0.25">
      <c r="A93" s="4" t="str">
        <f t="shared" si="1"/>
        <v>DESPESA DE REPRESENTAÇÃO - ALMOÇO - TRADER - RENAN (162247-4120RU)</v>
      </c>
      <c r="B93" s="11">
        <v>46266</v>
      </c>
      <c r="C93" s="4">
        <v>817991</v>
      </c>
      <c r="D93" s="1" t="s">
        <v>652</v>
      </c>
      <c r="E93" s="14">
        <v>-1243.1500000000001</v>
      </c>
      <c r="F93" s="5" t="s">
        <v>447</v>
      </c>
      <c r="G93" s="2">
        <v>46282</v>
      </c>
      <c r="H93" s="9">
        <v>82963</v>
      </c>
      <c r="I93" s="4"/>
      <c r="J93" s="5" t="s">
        <v>447</v>
      </c>
      <c r="K93" s="7" t="s">
        <v>3103</v>
      </c>
      <c r="L93" s="1" t="s">
        <v>3104</v>
      </c>
      <c r="M93" s="9" t="s">
        <v>335</v>
      </c>
      <c r="N93" s="4" t="str">
        <f>VLOOKUP(H93,Clientes!B:D,3,)</f>
        <v>BANCO DAYCOVAL S/A</v>
      </c>
      <c r="O93" t="str">
        <f>_xlfn.XLOOKUP(D93,'[1]Matriz Brokers'!$C:$C,'[1]Matriz Brokers'!$C:$C,0,0,1)</f>
        <v>REINALDO ANDRE URBANO FILHO</v>
      </c>
    </row>
    <row r="94" spans="1:15" x14ac:dyDescent="0.25">
      <c r="A94" s="4" t="str">
        <f t="shared" si="1"/>
        <v>DESPESA DE REPRESENTAÇÃO - ALMOÇO - TRADER - RAFAEL PAIVA POPPE DO VALLE (162450-4120RU)</v>
      </c>
      <c r="B94" s="11">
        <v>46266</v>
      </c>
      <c r="C94" s="4">
        <v>817991</v>
      </c>
      <c r="D94" s="1" t="s">
        <v>652</v>
      </c>
      <c r="E94" s="14">
        <v>-562.79</v>
      </c>
      <c r="F94" s="5" t="s">
        <v>447</v>
      </c>
      <c r="G94" s="2">
        <v>46282</v>
      </c>
      <c r="H94" s="9">
        <f>_xlfn.XLOOKUP(SET!L94,Clientes!E:E,Clientes!B:B,0,0,1)</f>
        <v>12413</v>
      </c>
      <c r="I94" s="4"/>
      <c r="J94" s="5" t="s">
        <v>447</v>
      </c>
      <c r="K94" s="7" t="s">
        <v>3105</v>
      </c>
      <c r="L94" s="1" t="s">
        <v>239</v>
      </c>
      <c r="M94" s="9" t="str">
        <f>_xlfn.XLOOKUP(L94,Clientes!E:E,Clientes!F:F,0,0,1)</f>
        <v>TRADER</v>
      </c>
      <c r="N94" s="4" t="str">
        <f>VLOOKUP(H94,Clientes!B:D,3,)</f>
        <v>KAPITALO INVESTIMENTOS LTDA</v>
      </c>
      <c r="O94" t="str">
        <f>_xlfn.XLOOKUP(D94,'[1]Matriz Brokers'!$C:$C,'[1]Matriz Brokers'!$C:$C,0,0,1)</f>
        <v>REINALDO ANDRE URBANO FILHO</v>
      </c>
    </row>
    <row r="95" spans="1:15" x14ac:dyDescent="0.25">
      <c r="A95" s="4" t="str">
        <f t="shared" si="1"/>
        <v>DESPESA DE REPRESENTAÇÃO - JANTAR - TRADER - BRUNO ACETOZE SCHIAVINATO (090803-4185PI)</v>
      </c>
      <c r="B95" s="11">
        <v>46266</v>
      </c>
      <c r="C95" s="4">
        <v>817991</v>
      </c>
      <c r="D95" s="1" t="s">
        <v>772</v>
      </c>
      <c r="E95" s="14">
        <v>-2153</v>
      </c>
      <c r="F95" s="5" t="s">
        <v>380</v>
      </c>
      <c r="G95" s="2">
        <v>46282</v>
      </c>
      <c r="H95" s="9">
        <f>_xlfn.XLOOKUP(SET!L95,Clientes!E:E,Clientes!B:B,0,0,1)</f>
        <v>14479</v>
      </c>
      <c r="I95" s="4"/>
      <c r="J95" s="5" t="s">
        <v>380</v>
      </c>
      <c r="K95" s="1" t="s">
        <v>3106</v>
      </c>
      <c r="L95" s="1" t="s">
        <v>2121</v>
      </c>
      <c r="M95" s="9" t="str">
        <f>_xlfn.XLOOKUP(L95,Clientes!E:E,Clientes!F:F,0,0,1)</f>
        <v>TRADER</v>
      </c>
      <c r="N95" s="4" t="str">
        <f>VLOOKUP(H95,Clientes!B:D,3,)</f>
        <v>BANCO SANTANDER (BRASIL) S/A</v>
      </c>
      <c r="O95" t="str">
        <f>_xlfn.XLOOKUP(D95,'[1]Matriz Brokers'!$C:$C,'[1]Matriz Brokers'!$C:$C,0,0,1)</f>
        <v>PAOLO FRANCA LIDA</v>
      </c>
    </row>
    <row r="96" spans="1:15" x14ac:dyDescent="0.25">
      <c r="A96" s="4" t="str">
        <f t="shared" si="1"/>
        <v>DESPESA DE REPRESENTAÇÃO - JANTAR - TRADER - KAUE GUIMARAES CHINELLATO (100306-4120RC)</v>
      </c>
      <c r="B96" s="11">
        <v>46266</v>
      </c>
      <c r="C96" s="4">
        <v>817991</v>
      </c>
      <c r="D96" s="1" t="s">
        <v>646</v>
      </c>
      <c r="E96" s="14">
        <v>-1042</v>
      </c>
      <c r="F96" s="5" t="s">
        <v>380</v>
      </c>
      <c r="G96" s="2">
        <v>46282</v>
      </c>
      <c r="H96" s="9">
        <f>_xlfn.XLOOKUP(SET!L96,Clientes!E:E,Clientes!B:B,0,0,1)</f>
        <v>14334</v>
      </c>
      <c r="I96" s="4"/>
      <c r="J96" s="5" t="s">
        <v>380</v>
      </c>
      <c r="K96" s="7" t="s">
        <v>3107</v>
      </c>
      <c r="L96" s="1" t="s">
        <v>487</v>
      </c>
      <c r="M96" s="9" t="str">
        <f>_xlfn.XLOOKUP(L96,Clientes!E:E,Clientes!F:F,0,0,1)</f>
        <v>TRADER</v>
      </c>
      <c r="N96" s="4" t="str">
        <f>VLOOKUP(H96,Clientes!B:D,3,)</f>
        <v>BANCO SOCIETE GENERALE BRASIL S/A</v>
      </c>
      <c r="O96" t="str">
        <f>_xlfn.XLOOKUP(D96,'[1]Matriz Brokers'!$C:$C,'[1]Matriz Brokers'!$C:$C,0,0,1)</f>
        <v>RAFAEL TENORIO CAVALCANTI</v>
      </c>
    </row>
    <row r="97" spans="1:15" x14ac:dyDescent="0.25">
      <c r="A97" s="4" t="str">
        <f t="shared" si="1"/>
        <v>DESPESA DE REPRESENTAÇÃO - JANTAR - TRADER - HENRIQUE TEIXEIRA CASTAGNET (105111-4120FC)</v>
      </c>
      <c r="B97" s="11">
        <v>46266</v>
      </c>
      <c r="C97" s="4">
        <v>817991</v>
      </c>
      <c r="D97" s="1" t="s">
        <v>480</v>
      </c>
      <c r="E97" s="14">
        <v>-7444.19</v>
      </c>
      <c r="F97" s="5" t="s">
        <v>380</v>
      </c>
      <c r="G97" s="2">
        <v>46282</v>
      </c>
      <c r="H97" s="9">
        <f>_xlfn.XLOOKUP(SET!L97,Clientes!E:E,Clientes!B:B,0,0,1)</f>
        <v>83577</v>
      </c>
      <c r="I97" s="4"/>
      <c r="J97" s="5" t="s">
        <v>380</v>
      </c>
      <c r="K97" s="7" t="s">
        <v>3108</v>
      </c>
      <c r="L97" s="1" t="s">
        <v>679</v>
      </c>
      <c r="M97" s="9" t="str">
        <f>_xlfn.XLOOKUP(L97,Clientes!E:E,Clientes!F:F,0,0,1)</f>
        <v>TRADER</v>
      </c>
      <c r="N97" s="4" t="str">
        <f>VLOOKUP(H97,Clientes!B:D,3,)</f>
        <v>BANCO MIZUHO DO BRASIL S/A</v>
      </c>
      <c r="O97" t="str">
        <f>_xlfn.XLOOKUP(D97,'[1]Matriz Brokers'!$C:$C,'[1]Matriz Brokers'!$C:$C,0,0,1)</f>
        <v>FRANCISCO JOSE DIAS CARVALHO</v>
      </c>
    </row>
    <row r="98" spans="1:15" x14ac:dyDescent="0.25">
      <c r="A98" s="4" t="str">
        <f t="shared" si="1"/>
        <v>DESPESA DE REPRESENTAÇÃO - ALMOÇO - TRADER - GUSTAVO (162930-4120RU)</v>
      </c>
      <c r="B98" s="11">
        <v>46266</v>
      </c>
      <c r="C98" s="4">
        <v>817991</v>
      </c>
      <c r="D98" s="1" t="s">
        <v>652</v>
      </c>
      <c r="E98" s="14">
        <v>-1557.59</v>
      </c>
      <c r="F98" s="5" t="s">
        <v>447</v>
      </c>
      <c r="G98" s="2">
        <v>46282</v>
      </c>
      <c r="H98" s="9">
        <v>12395</v>
      </c>
      <c r="I98" s="4"/>
      <c r="J98" s="5" t="s">
        <v>447</v>
      </c>
      <c r="K98" s="7" t="s">
        <v>3109</v>
      </c>
      <c r="L98" s="1" t="s">
        <v>1116</v>
      </c>
      <c r="M98" s="9" t="s">
        <v>335</v>
      </c>
      <c r="N98" s="4" t="str">
        <f>VLOOKUP(H98,Clientes!B:D,3,)</f>
        <v>AZ QUEST INVESTIMENTOS LTDA</v>
      </c>
      <c r="O98" t="str">
        <f>_xlfn.XLOOKUP(D98,'[1]Matriz Brokers'!$C:$C,'[1]Matriz Brokers'!$C:$C,0,0,1)</f>
        <v>REINALDO ANDRE URBANO FILHO</v>
      </c>
    </row>
    <row r="99" spans="1:15" x14ac:dyDescent="0.25">
      <c r="A99" s="4" t="str">
        <f t="shared" si="1"/>
        <v>DESPESA DE REPRESENTAÇÃO - ALMOÇO - TRADER - MICHEL TECLA MICHELUTTI (162620-4120RU)</v>
      </c>
      <c r="B99" s="11">
        <v>46266</v>
      </c>
      <c r="C99" s="4">
        <v>817991</v>
      </c>
      <c r="D99" s="1" t="s">
        <v>652</v>
      </c>
      <c r="E99" s="14">
        <v>-2622</v>
      </c>
      <c r="F99" s="5" t="s">
        <v>447</v>
      </c>
      <c r="G99" s="2">
        <v>46282</v>
      </c>
      <c r="H99" s="9">
        <f>_xlfn.XLOOKUP(SET!L99,Clientes!E:E,Clientes!B:B,0,0,1)</f>
        <v>82597</v>
      </c>
      <c r="I99" s="4"/>
      <c r="J99" s="5" t="s">
        <v>447</v>
      </c>
      <c r="K99" s="7" t="s">
        <v>3110</v>
      </c>
      <c r="L99" s="1" t="s">
        <v>1728</v>
      </c>
      <c r="M99" s="9" t="str">
        <f>_xlfn.XLOOKUP(L99,Clientes!E:E,Clientes!F:F,0,0,1)</f>
        <v>TRADER</v>
      </c>
      <c r="N99" s="4" t="str">
        <f>VLOOKUP(H99,Clientes!B:D,3,)</f>
        <v>PORTO SEGURO INVESTIMENTOS LTDA</v>
      </c>
      <c r="O99" t="str">
        <f>_xlfn.XLOOKUP(D99,'[1]Matriz Brokers'!$C:$C,'[1]Matriz Brokers'!$C:$C,0,0,1)</f>
        <v>REINALDO ANDRE URBANO FILHO</v>
      </c>
    </row>
    <row r="100" spans="1:15" x14ac:dyDescent="0.25">
      <c r="A100" s="4" t="str">
        <f t="shared" si="1"/>
        <v>DESPESA DE REPRESENTAÇÃO - HAPPY HOUR - TRADER - BRUNO SILVA CARVALHO (142721-4120GF)</v>
      </c>
      <c r="B100" s="11">
        <v>46266</v>
      </c>
      <c r="C100" s="4">
        <v>817991</v>
      </c>
      <c r="D100" s="1" t="s">
        <v>615</v>
      </c>
      <c r="E100" s="14">
        <v>-2267.8200000000002</v>
      </c>
      <c r="F100" s="5" t="s">
        <v>387</v>
      </c>
      <c r="G100" s="2">
        <v>46282</v>
      </c>
      <c r="H100" s="9">
        <f>_xlfn.XLOOKUP(SET!L100,Clientes!E:E,Clientes!B:B,0,0,1)</f>
        <v>82639</v>
      </c>
      <c r="I100" s="4"/>
      <c r="J100" s="4" t="s">
        <v>485</v>
      </c>
      <c r="K100" s="7" t="s">
        <v>3111</v>
      </c>
      <c r="L100" s="1" t="s">
        <v>1082</v>
      </c>
      <c r="M100" s="9" t="str">
        <f>_xlfn.XLOOKUP(L100,Clientes!E:E,Clientes!F:F,0,0,1)</f>
        <v>TRADER</v>
      </c>
      <c r="N100" s="4" t="str">
        <f>VLOOKUP(H100,Clientes!B:D,3,)</f>
        <v>SAFRA ASSET CORRETORA DE TITULOS E VALORES MOBILIARIOS S.A.</v>
      </c>
      <c r="O100" t="str">
        <f>_xlfn.XLOOKUP(D100,'[1]Matriz Brokers'!$C:$C,'[1]Matriz Brokers'!$C:$C,0,0,1)</f>
        <v>GUSTAVO D ELBOUX FERRIELLO</v>
      </c>
    </row>
    <row r="101" spans="1:15" x14ac:dyDescent="0.25">
      <c r="A101" s="4" t="str">
        <f t="shared" si="1"/>
        <v>DESPESA DE REPRESENTAÇÃO - JANTAR - TRADER - THALITA SOARES (093325-4120RC)</v>
      </c>
      <c r="B101" s="11">
        <v>46266</v>
      </c>
      <c r="C101" s="4">
        <v>817991</v>
      </c>
      <c r="D101" s="1" t="s">
        <v>646</v>
      </c>
      <c r="E101" s="14">
        <v>-1758</v>
      </c>
      <c r="F101" s="5" t="s">
        <v>380</v>
      </c>
      <c r="G101" s="2">
        <v>46282</v>
      </c>
      <c r="H101" s="9">
        <v>80749</v>
      </c>
      <c r="I101" s="4"/>
      <c r="J101" s="5" t="s">
        <v>380</v>
      </c>
      <c r="K101" s="7" t="s">
        <v>3112</v>
      </c>
      <c r="L101" s="1" t="s">
        <v>740</v>
      </c>
      <c r="M101" s="9" t="s">
        <v>335</v>
      </c>
      <c r="N101" s="4" t="str">
        <f>VLOOKUP(H101,Clientes!B:D,3,)</f>
        <v>BANCO XP S/A</v>
      </c>
      <c r="O101" t="str">
        <f>_xlfn.XLOOKUP(D101,'[1]Matriz Brokers'!$C:$C,'[1]Matriz Brokers'!$C:$C,0,0,1)</f>
        <v>RAFAEL TENORIO CAVALCANTI</v>
      </c>
    </row>
    <row r="102" spans="1:15" x14ac:dyDescent="0.25">
      <c r="A102" s="4" t="str">
        <f t="shared" si="1"/>
        <v>DESPESA DE REPRESENTAÇÃO - HAPPY HOUR - TRADER - RODRIGO NOVARETTI (093506-4120RC)</v>
      </c>
      <c r="B102" s="11">
        <v>46266</v>
      </c>
      <c r="C102" s="4">
        <v>817991</v>
      </c>
      <c r="D102" s="1" t="s">
        <v>646</v>
      </c>
      <c r="E102" s="14">
        <v>-832</v>
      </c>
      <c r="F102" s="5" t="s">
        <v>387</v>
      </c>
      <c r="G102" s="2">
        <v>46282</v>
      </c>
      <c r="H102" s="9">
        <v>14479</v>
      </c>
      <c r="I102" s="4"/>
      <c r="J102" s="5" t="s">
        <v>485</v>
      </c>
      <c r="K102" s="7" t="s">
        <v>3113</v>
      </c>
      <c r="L102" s="1" t="s">
        <v>1519</v>
      </c>
      <c r="M102" s="9" t="s">
        <v>335</v>
      </c>
      <c r="N102" s="4" t="str">
        <f>VLOOKUP(H102,Clientes!B:D,3,)</f>
        <v>BANCO SANTANDER (BRASIL) S/A</v>
      </c>
      <c r="O102" t="str">
        <f>_xlfn.XLOOKUP(D102,'[1]Matriz Brokers'!$C:$C,'[1]Matriz Brokers'!$C:$C,0,0,1)</f>
        <v>RAFAEL TENORIO CAVALCANTI</v>
      </c>
    </row>
    <row r="103" spans="1:15" x14ac:dyDescent="0.25">
      <c r="A103" s="4" t="str">
        <f t="shared" si="1"/>
        <v>DESPESA DE REPRESENTAÇÃO - ALUGUEL FLAT  - BROKER - CHRISTIANO MARCONDES DE BARROS LIMA (AGENDA 44042)</v>
      </c>
      <c r="B103" s="11">
        <v>46266</v>
      </c>
      <c r="C103" s="4">
        <v>817991</v>
      </c>
      <c r="D103" s="1" t="s">
        <v>60</v>
      </c>
      <c r="E103" s="14">
        <v>-1378.4549999999999</v>
      </c>
      <c r="F103" s="5" t="s">
        <v>422</v>
      </c>
      <c r="G103" s="2">
        <v>46273</v>
      </c>
      <c r="H103" s="9">
        <v>1170</v>
      </c>
      <c r="I103" s="4"/>
      <c r="J103" s="5" t="s">
        <v>425</v>
      </c>
      <c r="K103" s="7" t="s">
        <v>3114</v>
      </c>
      <c r="L103" s="1" t="s">
        <v>60</v>
      </c>
      <c r="M103" s="9" t="s">
        <v>2</v>
      </c>
      <c r="N103" s="4" t="str">
        <f>VLOOKUP(H103,Clientes!B:D,3,)</f>
        <v>BGC LIQUIDEZ DTVM LTDA</v>
      </c>
      <c r="O103" t="str">
        <f>_xlfn.XLOOKUP(D103,'[1]Matriz Brokers'!$C:$C,'[1]Matriz Brokers'!$C:$C,0,0,1)</f>
        <v>CHRISTIANO MARCONDES DE BARROS LIMA</v>
      </c>
    </row>
    <row r="104" spans="1:15" x14ac:dyDescent="0.25">
      <c r="A104" s="4" t="str">
        <f t="shared" si="1"/>
        <v>DESPESA DE REPRESENTAÇÃO - ALUGUEL FLAT  - BROKER - JOSE MAURICIO GOMES TEIXEIRA (AGENDA 44042)</v>
      </c>
      <c r="B104" s="11">
        <v>46266</v>
      </c>
      <c r="C104" s="4">
        <v>817991</v>
      </c>
      <c r="D104" s="1" t="s">
        <v>23</v>
      </c>
      <c r="E104" s="14">
        <v>-1378.4549999999999</v>
      </c>
      <c r="F104" s="5" t="s">
        <v>422</v>
      </c>
      <c r="G104" s="2">
        <v>46273</v>
      </c>
      <c r="H104" s="9">
        <v>1170</v>
      </c>
      <c r="I104" s="4"/>
      <c r="J104" s="4" t="s">
        <v>425</v>
      </c>
      <c r="K104" s="7" t="s">
        <v>3114</v>
      </c>
      <c r="L104" s="1" t="s">
        <v>23</v>
      </c>
      <c r="M104" s="9" t="s">
        <v>2</v>
      </c>
      <c r="N104" s="4" t="str">
        <f>VLOOKUP(H104,Clientes!B:D,3,)</f>
        <v>BGC LIQUIDEZ DTVM LTDA</v>
      </c>
      <c r="O104" t="str">
        <f>_xlfn.XLOOKUP(D104,'[1]Matriz Brokers'!$C:$C,'[1]Matriz Brokers'!$C:$C,0,0,1)</f>
        <v>JOSE MAURICIO GOMES TEIXEIRA</v>
      </c>
    </row>
    <row r="105" spans="1:15" x14ac:dyDescent="0.25">
      <c r="A105" s="4" t="str">
        <f t="shared" si="1"/>
        <v>DESPESA DE REPRESENTAÇÃO - ALUGUEL FLAT  - GESTOR - ANDRE HALL ACCIOLY (AGENDA 44042)</v>
      </c>
      <c r="B105" s="11">
        <v>46266</v>
      </c>
      <c r="C105" s="4">
        <v>817991</v>
      </c>
      <c r="D105" s="1" t="s">
        <v>423</v>
      </c>
      <c r="E105" s="14">
        <v>-2756.91</v>
      </c>
      <c r="F105" s="5" t="s">
        <v>422</v>
      </c>
      <c r="G105" s="2">
        <v>46273</v>
      </c>
      <c r="H105" s="9">
        <v>1170</v>
      </c>
      <c r="I105" s="4"/>
      <c r="J105" s="4" t="s">
        <v>425</v>
      </c>
      <c r="K105" s="7" t="s">
        <v>3114</v>
      </c>
      <c r="L105" s="1" t="s">
        <v>742</v>
      </c>
      <c r="M105" s="9" t="s">
        <v>598</v>
      </c>
      <c r="N105" s="4" t="str">
        <f>VLOOKUP(H105,Clientes!B:D,3,)</f>
        <v>BGC LIQUIDEZ DTVM LTDA</v>
      </c>
      <c r="O105" t="str">
        <f>_xlfn.XLOOKUP(D105,'[1]Matriz Brokers'!$C:$C,'[1]Matriz Brokers'!$C:$C,0,0,1)</f>
        <v>LIQUIDEZ-OTHER</v>
      </c>
    </row>
    <row r="106" spans="1:15" x14ac:dyDescent="0.25">
      <c r="A106" s="4" t="str">
        <f t="shared" si="1"/>
        <v>DESPESA DE REPRESENTAÇÃO - ALUGUEL FLAT  - BROKER - CHRISTIANO MARCONDES DE BARROS LIMA (AGENDA 44043)</v>
      </c>
      <c r="B106" s="11">
        <v>46266</v>
      </c>
      <c r="C106" s="4">
        <v>817991</v>
      </c>
      <c r="D106" s="1" t="s">
        <v>60</v>
      </c>
      <c r="E106" s="14">
        <v>-843.1825</v>
      </c>
      <c r="F106" s="5" t="s">
        <v>422</v>
      </c>
      <c r="G106" s="2">
        <v>46273</v>
      </c>
      <c r="H106" s="9">
        <v>1170</v>
      </c>
      <c r="I106" s="4"/>
      <c r="J106" s="4" t="s">
        <v>425</v>
      </c>
      <c r="K106" s="7" t="s">
        <v>3115</v>
      </c>
      <c r="L106" s="1" t="s">
        <v>60</v>
      </c>
      <c r="M106" s="9" t="s">
        <v>2</v>
      </c>
      <c r="N106" s="4" t="str">
        <f>VLOOKUP(H106,Clientes!B:D,3,)</f>
        <v>BGC LIQUIDEZ DTVM LTDA</v>
      </c>
      <c r="O106" t="str">
        <f>_xlfn.XLOOKUP(D106,'[1]Matriz Brokers'!$C:$C,'[1]Matriz Brokers'!$C:$C,0,0,1)</f>
        <v>CHRISTIANO MARCONDES DE BARROS LIMA</v>
      </c>
    </row>
    <row r="107" spans="1:15" x14ac:dyDescent="0.25">
      <c r="A107" s="4" t="str">
        <f t="shared" si="1"/>
        <v>DESPESA DE REPRESENTAÇÃO - ALUGUEL FLAT  - BROKER - JOSE MAURICIO GOMES TEIXEIRA (AGENDA 44043)</v>
      </c>
      <c r="B107" s="11">
        <v>46266</v>
      </c>
      <c r="C107" s="4">
        <v>817991</v>
      </c>
      <c r="D107" s="1" t="s">
        <v>23</v>
      </c>
      <c r="E107" s="14">
        <v>-843.1825</v>
      </c>
      <c r="F107" s="5" t="s">
        <v>422</v>
      </c>
      <c r="G107" s="2">
        <v>46273</v>
      </c>
      <c r="H107" s="9">
        <v>1170</v>
      </c>
      <c r="I107" s="4"/>
      <c r="J107" s="5" t="s">
        <v>425</v>
      </c>
      <c r="K107" s="7" t="s">
        <v>3115</v>
      </c>
      <c r="L107" s="1" t="s">
        <v>23</v>
      </c>
      <c r="M107" s="9" t="s">
        <v>2</v>
      </c>
      <c r="N107" s="4" t="str">
        <f>VLOOKUP(H107,Clientes!B:D,3,)</f>
        <v>BGC LIQUIDEZ DTVM LTDA</v>
      </c>
      <c r="O107" t="str">
        <f>_xlfn.XLOOKUP(D107,'[1]Matriz Brokers'!$C:$C,'[1]Matriz Brokers'!$C:$C,0,0,1)</f>
        <v>JOSE MAURICIO GOMES TEIXEIRA</v>
      </c>
    </row>
    <row r="108" spans="1:15" x14ac:dyDescent="0.25">
      <c r="A108" s="4" t="str">
        <f t="shared" si="1"/>
        <v>DESPESA DE REPRESENTAÇÃO - ALUGUEL FLAT  - GESTOR - ANDRE HALL ACCIOLY (AGENDA 44043)</v>
      </c>
      <c r="B108" s="11">
        <v>46266</v>
      </c>
      <c r="C108" s="4">
        <v>817991</v>
      </c>
      <c r="D108" s="1" t="s">
        <v>423</v>
      </c>
      <c r="E108" s="14">
        <v>-1686.365</v>
      </c>
      <c r="F108" s="5" t="s">
        <v>422</v>
      </c>
      <c r="G108" s="2">
        <v>46273</v>
      </c>
      <c r="H108" s="9">
        <v>1170</v>
      </c>
      <c r="I108" s="4"/>
      <c r="J108" s="4" t="s">
        <v>425</v>
      </c>
      <c r="K108" s="7" t="s">
        <v>3115</v>
      </c>
      <c r="L108" s="1" t="s">
        <v>742</v>
      </c>
      <c r="M108" s="9" t="s">
        <v>598</v>
      </c>
      <c r="N108" s="4" t="str">
        <f>VLOOKUP(H108,Clientes!B:D,3,)</f>
        <v>BGC LIQUIDEZ DTVM LTDA</v>
      </c>
      <c r="O108" t="str">
        <f>_xlfn.XLOOKUP(D108,'[1]Matriz Brokers'!$C:$C,'[1]Matriz Brokers'!$C:$C,0,0,1)</f>
        <v>LIQUIDEZ-OTHER</v>
      </c>
    </row>
    <row r="109" spans="1:15" x14ac:dyDescent="0.25">
      <c r="A109" s="4" t="str">
        <f t="shared" si="1"/>
        <v>DESPESA DE REPRESENTAÇÃO - ALMOÇO - TRADER - WILLIAM JUGEICK BUSSI (164847-3688RU)</v>
      </c>
      <c r="B109" s="11">
        <v>46266</v>
      </c>
      <c r="C109" s="4">
        <v>817991</v>
      </c>
      <c r="D109" s="1" t="s">
        <v>652</v>
      </c>
      <c r="E109" s="14">
        <v>-1874.67</v>
      </c>
      <c r="F109" s="5" t="s">
        <v>447</v>
      </c>
      <c r="G109" s="2">
        <v>46282</v>
      </c>
      <c r="H109" s="9">
        <f>_xlfn.XLOOKUP(SET!L109,Clientes!E:E,Clientes!B:B,0,0,1)</f>
        <v>79852</v>
      </c>
      <c r="I109" s="4"/>
      <c r="J109" s="4" t="s">
        <v>447</v>
      </c>
      <c r="K109" s="7" t="s">
        <v>3116</v>
      </c>
      <c r="L109" s="1" t="s">
        <v>716</v>
      </c>
      <c r="M109" s="9" t="str">
        <f>_xlfn.XLOOKUP(L109,Clientes!E:E,Clientes!F:F,0,0,1)</f>
        <v>TRADER</v>
      </c>
      <c r="N109" s="4" t="str">
        <f>VLOOKUP(H109,Clientes!B:D,3,)</f>
        <v>SANTANDER BRASIL GESTAO DE RECURSOS LTDA</v>
      </c>
      <c r="O109" t="str">
        <f>_xlfn.XLOOKUP(D109,'[1]Matriz Brokers'!$C:$C,'[1]Matriz Brokers'!$C:$C,0,0,1)</f>
        <v>REINALDO ANDRE URBANO FILHO</v>
      </c>
    </row>
    <row r="110" spans="1:15" x14ac:dyDescent="0.25">
      <c r="A110" s="4" t="str">
        <f t="shared" si="1"/>
        <v>DESPESA DE REPRESENTAÇÃO - ALMOÇO - TRADER - JOAO JABBOUR (172127-3998RU)</v>
      </c>
      <c r="B110" s="11">
        <v>46266</v>
      </c>
      <c r="C110" s="4">
        <v>817991</v>
      </c>
      <c r="D110" s="1" t="s">
        <v>652</v>
      </c>
      <c r="E110" s="14">
        <v>-1897.27</v>
      </c>
      <c r="F110" s="5" t="s">
        <v>447</v>
      </c>
      <c r="G110" s="2">
        <v>46282</v>
      </c>
      <c r="H110" s="9">
        <f>_xlfn.XLOOKUP(SET!L110,Clientes!E:E,Clientes!B:B,0,0,1)</f>
        <v>79793</v>
      </c>
      <c r="I110" s="4"/>
      <c r="J110" s="4" t="s">
        <v>447</v>
      </c>
      <c r="K110" s="7" t="s">
        <v>3117</v>
      </c>
      <c r="L110" s="1" t="s">
        <v>2499</v>
      </c>
      <c r="M110" s="9" t="str">
        <f>_xlfn.XLOOKUP(L110,Clientes!E:E,Clientes!F:F,0,0,1)</f>
        <v>TRADER</v>
      </c>
      <c r="N110" s="4" t="str">
        <f>VLOOKUP(H110,Clientes!B:D,3,)</f>
        <v>EMERALD GESTAO DE INVESTIMENTOS SOCIEDADE UNIPESSOAL LTDA</v>
      </c>
      <c r="O110" t="str">
        <f>_xlfn.XLOOKUP(D110,'[1]Matriz Brokers'!$C:$C,'[1]Matriz Brokers'!$C:$C,0,0,1)</f>
        <v>REINALDO ANDRE URBANO FILHO</v>
      </c>
    </row>
    <row r="111" spans="1:15" x14ac:dyDescent="0.25">
      <c r="A111" s="4" t="str">
        <f t="shared" si="1"/>
        <v>DESPESA DE REPRESENTAÇÃO - HOTEL EM NOVA YORK  - CEO - ERMINIO OLIVI LUCCI (AGENDA 44216)</v>
      </c>
      <c r="B111" s="11">
        <v>46266</v>
      </c>
      <c r="C111" s="4">
        <v>817991</v>
      </c>
      <c r="D111" s="1" t="s">
        <v>650</v>
      </c>
      <c r="E111" s="14">
        <v>-20498.11</v>
      </c>
      <c r="F111" s="5" t="s">
        <v>422</v>
      </c>
      <c r="G111" s="2">
        <v>46283</v>
      </c>
      <c r="H111" s="9">
        <f>_xlfn.XLOOKUP(SET!L111,Clientes!E:E,Clientes!B:B,0,0,1)</f>
        <v>1170</v>
      </c>
      <c r="I111" s="4"/>
      <c r="J111" s="5" t="s">
        <v>1594</v>
      </c>
      <c r="K111" s="7" t="s">
        <v>3118</v>
      </c>
      <c r="L111" s="1" t="s">
        <v>650</v>
      </c>
      <c r="M111" s="9" t="str">
        <f>_xlfn.XLOOKUP(L111,Clientes!E:E,Clientes!F:F,0,0,1)</f>
        <v>CEO</v>
      </c>
      <c r="N111" s="4" t="str">
        <f>VLOOKUP(H111,Clientes!B:D,3,)</f>
        <v>BGC LIQUIDEZ DTVM LTDA</v>
      </c>
      <c r="O111" t="str">
        <f>_xlfn.XLOOKUP(D111,'[1]Matriz Brokers'!$C:$C,'[1]Matriz Brokers'!$C:$C,0,0,1)</f>
        <v>ERMINIO OLIVI LUCCI</v>
      </c>
    </row>
    <row r="112" spans="1:15" x14ac:dyDescent="0.25">
      <c r="A112" s="4" t="str">
        <f t="shared" si="1"/>
        <v>DESPESA DE REPRESENTAÇÃO - PASSAGEM MIAMI X NOVA YORK - CEO - ERMINIO OLIVI LUCCI (AGENDA 44216)</v>
      </c>
      <c r="B112" s="11">
        <v>46266</v>
      </c>
      <c r="C112" s="4">
        <v>817991</v>
      </c>
      <c r="D112" s="1" t="s">
        <v>650</v>
      </c>
      <c r="E112" s="14">
        <v>-2017.02</v>
      </c>
      <c r="F112" s="5" t="s">
        <v>388</v>
      </c>
      <c r="G112" s="2">
        <v>46283</v>
      </c>
      <c r="H112" s="9">
        <f>_xlfn.XLOOKUP(SET!L112,Clientes!E:E,Clientes!B:B,0,0,1)</f>
        <v>1170</v>
      </c>
      <c r="I112" s="4"/>
      <c r="J112" s="4" t="s">
        <v>3119</v>
      </c>
      <c r="K112" s="7" t="s">
        <v>3118</v>
      </c>
      <c r="L112" s="1" t="s">
        <v>650</v>
      </c>
      <c r="M112" s="9" t="str">
        <f>_xlfn.XLOOKUP(L112,Clientes!E:E,Clientes!F:F,0,0,1)</f>
        <v>CEO</v>
      </c>
      <c r="N112" s="4" t="str">
        <f>VLOOKUP(H112,Clientes!B:D,3,)</f>
        <v>BGC LIQUIDEZ DTVM LTDA</v>
      </c>
      <c r="O112" t="str">
        <f>_xlfn.XLOOKUP(D112,'[1]Matriz Brokers'!$C:$C,'[1]Matriz Brokers'!$C:$C,0,0,1)</f>
        <v>ERMINIO OLIVI LUCCI</v>
      </c>
    </row>
    <row r="113" spans="1:15" x14ac:dyDescent="0.25">
      <c r="A113" s="4" t="str">
        <f t="shared" si="1"/>
        <v>DESPESA DE REPRESENTAÇÃO - TAXI - CEO - ERMINIO OLIVI LUCCI (AGENDA 44216)</v>
      </c>
      <c r="B113" s="11">
        <v>46266</v>
      </c>
      <c r="C113" s="4">
        <v>817991</v>
      </c>
      <c r="D113" s="1" t="s">
        <v>650</v>
      </c>
      <c r="E113" s="14">
        <v>-5580</v>
      </c>
      <c r="F113" s="5" t="s">
        <v>388</v>
      </c>
      <c r="G113" s="2">
        <v>46283</v>
      </c>
      <c r="H113" s="9">
        <f>_xlfn.XLOOKUP(SET!L113,Clientes!E:E,Clientes!B:B,0,0,1)</f>
        <v>1170</v>
      </c>
      <c r="I113" s="4"/>
      <c r="J113" s="4" t="s">
        <v>525</v>
      </c>
      <c r="K113" s="7" t="s">
        <v>3118</v>
      </c>
      <c r="L113" s="1" t="s">
        <v>650</v>
      </c>
      <c r="M113" s="9" t="str">
        <f>_xlfn.XLOOKUP(L113,Clientes!E:E,Clientes!F:F,0,0,1)</f>
        <v>CEO</v>
      </c>
      <c r="N113" s="4" t="str">
        <f>VLOOKUP(H113,Clientes!B:D,3,)</f>
        <v>BGC LIQUIDEZ DTVM LTDA</v>
      </c>
      <c r="O113" t="str">
        <f>_xlfn.XLOOKUP(D113,'[1]Matriz Brokers'!$C:$C,'[1]Matriz Brokers'!$C:$C,0,0,1)</f>
        <v>ERMINIO OLIVI LUCCI</v>
      </c>
    </row>
    <row r="114" spans="1:15" x14ac:dyDescent="0.25">
      <c r="A114" s="4" t="str">
        <f t="shared" si="1"/>
        <v>DESPESA DE REPRESENTAÇÃO - TAXI CASA X AEROPORTO - CEO - ERMINIO OLIVI LUCCI (AGENDA 44216)</v>
      </c>
      <c r="B114" s="11">
        <v>46266</v>
      </c>
      <c r="C114" s="4">
        <v>817991</v>
      </c>
      <c r="D114" s="1" t="s">
        <v>650</v>
      </c>
      <c r="E114" s="14">
        <v>-350</v>
      </c>
      <c r="F114" s="5" t="s">
        <v>388</v>
      </c>
      <c r="G114" s="2">
        <v>46283</v>
      </c>
      <c r="H114" s="9">
        <f>_xlfn.XLOOKUP(SET!L114,Clientes!E:E,Clientes!B:B,0,0,1)</f>
        <v>1170</v>
      </c>
      <c r="I114" s="4"/>
      <c r="J114" s="4" t="s">
        <v>3120</v>
      </c>
      <c r="K114" s="7" t="s">
        <v>3118</v>
      </c>
      <c r="L114" s="1" t="s">
        <v>650</v>
      </c>
      <c r="M114" s="9" t="str">
        <f>_xlfn.XLOOKUP(L114,Clientes!E:E,Clientes!F:F,0,0,1)</f>
        <v>CEO</v>
      </c>
      <c r="N114" s="4" t="str">
        <f>VLOOKUP(H114,Clientes!B:D,3,)</f>
        <v>BGC LIQUIDEZ DTVM LTDA</v>
      </c>
      <c r="O114" t="str">
        <f>_xlfn.XLOOKUP(D114,'[1]Matriz Brokers'!$C:$C,'[1]Matriz Brokers'!$C:$C,0,0,1)</f>
        <v>ERMINIO OLIVI LUCCI</v>
      </c>
    </row>
    <row r="115" spans="1:15" x14ac:dyDescent="0.25">
      <c r="A115" s="4" t="str">
        <f t="shared" si="1"/>
        <v>DESPESA DE REPRESENTAÇÃO - TAXI AEROPORTO X CASA - CEO - ERMINIO OLIVI LUCCI (AGENDA 44216)</v>
      </c>
      <c r="B115" s="11">
        <v>46266</v>
      </c>
      <c r="C115" s="4">
        <v>817991</v>
      </c>
      <c r="D115" s="1" t="s">
        <v>650</v>
      </c>
      <c r="E115" s="14">
        <v>-350</v>
      </c>
      <c r="F115" s="5" t="s">
        <v>388</v>
      </c>
      <c r="G115" s="2">
        <v>46283</v>
      </c>
      <c r="H115" s="9">
        <f>_xlfn.XLOOKUP(SET!L115,Clientes!E:E,Clientes!B:B,0,0,1)</f>
        <v>1170</v>
      </c>
      <c r="I115" s="4"/>
      <c r="J115" s="4" t="s">
        <v>3121</v>
      </c>
      <c r="K115" s="7" t="s">
        <v>3118</v>
      </c>
      <c r="L115" s="1" t="s">
        <v>650</v>
      </c>
      <c r="M115" s="9" t="str">
        <f>_xlfn.XLOOKUP(L115,Clientes!E:E,Clientes!F:F,0,0,1)</f>
        <v>CEO</v>
      </c>
      <c r="N115" s="4" t="str">
        <f>VLOOKUP(H115,Clientes!B:D,3,)</f>
        <v>BGC LIQUIDEZ DTVM LTDA</v>
      </c>
      <c r="O115" t="str">
        <f>_xlfn.XLOOKUP(D115,'[1]Matriz Brokers'!$C:$C,'[1]Matriz Brokers'!$C:$C,0,0,1)</f>
        <v>ERMINIO OLIVI LUCCI</v>
      </c>
    </row>
    <row r="116" spans="1:15" x14ac:dyDescent="0.25">
      <c r="A116" s="4" t="str">
        <f t="shared" si="1"/>
        <v>DESPESA DE REPRESENTAÇÃO - MENSALIDADE DA ASSOCIAÇÃO AO WTC BUSSINESS CLUB - CEO - ERMINIO OLIVI LUCCI (AGENDA 43970)</v>
      </c>
      <c r="B116" s="11">
        <v>46266</v>
      </c>
      <c r="C116" s="4">
        <v>817991</v>
      </c>
      <c r="D116" s="1" t="s">
        <v>650</v>
      </c>
      <c r="E116" s="14">
        <v>-2000</v>
      </c>
      <c r="F116" s="5" t="s">
        <v>389</v>
      </c>
      <c r="G116" s="2">
        <v>46286</v>
      </c>
      <c r="H116" s="9">
        <v>1170</v>
      </c>
      <c r="I116" s="4"/>
      <c r="J116" s="4" t="s">
        <v>507</v>
      </c>
      <c r="K116" s="7" t="s">
        <v>3122</v>
      </c>
      <c r="L116" s="1" t="s">
        <v>650</v>
      </c>
      <c r="M116" s="9" t="s">
        <v>490</v>
      </c>
      <c r="N116" s="4" t="str">
        <f>VLOOKUP(H116,Clientes!B:D,3,)</f>
        <v>BGC LIQUIDEZ DTVM LTDA</v>
      </c>
      <c r="O116" t="str">
        <f>_xlfn.XLOOKUP(D116,'[1]Matriz Brokers'!$C:$C,'[1]Matriz Brokers'!$C:$C,0,0,1)</f>
        <v>ERMINIO OLIVI LUCCI</v>
      </c>
    </row>
    <row r="117" spans="1:15" x14ac:dyDescent="0.25">
      <c r="A117" s="4" t="str">
        <f t="shared" si="1"/>
        <v>DESPESA DE REPRESENTAÇÃO - PASSAGEM SÃO PAULO X MIAMI - CEO - ERMINIO OLIVI LUCCI (AGENDA 44209)</v>
      </c>
      <c r="B117" s="11">
        <v>46266</v>
      </c>
      <c r="C117" s="4">
        <v>817991</v>
      </c>
      <c r="D117" s="1" t="s">
        <v>650</v>
      </c>
      <c r="E117" s="14">
        <v>-29812.48</v>
      </c>
      <c r="F117" s="5" t="s">
        <v>388</v>
      </c>
      <c r="G117" s="2">
        <v>46287</v>
      </c>
      <c r="H117" s="9">
        <f>_xlfn.XLOOKUP(SET!L117,Clientes!E:E,Clientes!B:B,0,0,1)</f>
        <v>1170</v>
      </c>
      <c r="I117" s="4"/>
      <c r="J117" s="4" t="s">
        <v>546</v>
      </c>
      <c r="K117" s="7" t="s">
        <v>3123</v>
      </c>
      <c r="L117" s="1" t="s">
        <v>650</v>
      </c>
      <c r="M117" s="9" t="str">
        <f>_xlfn.XLOOKUP(L117,Clientes!E:E,Clientes!F:F,0,0,1)</f>
        <v>CEO</v>
      </c>
      <c r="N117" s="4" t="str">
        <f>VLOOKUP(H117,Clientes!B:D,3,)</f>
        <v>BGC LIQUIDEZ DTVM LTDA</v>
      </c>
      <c r="O117" t="str">
        <f>_xlfn.XLOOKUP(D117,'[1]Matriz Brokers'!$C:$C,'[1]Matriz Brokers'!$C:$C,0,0,1)</f>
        <v>ERMINIO OLIVI LUCCI</v>
      </c>
    </row>
    <row r="118" spans="1:15" x14ac:dyDescent="0.25">
      <c r="A118" s="4" t="str">
        <f t="shared" si="1"/>
        <v>DESPESA DE REPRESENTAÇÃO - PASSAGEM SÃO PAULO X RIO DE JANEIRO - CONSULTORIA - CLAUDIA TAVARES FERNANDES (AGENDA 44185)</v>
      </c>
      <c r="B118" s="11">
        <v>46266</v>
      </c>
      <c r="C118" s="4">
        <v>817991</v>
      </c>
      <c r="D118" s="1" t="s">
        <v>539</v>
      </c>
      <c r="E118" s="14">
        <v>-2462.0700000000002</v>
      </c>
      <c r="F118" s="5" t="s">
        <v>388</v>
      </c>
      <c r="G118" s="2">
        <v>46288</v>
      </c>
      <c r="H118" s="9">
        <f>_xlfn.XLOOKUP(SET!L118,Clientes!E:E,Clientes!B:B,0,0,1)</f>
        <v>1170</v>
      </c>
      <c r="I118" s="4"/>
      <c r="J118" s="4" t="s">
        <v>756</v>
      </c>
      <c r="K118" s="7" t="s">
        <v>3124</v>
      </c>
      <c r="L118" s="1" t="s">
        <v>539</v>
      </c>
      <c r="M118" s="9" t="str">
        <f>_xlfn.XLOOKUP(L118,Clientes!E:E,Clientes!F:F,0,0,1)</f>
        <v>CONSULTORIA</v>
      </c>
      <c r="N118" s="4" t="str">
        <f>VLOOKUP(H118,Clientes!B:D,3,)</f>
        <v>BGC LIQUIDEZ DTVM LTDA</v>
      </c>
      <c r="O118">
        <f>_xlfn.XLOOKUP(D118,'[1]Matriz Brokers'!$C:$C,'[1]Matriz Brokers'!$C:$C,0,0,1)</f>
        <v>0</v>
      </c>
    </row>
    <row r="119" spans="1:15" x14ac:dyDescent="0.25">
      <c r="A119" s="4" t="str">
        <f t="shared" si="1"/>
        <v>DESPESA DE REPRESENTAÇÃO - HOTEL EM CURITIBA BRISTOL CENTRO CIVICO - BROKER - JOSÉ VERGARA (AGENDA 44186)</v>
      </c>
      <c r="B119" s="11">
        <v>46266</v>
      </c>
      <c r="C119" s="4">
        <v>817991</v>
      </c>
      <c r="D119" s="1" t="s">
        <v>459</v>
      </c>
      <c r="E119" s="14">
        <v>-304.5</v>
      </c>
      <c r="F119" s="5" t="s">
        <v>422</v>
      </c>
      <c r="G119" s="2">
        <v>46288</v>
      </c>
      <c r="H119" s="9">
        <f>_xlfn.XLOOKUP(SET!L119,Clientes!E:E,Clientes!B:B,0,0,1)</f>
        <v>1170</v>
      </c>
      <c r="I119" s="4"/>
      <c r="J119" s="4" t="s">
        <v>3126</v>
      </c>
      <c r="K119" s="7" t="s">
        <v>3125</v>
      </c>
      <c r="L119" s="1" t="s">
        <v>459</v>
      </c>
      <c r="M119" s="9" t="str">
        <f>_xlfn.XLOOKUP(L119,Clientes!E:E,Clientes!F:F,0,0,1)</f>
        <v>BROKER</v>
      </c>
      <c r="N119" s="4" t="str">
        <f>VLOOKUP(H119,Clientes!B:D,3,)</f>
        <v>BGC LIQUIDEZ DTVM LTDA</v>
      </c>
      <c r="O119" t="str">
        <f>_xlfn.XLOOKUP(D119,'[1]Matriz Brokers'!$C:$C,'[1]Matriz Brokers'!$C:$C,0,0,1)</f>
        <v>JOSÉ VERGARA</v>
      </c>
    </row>
    <row r="120" spans="1:15" x14ac:dyDescent="0.25">
      <c r="A120" s="4" t="str">
        <f t="shared" si="1"/>
        <v>DESPESA DE REPRESENTAÇÃO - JANTAR - TRADER - PEDRO BOHANA (110502-4185MP)</v>
      </c>
      <c r="B120" s="11">
        <v>46266</v>
      </c>
      <c r="C120" s="4">
        <v>817991</v>
      </c>
      <c r="D120" s="1" t="s">
        <v>477</v>
      </c>
      <c r="E120" s="14">
        <v>-1908.57</v>
      </c>
      <c r="F120" s="5" t="s">
        <v>380</v>
      </c>
      <c r="G120" s="2">
        <v>46289</v>
      </c>
      <c r="H120" s="9">
        <v>82706</v>
      </c>
      <c r="I120" s="4"/>
      <c r="J120" s="5" t="s">
        <v>380</v>
      </c>
      <c r="K120" s="7" t="s">
        <v>3127</v>
      </c>
      <c r="L120" s="1" t="s">
        <v>3128</v>
      </c>
      <c r="M120" s="9" t="s">
        <v>335</v>
      </c>
      <c r="N120" s="4" t="str">
        <f>VLOOKUP(H120,Clientes!B:D,3,)</f>
        <v>BANCO XP S/A</v>
      </c>
      <c r="O120" t="str">
        <f>_xlfn.XLOOKUP(D120,'[1]Matriz Brokers'!$C:$C,'[1]Matriz Brokers'!$C:$C,0,0,1)</f>
        <v>MARYLIA CARVALHO PONCE</v>
      </c>
    </row>
    <row r="121" spans="1:15" x14ac:dyDescent="0.25">
      <c r="A121" s="4" t="str">
        <f t="shared" si="1"/>
        <v>DESPESA DE REPRESENTAÇÃO - ALMOÇO - TRADER - GIOVANNE TELES (164040-4185AM)</v>
      </c>
      <c r="B121" s="11">
        <v>46266</v>
      </c>
      <c r="C121" s="4">
        <v>817991</v>
      </c>
      <c r="D121" s="1" t="s">
        <v>626</v>
      </c>
      <c r="E121" s="14">
        <v>-1934.56</v>
      </c>
      <c r="F121" s="5" t="s">
        <v>447</v>
      </c>
      <c r="G121" s="2">
        <v>46289</v>
      </c>
      <c r="H121" s="9">
        <f>_xlfn.XLOOKUP(SET!L121,Clientes!E:E,Clientes!B:B,0,0,1)</f>
        <v>14479</v>
      </c>
      <c r="I121" s="4"/>
      <c r="J121" s="5" t="s">
        <v>447</v>
      </c>
      <c r="K121" s="7" t="s">
        <v>3129</v>
      </c>
      <c r="L121" s="1" t="s">
        <v>583</v>
      </c>
      <c r="M121" s="9" t="str">
        <f>_xlfn.XLOOKUP(L121,Clientes!E:E,Clientes!F:F,0,0,1)</f>
        <v>TRADER</v>
      </c>
      <c r="N121" s="4" t="str">
        <f>VLOOKUP(H121,Clientes!B:D,3,)</f>
        <v>BANCO SANTANDER (BRASIL) S/A</v>
      </c>
      <c r="O121" t="str">
        <f>_xlfn.XLOOKUP(D121,'[1]Matriz Brokers'!$C:$C,'[1]Matriz Brokers'!$C:$C,0,0,1)</f>
        <v>ANTÔNIO MARTINS NETO</v>
      </c>
    </row>
    <row r="122" spans="1:15" x14ac:dyDescent="0.25">
      <c r="A122" s="4" t="str">
        <f t="shared" si="1"/>
        <v>DESPESA DE REPRESENTAÇÃO - ALMOÇO COM POSSÍVEIS CONTRATAÇÕES  - BROKER - RICARDO ANDRE VASCONCELOS RAMOS (095707-4185RR)</v>
      </c>
      <c r="B122" s="11">
        <v>46266</v>
      </c>
      <c r="C122" s="4">
        <v>817991</v>
      </c>
      <c r="D122" s="1" t="s">
        <v>604</v>
      </c>
      <c r="E122" s="14">
        <v>-1037.9000000000001</v>
      </c>
      <c r="F122" s="5" t="s">
        <v>447</v>
      </c>
      <c r="G122" s="2">
        <v>46289</v>
      </c>
      <c r="H122" s="9">
        <f>_xlfn.XLOOKUP(SET!L122,Clientes!E:E,Clientes!B:B,0,0,1)</f>
        <v>1170</v>
      </c>
      <c r="I122" s="4"/>
      <c r="J122" s="5" t="s">
        <v>3131</v>
      </c>
      <c r="K122" s="7" t="s">
        <v>3130</v>
      </c>
      <c r="L122" s="1" t="s">
        <v>604</v>
      </c>
      <c r="M122" s="9" t="str">
        <f>_xlfn.XLOOKUP(L122,Clientes!E:E,Clientes!F:F,0,0,1)</f>
        <v>BROKER</v>
      </c>
      <c r="N122" s="4" t="str">
        <f>VLOOKUP(H122,Clientes!B:D,3,)</f>
        <v>BGC LIQUIDEZ DTVM LTDA</v>
      </c>
      <c r="O122" t="str">
        <f>_xlfn.XLOOKUP(D122,'[1]Matriz Brokers'!$C:$C,'[1]Matriz Brokers'!$C:$C,0,0,1)</f>
        <v>RICARDO ANDRE VASCONCELOS RAMOS</v>
      </c>
    </row>
    <row r="123" spans="1:15" x14ac:dyDescent="0.25">
      <c r="A123" s="4" t="str">
        <f t="shared" si="1"/>
        <v>DESPESA DE REPRESENTAÇÃO - ALMOÇO - TRADER - LEONARDO MACHADO (175804-4185MP)</v>
      </c>
      <c r="B123" s="11">
        <v>46266</v>
      </c>
      <c r="C123" s="4">
        <v>817991</v>
      </c>
      <c r="D123" s="1" t="s">
        <v>477</v>
      </c>
      <c r="E123" s="14">
        <v>-206.3</v>
      </c>
      <c r="F123" s="5" t="s">
        <v>447</v>
      </c>
      <c r="G123" s="2">
        <v>46289</v>
      </c>
      <c r="H123" s="9">
        <v>80111</v>
      </c>
      <c r="I123" s="4"/>
      <c r="J123" s="5" t="s">
        <v>447</v>
      </c>
      <c r="K123" s="7" t="s">
        <v>3132</v>
      </c>
      <c r="L123" s="1" t="s">
        <v>499</v>
      </c>
      <c r="M123" s="9" t="s">
        <v>335</v>
      </c>
      <c r="N123" s="4" t="str">
        <f>VLOOKUP(H123,Clientes!B:D,3,)</f>
        <v>IBIUNA GESTAO DE RECURSOS LTDA</v>
      </c>
      <c r="O123" t="str">
        <f>_xlfn.XLOOKUP(D123,'[1]Matriz Brokers'!$C:$C,'[1]Matriz Brokers'!$C:$C,0,0,1)</f>
        <v>MARYLIA CARVALHO PONCE</v>
      </c>
    </row>
    <row r="124" spans="1:15" x14ac:dyDescent="0.25">
      <c r="A124" s="4" t="str">
        <f t="shared" si="1"/>
        <v>DESPESA DE REPRESENTAÇÃO - ALMOÇO - TRADER - HENRIQUE KASTEN PEINADO (170323-4185AM)</v>
      </c>
      <c r="B124" s="11">
        <v>46266</v>
      </c>
      <c r="C124" s="4">
        <v>817991</v>
      </c>
      <c r="D124" s="1" t="s">
        <v>626</v>
      </c>
      <c r="E124" s="14">
        <v>-1136.0999999999999</v>
      </c>
      <c r="F124" s="5" t="s">
        <v>447</v>
      </c>
      <c r="G124" s="2">
        <v>46289</v>
      </c>
      <c r="H124" s="9">
        <f>_xlfn.XLOOKUP(SET!L124,Clientes!E:E,Clientes!B:B,0,0,1)</f>
        <v>80958</v>
      </c>
      <c r="I124" s="4"/>
      <c r="J124" s="5" t="s">
        <v>447</v>
      </c>
      <c r="K124" s="7" t="s">
        <v>3133</v>
      </c>
      <c r="L124" s="1" t="s">
        <v>587</v>
      </c>
      <c r="M124" s="9" t="str">
        <f>_xlfn.XLOOKUP(L124,Clientes!E:E,Clientes!F:F,0,0,1)</f>
        <v>TRADER</v>
      </c>
      <c r="N124" s="4" t="str">
        <f>VLOOKUP(H124,Clientes!B:D,3,)</f>
        <v>ITAU UNIBANCO ASSET - OPTIMUS</v>
      </c>
      <c r="O124" t="str">
        <f>_xlfn.XLOOKUP(D124,'[1]Matriz Brokers'!$C:$C,'[1]Matriz Brokers'!$C:$C,0,0,1)</f>
        <v>ANTÔNIO MARTINS NETO</v>
      </c>
    </row>
    <row r="125" spans="1:15" x14ac:dyDescent="0.25">
      <c r="A125" s="4" t="str">
        <f t="shared" si="1"/>
        <v>DESPESA DE REPRESENTAÇÃO - ALMOÇO - TRADER - KRISTOPHER K HOMEM M ROBINSON (165719-4185AM)</v>
      </c>
      <c r="B125" s="11">
        <v>46266</v>
      </c>
      <c r="C125" s="4">
        <v>817991</v>
      </c>
      <c r="D125" s="1" t="s">
        <v>626</v>
      </c>
      <c r="E125" s="14">
        <v>-1323.23</v>
      </c>
      <c r="F125" s="5" t="s">
        <v>447</v>
      </c>
      <c r="G125" s="2">
        <v>46289</v>
      </c>
      <c r="H125" s="9">
        <f>_xlfn.XLOOKUP(SET!L125,Clientes!E:E,Clientes!B:B,0,0,1)</f>
        <v>80386</v>
      </c>
      <c r="I125" s="4"/>
      <c r="J125" s="5" t="s">
        <v>447</v>
      </c>
      <c r="K125" s="7" t="s">
        <v>3134</v>
      </c>
      <c r="L125" s="1" t="s">
        <v>2180</v>
      </c>
      <c r="M125" s="9" t="str">
        <f>_xlfn.XLOOKUP(L125,Clientes!E:E,Clientes!F:F,0,0,1)</f>
        <v>TRADER</v>
      </c>
      <c r="N125" s="4" t="str">
        <f>VLOOKUP(H125,Clientes!B:D,3,)</f>
        <v>LEGACY CAPITAL GESTORA DE RECURSOS LTDA</v>
      </c>
      <c r="O125" t="str">
        <f>_xlfn.XLOOKUP(D125,'[1]Matriz Brokers'!$C:$C,'[1]Matriz Brokers'!$C:$C,0,0,1)</f>
        <v>ANTÔNIO MARTINS NETO</v>
      </c>
    </row>
    <row r="126" spans="1:15" x14ac:dyDescent="0.25">
      <c r="A126" s="4" t="str">
        <f t="shared" si="1"/>
        <v>DESPESA DE REPRESENTAÇÃO - ALMOÇO COM CLIENTE POLIGONO - TRADER - GUILHERME RIBEIRO (141240-4185DG)</v>
      </c>
      <c r="B126" s="11">
        <v>46266</v>
      </c>
      <c r="C126" s="4">
        <v>817991</v>
      </c>
      <c r="D126" s="1" t="s">
        <v>516</v>
      </c>
      <c r="E126" s="14">
        <v>-670.09</v>
      </c>
      <c r="F126" s="5" t="s">
        <v>447</v>
      </c>
      <c r="G126" s="2">
        <v>46289</v>
      </c>
      <c r="H126" s="9">
        <v>1170</v>
      </c>
      <c r="I126" s="4"/>
      <c r="J126" s="5" t="s">
        <v>3136</v>
      </c>
      <c r="K126" s="7" t="s">
        <v>3135</v>
      </c>
      <c r="L126" s="1" t="s">
        <v>3137</v>
      </c>
      <c r="M126" s="9" t="s">
        <v>335</v>
      </c>
      <c r="N126" s="4" t="str">
        <f>VLOOKUP(H126,Clientes!B:D,3,)</f>
        <v>BGC LIQUIDEZ DTVM LTDA</v>
      </c>
      <c r="O126" t="str">
        <f>_xlfn.XLOOKUP(D126,'[1]Matriz Brokers'!$C:$C,'[1]Matriz Brokers'!$C:$C,0,0,1)</f>
        <v>DANIEL TEIXEIRA SIQUEIRA GONÇALVES</v>
      </c>
    </row>
    <row r="127" spans="1:15" x14ac:dyDescent="0.25">
      <c r="A127" s="4" t="str">
        <f t="shared" si="1"/>
        <v>DESPESA DE REPRESENTAÇÃO - HAPPY HOUR - TRADER - FABIO LUIZ SALAS MARANHO (095759-4185AA)</v>
      </c>
      <c r="B127" s="11">
        <v>46266</v>
      </c>
      <c r="C127" s="4">
        <v>817991</v>
      </c>
      <c r="D127" s="1" t="s">
        <v>379</v>
      </c>
      <c r="E127" s="14">
        <v>-1132</v>
      </c>
      <c r="F127" s="5" t="s">
        <v>387</v>
      </c>
      <c r="G127" s="2">
        <v>46289</v>
      </c>
      <c r="H127" s="9">
        <f>_xlfn.XLOOKUP(SET!L127,Clientes!E:E,Clientes!B:B,0,0,1)</f>
        <v>80650</v>
      </c>
      <c r="I127" s="4"/>
      <c r="J127" s="4" t="s">
        <v>485</v>
      </c>
      <c r="K127" s="7" t="s">
        <v>3138</v>
      </c>
      <c r="L127" s="1" t="s">
        <v>405</v>
      </c>
      <c r="M127" s="9" t="str">
        <f>_xlfn.XLOOKUP(L127,Clientes!E:E,Clientes!F:F,0,0,1)</f>
        <v>TRADER</v>
      </c>
      <c r="N127" s="4" t="str">
        <f>VLOOKUP(H127,Clientes!B:D,3,)</f>
        <v>BANCO SOFISA S/A</v>
      </c>
      <c r="O127" t="str">
        <f>_xlfn.XLOOKUP(D127,'[1]Matriz Brokers'!$C:$C,'[1]Matriz Brokers'!$C:$C,0,0,1)</f>
        <v>ANTONIO AGIZ FILHO</v>
      </c>
    </row>
    <row r="128" spans="1:15" x14ac:dyDescent="0.25">
      <c r="A128" s="4" t="str">
        <f t="shared" si="1"/>
        <v>DESPESA DE REPRESENTAÇÃO - ALMOÇO COM RJI - TRADER - MARIANA SOARES (152822-4185RM)</v>
      </c>
      <c r="B128" s="11">
        <v>46266</v>
      </c>
      <c r="C128" s="4">
        <v>817991</v>
      </c>
      <c r="D128" s="1" t="s">
        <v>666</v>
      </c>
      <c r="E128" s="14">
        <v>-495.39</v>
      </c>
      <c r="F128" s="5" t="s">
        <v>447</v>
      </c>
      <c r="G128" s="2">
        <v>46289</v>
      </c>
      <c r="H128" s="9">
        <v>1170</v>
      </c>
      <c r="I128" s="4"/>
      <c r="J128" s="5" t="s">
        <v>3140</v>
      </c>
      <c r="K128" s="7" t="s">
        <v>3139</v>
      </c>
      <c r="L128" s="1" t="s">
        <v>3141</v>
      </c>
      <c r="M128" s="9" t="s">
        <v>335</v>
      </c>
      <c r="N128" s="4" t="str">
        <f>VLOOKUP(H128,Clientes!B:D,3,)</f>
        <v>BGC LIQUIDEZ DTVM LTDA</v>
      </c>
      <c r="O128" t="str">
        <f>_xlfn.XLOOKUP(D128,'[1]Matriz Brokers'!$C:$C,'[1]Matriz Brokers'!$C:$C,0,0,1)</f>
        <v>RODRIGO MOURA MARQUES</v>
      </c>
    </row>
    <row r="129" spans="1:15" x14ac:dyDescent="0.25">
      <c r="A129" s="4" t="str">
        <f t="shared" si="1"/>
        <v>DESPESA DE REPRESENTAÇÃO - ALMOÇO - TRADER - MATHIAS CLERC (165958-4185AM)</v>
      </c>
      <c r="B129" s="11">
        <v>46266</v>
      </c>
      <c r="C129" s="4">
        <v>817991</v>
      </c>
      <c r="D129" s="1" t="s">
        <v>626</v>
      </c>
      <c r="E129" s="14">
        <v>-459.91</v>
      </c>
      <c r="F129" s="5" t="s">
        <v>447</v>
      </c>
      <c r="G129" s="2">
        <v>46289</v>
      </c>
      <c r="H129" s="9">
        <f>_xlfn.XLOOKUP(SET!L129,Clientes!E:E,Clientes!B:B,0,0,1)</f>
        <v>82467</v>
      </c>
      <c r="I129" s="4"/>
      <c r="J129" s="5" t="s">
        <v>447</v>
      </c>
      <c r="K129" s="7" t="s">
        <v>3142</v>
      </c>
      <c r="L129" s="1" t="s">
        <v>3143</v>
      </c>
      <c r="M129" s="9" t="str">
        <f>_xlfn.XLOOKUP(L129,Clientes!E:E,Clientes!F:F,0,0,1)</f>
        <v>TRADER</v>
      </c>
      <c r="N129" s="4" t="str">
        <f>VLOOKUP(H129,Clientes!B:D,3,)</f>
        <v>BRAM - BRADESCO ASSET MANAGEMENT S/A DTVM</v>
      </c>
      <c r="O129" t="str">
        <f>_xlfn.XLOOKUP(D129,'[1]Matriz Brokers'!$C:$C,'[1]Matriz Brokers'!$C:$C,0,0,1)</f>
        <v>ANTÔNIO MARTINS NETO</v>
      </c>
    </row>
    <row r="130" spans="1:15" x14ac:dyDescent="0.25">
      <c r="A130" s="4" t="str">
        <f t="shared" si="1"/>
        <v>DESPESA DE REPRESENTAÇÃO - ALMOÇO - TRADER - RICARDO LEOPOLDO (135933-4185EC)</v>
      </c>
      <c r="B130" s="11">
        <v>46266</v>
      </c>
      <c r="C130" s="4">
        <v>817991</v>
      </c>
      <c r="D130" s="1" t="s">
        <v>647</v>
      </c>
      <c r="E130" s="14">
        <v>-1191</v>
      </c>
      <c r="F130" s="5" t="s">
        <v>447</v>
      </c>
      <c r="G130" s="2">
        <v>46289</v>
      </c>
      <c r="H130" s="9">
        <v>82597</v>
      </c>
      <c r="I130" s="4"/>
      <c r="J130" s="5" t="s">
        <v>447</v>
      </c>
      <c r="K130" s="7" t="s">
        <v>3144</v>
      </c>
      <c r="L130" s="1" t="s">
        <v>3145</v>
      </c>
      <c r="M130" s="9" t="s">
        <v>335</v>
      </c>
      <c r="N130" s="4" t="str">
        <f>VLOOKUP(H130,Clientes!B:D,3,)</f>
        <v>PORTO SEGURO INVESTIMENTOS LTDA</v>
      </c>
      <c r="O130" t="str">
        <f>_xlfn.XLOOKUP(D130,'[1]Matriz Brokers'!$C:$C,'[1]Matriz Brokers'!$C:$C,0,0,1)</f>
        <v>ENRICO BORTPLUZO CASSIANO</v>
      </c>
    </row>
    <row r="131" spans="1:15" x14ac:dyDescent="0.25">
      <c r="A131" s="4" t="str">
        <f t="shared" ref="A131:A194" si="2">CONCATENATE($J$1,J131,$I$3,M131,$I$3,L131,$I$1,K131,$I$2)</f>
        <v>DESPESA DE REPRESENTAÇÃO - 3 INGRESSOS PARA SHOW DO SEAL EM 28/11 - TRADER - ISABELA PAIVA RITZMANN (081223-4185PI)</v>
      </c>
      <c r="B131" s="11">
        <v>46266</v>
      </c>
      <c r="C131" s="4">
        <v>817991</v>
      </c>
      <c r="D131" s="1" t="s">
        <v>772</v>
      </c>
      <c r="E131" s="14">
        <v>-5839</v>
      </c>
      <c r="F131" s="5" t="s">
        <v>387</v>
      </c>
      <c r="G131" s="2">
        <v>46289</v>
      </c>
      <c r="H131" s="9">
        <f>_xlfn.XLOOKUP(SET!L131,Clientes!E:E,Clientes!B:B,0,0,1)</f>
        <v>79455</v>
      </c>
      <c r="I131" s="4"/>
      <c r="J131" s="4" t="s">
        <v>3146</v>
      </c>
      <c r="K131" s="7" t="s">
        <v>3147</v>
      </c>
      <c r="L131" s="1" t="s">
        <v>1941</v>
      </c>
      <c r="M131" s="9" t="str">
        <f>_xlfn.XLOOKUP(L131,Clientes!E:E,Clientes!F:F,0,0,1)</f>
        <v>TRADER</v>
      </c>
      <c r="N131" s="4" t="str">
        <f>VLOOKUP(H131,Clientes!B:D,3,)</f>
        <v>ITAU UNIBANCO S/A</v>
      </c>
      <c r="O131" t="str">
        <f>_xlfn.XLOOKUP(D131,'[1]Matriz Brokers'!$C:$C,'[1]Matriz Brokers'!$C:$C,0,0,1)</f>
        <v>PAOLO FRANCA LIDA</v>
      </c>
    </row>
    <row r="132" spans="1:15" x14ac:dyDescent="0.25">
      <c r="A132" s="4" t="str">
        <f t="shared" si="2"/>
        <v>DESPESA DE REPRESENTAÇÃO -  - 0 -  ()</v>
      </c>
      <c r="B132" s="11">
        <v>46266</v>
      </c>
      <c r="C132" s="4">
        <v>817991</v>
      </c>
      <c r="D132" s="1"/>
      <c r="E132" s="14"/>
      <c r="F132" s="5"/>
      <c r="G132" s="2"/>
      <c r="H132" s="9">
        <f>_xlfn.XLOOKUP(SET!L132,Clientes!E:E,Clientes!B:B,0,0,1)</f>
        <v>0</v>
      </c>
      <c r="I132" s="4"/>
      <c r="J132" s="5"/>
      <c r="K132" s="7"/>
      <c r="L132" s="1"/>
      <c r="M132" s="9">
        <f>_xlfn.XLOOKUP(L132,Clientes!E:E,Clientes!F:F,0,0,1)</f>
        <v>0</v>
      </c>
      <c r="N132" s="4" t="e">
        <f>VLOOKUP(H132,Clientes!B:D,3,)</f>
        <v>#N/A</v>
      </c>
      <c r="O132">
        <f>_xlfn.XLOOKUP(D132,'[1]Matriz Brokers'!$C:$C,'[1]Matriz Brokers'!$C:$C,0,0,1)</f>
        <v>0</v>
      </c>
    </row>
    <row r="133" spans="1:15" x14ac:dyDescent="0.25">
      <c r="A133" s="4" t="str">
        <f t="shared" si="2"/>
        <v>DESPESA DE REPRESENTAÇÃO -  - 0 -  ()</v>
      </c>
      <c r="B133" s="11">
        <v>46266</v>
      </c>
      <c r="C133" s="4">
        <v>817991</v>
      </c>
      <c r="D133" s="1"/>
      <c r="E133" s="14"/>
      <c r="F133" s="5"/>
      <c r="G133" s="2"/>
      <c r="H133" s="9">
        <f>_xlfn.XLOOKUP(SET!L133,Clientes!E:E,Clientes!B:B,0,0,1)</f>
        <v>0</v>
      </c>
      <c r="I133" s="4"/>
      <c r="J133" s="4"/>
      <c r="K133" s="7"/>
      <c r="L133" s="1"/>
      <c r="M133" s="9">
        <f>_xlfn.XLOOKUP(L133,Clientes!E:E,Clientes!F:F,0,0,1)</f>
        <v>0</v>
      </c>
      <c r="N133" s="4" t="e">
        <f>VLOOKUP(H133,Clientes!B:D,3,)</f>
        <v>#N/A</v>
      </c>
      <c r="O133">
        <f>_xlfn.XLOOKUP(D133,'[1]Matriz Brokers'!$C:$C,'[1]Matriz Brokers'!$C:$C,0,0,1)</f>
        <v>0</v>
      </c>
    </row>
    <row r="134" spans="1:15" x14ac:dyDescent="0.25">
      <c r="A134" s="4" t="str">
        <f t="shared" si="2"/>
        <v>DESPESA DE REPRESENTAÇÃO -  - 0 -  ()</v>
      </c>
      <c r="B134" s="11">
        <v>46266</v>
      </c>
      <c r="C134" s="4">
        <v>817991</v>
      </c>
      <c r="D134" s="1"/>
      <c r="E134" s="14"/>
      <c r="F134" s="5"/>
      <c r="G134" s="2"/>
      <c r="H134" s="9">
        <f>_xlfn.XLOOKUP(SET!L134,Clientes!E:E,Clientes!B:B,0,0,1)</f>
        <v>0</v>
      </c>
      <c r="I134" s="4"/>
      <c r="J134" s="5"/>
      <c r="K134" s="7"/>
      <c r="L134" s="1"/>
      <c r="M134" s="9">
        <f>_xlfn.XLOOKUP(L134,Clientes!E:E,Clientes!F:F,0,0,1)</f>
        <v>0</v>
      </c>
      <c r="N134" s="4" t="e">
        <f>VLOOKUP(H134,Clientes!B:D,3,)</f>
        <v>#N/A</v>
      </c>
      <c r="O134">
        <f>_xlfn.XLOOKUP(D134,'[1]Matriz Brokers'!$C:$C,'[1]Matriz Brokers'!$C:$C,0,0,1)</f>
        <v>0</v>
      </c>
    </row>
    <row r="135" spans="1:15" x14ac:dyDescent="0.25">
      <c r="A135" s="4" t="str">
        <f t="shared" si="2"/>
        <v>DESPESA DE REPRESENTAÇÃO -  - 0 -  ()</v>
      </c>
      <c r="B135" s="11">
        <v>46266</v>
      </c>
      <c r="C135" s="4">
        <v>817991</v>
      </c>
      <c r="D135" s="1"/>
      <c r="E135" s="14"/>
      <c r="F135" s="5"/>
      <c r="G135" s="2"/>
      <c r="H135" s="9">
        <f>_xlfn.XLOOKUP(SET!L135,Clientes!E:E,Clientes!B:B,0,0,1)</f>
        <v>0</v>
      </c>
      <c r="I135" s="4"/>
      <c r="J135" s="5"/>
      <c r="K135" s="7"/>
      <c r="L135" s="1"/>
      <c r="M135" s="9">
        <f>_xlfn.XLOOKUP(L135,Clientes!E:E,Clientes!F:F,0,0,1)</f>
        <v>0</v>
      </c>
      <c r="N135" s="4" t="e">
        <f>VLOOKUP(H135,Clientes!B:D,3,)</f>
        <v>#N/A</v>
      </c>
      <c r="O135">
        <f>_xlfn.XLOOKUP(D135,'[1]Matriz Brokers'!$C:$C,'[1]Matriz Brokers'!$C:$C,0,0,1)</f>
        <v>0</v>
      </c>
    </row>
    <row r="136" spans="1:15" x14ac:dyDescent="0.25">
      <c r="A136" s="4" t="str">
        <f t="shared" si="2"/>
        <v>DESPESA DE REPRESENTAÇÃO -  - 0 -  ()</v>
      </c>
      <c r="B136" s="11">
        <v>46266</v>
      </c>
      <c r="C136" s="4">
        <v>817991</v>
      </c>
      <c r="D136" s="1"/>
      <c r="E136" s="14"/>
      <c r="F136" s="5"/>
      <c r="G136" s="2"/>
      <c r="H136" s="9">
        <f>_xlfn.XLOOKUP(SET!L136,Clientes!E:E,Clientes!B:B,0,0,1)</f>
        <v>0</v>
      </c>
      <c r="I136" s="4"/>
      <c r="J136" s="5"/>
      <c r="K136" s="7"/>
      <c r="L136" s="1"/>
      <c r="M136" s="9">
        <f>_xlfn.XLOOKUP(L136,Clientes!E:E,Clientes!F:F,0,0,1)</f>
        <v>0</v>
      </c>
      <c r="N136" s="4" t="e">
        <f>VLOOKUP(H136,Clientes!B:D,3,)</f>
        <v>#N/A</v>
      </c>
      <c r="O136">
        <f>_xlfn.XLOOKUP(D136,'[1]Matriz Brokers'!$C:$C,'[1]Matriz Brokers'!$C:$C,0,0,1)</f>
        <v>0</v>
      </c>
    </row>
    <row r="137" spans="1:15" x14ac:dyDescent="0.25">
      <c r="A137" s="4" t="str">
        <f t="shared" si="2"/>
        <v>DESPESA DE REPRESENTAÇÃO -  - 0 -  ()</v>
      </c>
      <c r="B137" s="11">
        <v>46266</v>
      </c>
      <c r="C137" s="4">
        <v>817991</v>
      </c>
      <c r="D137" s="1"/>
      <c r="E137" s="14"/>
      <c r="F137" s="5"/>
      <c r="G137" s="2"/>
      <c r="H137" s="9">
        <f>_xlfn.XLOOKUP(SET!L137,Clientes!E:E,Clientes!B:B,0,0,1)</f>
        <v>0</v>
      </c>
      <c r="I137" s="4"/>
      <c r="J137" s="5"/>
      <c r="K137" s="7"/>
      <c r="L137" s="1"/>
      <c r="M137" s="9">
        <f>_xlfn.XLOOKUP(L137,Clientes!E:E,Clientes!F:F,0,0,1)</f>
        <v>0</v>
      </c>
      <c r="N137" s="4" t="e">
        <f>VLOOKUP(H137,Clientes!B:D,3,)</f>
        <v>#N/A</v>
      </c>
      <c r="O137">
        <f>_xlfn.XLOOKUP(D137,'[1]Matriz Brokers'!$C:$C,'[1]Matriz Brokers'!$C:$C,0,0,1)</f>
        <v>0</v>
      </c>
    </row>
    <row r="138" spans="1:15" x14ac:dyDescent="0.25">
      <c r="A138" s="4" t="str">
        <f t="shared" si="2"/>
        <v>DESPESA DE REPRESENTAÇÃO -  - 0 -  ()</v>
      </c>
      <c r="B138" s="11">
        <v>46266</v>
      </c>
      <c r="C138" s="4">
        <v>817991</v>
      </c>
      <c r="D138" s="1"/>
      <c r="E138" s="14"/>
      <c r="F138" s="5"/>
      <c r="G138" s="2"/>
      <c r="H138" s="9">
        <f>_xlfn.XLOOKUP(SET!L138,Clientes!E:E,Clientes!B:B,0,0,1)</f>
        <v>0</v>
      </c>
      <c r="I138" s="4"/>
      <c r="J138" s="5"/>
      <c r="K138" s="7"/>
      <c r="L138" s="1"/>
      <c r="M138" s="9">
        <f>_xlfn.XLOOKUP(L138,Clientes!E:E,Clientes!F:F,0,0,1)</f>
        <v>0</v>
      </c>
      <c r="N138" s="4" t="e">
        <f>VLOOKUP(H138,Clientes!B:D,3,)</f>
        <v>#N/A</v>
      </c>
      <c r="O138">
        <f>_xlfn.XLOOKUP(D138,'[1]Matriz Brokers'!$C:$C,'[1]Matriz Brokers'!$C:$C,0,0,1)</f>
        <v>0</v>
      </c>
    </row>
    <row r="139" spans="1:15" x14ac:dyDescent="0.25">
      <c r="A139" s="4" t="str">
        <f t="shared" si="2"/>
        <v>DESPESA DE REPRESENTAÇÃO -  - 0 -  ()</v>
      </c>
      <c r="B139" s="11">
        <v>46266</v>
      </c>
      <c r="C139" s="4">
        <v>817991</v>
      </c>
      <c r="D139" s="1"/>
      <c r="E139" s="14"/>
      <c r="F139" s="5"/>
      <c r="G139" s="2"/>
      <c r="H139" s="9">
        <f>_xlfn.XLOOKUP(SET!L139,Clientes!E:E,Clientes!B:B,0,0,1)</f>
        <v>0</v>
      </c>
      <c r="I139" s="4"/>
      <c r="J139" s="4"/>
      <c r="K139" s="7"/>
      <c r="L139" s="1"/>
      <c r="M139" s="9">
        <f>_xlfn.XLOOKUP(L139,Clientes!E:E,Clientes!F:F,0,0,1)</f>
        <v>0</v>
      </c>
      <c r="N139" s="4" t="e">
        <f>VLOOKUP(H139,Clientes!B:D,3,)</f>
        <v>#N/A</v>
      </c>
      <c r="O139">
        <f>_xlfn.XLOOKUP(D139,'[1]Matriz Brokers'!$C:$C,'[1]Matriz Brokers'!$C:$C,0,0,1)</f>
        <v>0</v>
      </c>
    </row>
    <row r="140" spans="1:15" x14ac:dyDescent="0.25">
      <c r="A140" s="4" t="str">
        <f t="shared" si="2"/>
        <v>DESPESA DE REPRESENTAÇÃO -  - 0 -  ()</v>
      </c>
      <c r="B140" s="11">
        <v>46266</v>
      </c>
      <c r="C140" s="4">
        <v>817991</v>
      </c>
      <c r="D140" s="1"/>
      <c r="E140" s="14"/>
      <c r="F140" s="5"/>
      <c r="G140" s="2"/>
      <c r="H140" s="9">
        <f>_xlfn.XLOOKUP(SET!L140,Clientes!E:E,Clientes!B:B,0,0,1)</f>
        <v>0</v>
      </c>
      <c r="I140" s="4"/>
      <c r="J140" s="4"/>
      <c r="K140" s="7"/>
      <c r="L140" s="1"/>
      <c r="M140" s="9">
        <f>_xlfn.XLOOKUP(L140,Clientes!E:E,Clientes!F:F,0,0,1)</f>
        <v>0</v>
      </c>
      <c r="N140" s="4" t="e">
        <f>VLOOKUP(H140,Clientes!B:D,3,)</f>
        <v>#N/A</v>
      </c>
      <c r="O140">
        <f>_xlfn.XLOOKUP(D140,'[1]Matriz Brokers'!$C:$C,'[1]Matriz Brokers'!$C:$C,0,0,1)</f>
        <v>0</v>
      </c>
    </row>
    <row r="141" spans="1:15" x14ac:dyDescent="0.25">
      <c r="A141" s="4" t="str">
        <f t="shared" si="2"/>
        <v>DESPESA DE REPRESENTAÇÃO -  - 0 -  ()</v>
      </c>
      <c r="B141" s="11">
        <v>46266</v>
      </c>
      <c r="C141" s="4">
        <v>817991</v>
      </c>
      <c r="D141" s="1"/>
      <c r="E141" s="14"/>
      <c r="F141" s="5"/>
      <c r="G141" s="2"/>
      <c r="H141" s="9">
        <f>_xlfn.XLOOKUP(SET!L141,Clientes!E:E,Clientes!B:B,0,0,1)</f>
        <v>0</v>
      </c>
      <c r="I141" s="4"/>
      <c r="J141" s="5"/>
      <c r="K141" s="7"/>
      <c r="L141" s="1"/>
      <c r="M141" s="9">
        <f>_xlfn.XLOOKUP(L141,Clientes!E:E,Clientes!F:F,0,0,1)</f>
        <v>0</v>
      </c>
      <c r="N141" s="4" t="e">
        <f>VLOOKUP(H141,Clientes!B:D,3,)</f>
        <v>#N/A</v>
      </c>
      <c r="O141">
        <f>_xlfn.XLOOKUP(D141,'[1]Matriz Brokers'!$C:$C,'[1]Matriz Brokers'!$C:$C,0,0,1)</f>
        <v>0</v>
      </c>
    </row>
    <row r="142" spans="1:15" x14ac:dyDescent="0.25">
      <c r="A142" s="4" t="str">
        <f t="shared" si="2"/>
        <v>DESPESA DE REPRESENTAÇÃO -  - 0 -  ()</v>
      </c>
      <c r="B142" s="11">
        <v>46266</v>
      </c>
      <c r="C142" s="4">
        <v>817991</v>
      </c>
      <c r="D142" s="1"/>
      <c r="E142" s="14"/>
      <c r="F142" s="5"/>
      <c r="G142" s="2"/>
      <c r="H142" s="9">
        <f>_xlfn.XLOOKUP(SET!L142,Clientes!E:E,Clientes!B:B,0,0,1)</f>
        <v>0</v>
      </c>
      <c r="I142" s="4"/>
      <c r="J142" s="5"/>
      <c r="K142" s="7"/>
      <c r="L142" s="1"/>
      <c r="M142" s="9">
        <f>_xlfn.XLOOKUP(L142,Clientes!E:E,Clientes!F:F,0,0,1)</f>
        <v>0</v>
      </c>
      <c r="N142" s="4" t="e">
        <f>VLOOKUP(H142,Clientes!B:D,3,)</f>
        <v>#N/A</v>
      </c>
      <c r="O142">
        <f>_xlfn.XLOOKUP(D142,'[1]Matriz Brokers'!$C:$C,'[1]Matriz Brokers'!$C:$C,0,0,1)</f>
        <v>0</v>
      </c>
    </row>
    <row r="143" spans="1:15" x14ac:dyDescent="0.25">
      <c r="A143" s="4" t="str">
        <f t="shared" si="2"/>
        <v>DESPESA DE REPRESENTAÇÃO -  - 0 -  ()</v>
      </c>
      <c r="B143" s="11">
        <v>46266</v>
      </c>
      <c r="C143" s="4">
        <v>817991</v>
      </c>
      <c r="D143" s="1"/>
      <c r="E143" s="14"/>
      <c r="F143" s="5"/>
      <c r="G143" s="2"/>
      <c r="H143" s="9">
        <f>_xlfn.XLOOKUP(SET!L143,Clientes!E:E,Clientes!B:B,0,0,1)</f>
        <v>0</v>
      </c>
      <c r="I143" s="4"/>
      <c r="J143" s="5"/>
      <c r="K143" s="7"/>
      <c r="L143" s="1"/>
      <c r="M143" s="9">
        <f>_xlfn.XLOOKUP(L143,Clientes!E:E,Clientes!F:F,0,0,1)</f>
        <v>0</v>
      </c>
      <c r="N143" s="4" t="e">
        <f>VLOOKUP(H143,Clientes!B:D,3,)</f>
        <v>#N/A</v>
      </c>
      <c r="O143">
        <f>_xlfn.XLOOKUP(D143,'[1]Matriz Brokers'!$C:$C,'[1]Matriz Brokers'!$C:$C,0,0,1)</f>
        <v>0</v>
      </c>
    </row>
    <row r="144" spans="1:15" x14ac:dyDescent="0.25">
      <c r="A144" s="4" t="str">
        <f t="shared" si="2"/>
        <v>DESPESA DE REPRESENTAÇÃO -  - 0 -  ()</v>
      </c>
      <c r="B144" s="11">
        <v>46266</v>
      </c>
      <c r="C144" s="4">
        <v>817991</v>
      </c>
      <c r="D144" s="1"/>
      <c r="E144" s="14"/>
      <c r="F144" s="5"/>
      <c r="G144" s="2"/>
      <c r="H144" s="9">
        <f>_xlfn.XLOOKUP(SET!L144,Clientes!E:E,Clientes!B:B,0,0,1)</f>
        <v>0</v>
      </c>
      <c r="I144" s="4"/>
      <c r="J144" s="5"/>
      <c r="K144" s="7"/>
      <c r="L144" s="1"/>
      <c r="M144" s="9">
        <f>_xlfn.XLOOKUP(L144,Clientes!E:E,Clientes!F:F,0,0,1)</f>
        <v>0</v>
      </c>
      <c r="N144" s="4" t="e">
        <f>VLOOKUP(H144,Clientes!B:D,3,)</f>
        <v>#N/A</v>
      </c>
      <c r="O144">
        <f>_xlfn.XLOOKUP(D144,'[1]Matriz Brokers'!$C:$C,'[1]Matriz Brokers'!$C:$C,0,0,1)</f>
        <v>0</v>
      </c>
    </row>
    <row r="145" spans="1:15" x14ac:dyDescent="0.25">
      <c r="A145" s="4" t="str">
        <f t="shared" si="2"/>
        <v>DESPESA DE REPRESENTAÇÃO -  - 0 -  ()</v>
      </c>
      <c r="B145" s="11">
        <v>46266</v>
      </c>
      <c r="C145" s="4">
        <v>817991</v>
      </c>
      <c r="D145" s="1"/>
      <c r="E145" s="14"/>
      <c r="F145" s="5"/>
      <c r="G145" s="2"/>
      <c r="H145" s="9">
        <f>_xlfn.XLOOKUP(SET!L145,Clientes!E:E,Clientes!B:B,0,0,1)</f>
        <v>0</v>
      </c>
      <c r="I145" s="4"/>
      <c r="J145" s="4"/>
      <c r="K145" s="7"/>
      <c r="L145" s="1"/>
      <c r="M145" s="9">
        <f>_xlfn.XLOOKUP(L145,Clientes!E:E,Clientes!F:F,0,0,1)</f>
        <v>0</v>
      </c>
      <c r="N145" s="4" t="e">
        <f>VLOOKUP(H145,Clientes!B:D,3,)</f>
        <v>#N/A</v>
      </c>
      <c r="O145">
        <f>_xlfn.XLOOKUP(D145,'[1]Matriz Brokers'!$C:$C,'[1]Matriz Brokers'!$C:$C,0,0,1)</f>
        <v>0</v>
      </c>
    </row>
    <row r="146" spans="1:15" x14ac:dyDescent="0.25">
      <c r="A146" s="4" t="str">
        <f t="shared" si="2"/>
        <v>DESPESA DE REPRESENTAÇÃO -  - 0 -  ()</v>
      </c>
      <c r="B146" s="11">
        <v>46266</v>
      </c>
      <c r="C146" s="4">
        <v>817991</v>
      </c>
      <c r="D146" s="1"/>
      <c r="E146" s="14"/>
      <c r="F146" s="5"/>
      <c r="G146" s="2"/>
      <c r="H146" s="9">
        <f>_xlfn.XLOOKUP(SET!L146,Clientes!E:E,Clientes!B:B,0,0,1)</f>
        <v>0</v>
      </c>
      <c r="I146" s="4"/>
      <c r="J146" s="5"/>
      <c r="K146" s="7"/>
      <c r="L146" s="1"/>
      <c r="M146" s="9">
        <f>_xlfn.XLOOKUP(L146,Clientes!E:E,Clientes!F:F,0,0,1)</f>
        <v>0</v>
      </c>
      <c r="N146" s="4" t="e">
        <f>VLOOKUP(H146,Clientes!B:D,3,)</f>
        <v>#N/A</v>
      </c>
      <c r="O146">
        <f>_xlfn.XLOOKUP(D146,'[1]Matriz Brokers'!$C:$C,'[1]Matriz Brokers'!$C:$C,0,0,1)</f>
        <v>0</v>
      </c>
    </row>
    <row r="147" spans="1:15" x14ac:dyDescent="0.25">
      <c r="A147" s="4" t="str">
        <f t="shared" si="2"/>
        <v>DESPESA DE REPRESENTAÇÃO -  - 0 -  ()</v>
      </c>
      <c r="B147" s="11">
        <v>46266</v>
      </c>
      <c r="C147" s="4">
        <v>817991</v>
      </c>
      <c r="D147" s="1"/>
      <c r="E147" s="14"/>
      <c r="F147" s="5"/>
      <c r="G147" s="2"/>
      <c r="H147" s="9">
        <f>_xlfn.XLOOKUP(SET!L147,Clientes!E:E,Clientes!B:B,0,0,1)</f>
        <v>0</v>
      </c>
      <c r="I147" s="4"/>
      <c r="J147" s="4"/>
      <c r="K147" s="7"/>
      <c r="L147" s="1"/>
      <c r="M147" s="9">
        <f>_xlfn.XLOOKUP(L147,Clientes!E:E,Clientes!F:F,0,0,1)</f>
        <v>0</v>
      </c>
      <c r="N147" s="4" t="e">
        <f>VLOOKUP(H147,Clientes!B:D,3,)</f>
        <v>#N/A</v>
      </c>
      <c r="O147">
        <f>_xlfn.XLOOKUP(D147,'[1]Matriz Brokers'!$C:$C,'[1]Matriz Brokers'!$C:$C,0,0,1)</f>
        <v>0</v>
      </c>
    </row>
    <row r="148" spans="1:15" x14ac:dyDescent="0.25">
      <c r="A148" s="4" t="str">
        <f t="shared" si="2"/>
        <v>DESPESA DE REPRESENTAÇÃO -  - 0 -  ()</v>
      </c>
      <c r="B148" s="11">
        <v>46266</v>
      </c>
      <c r="C148" s="4">
        <v>817991</v>
      </c>
      <c r="D148" s="1"/>
      <c r="E148" s="14"/>
      <c r="F148" s="5"/>
      <c r="G148" s="2"/>
      <c r="H148" s="9">
        <f>_xlfn.XLOOKUP(SET!L148,Clientes!E:E,Clientes!B:B,0,0,1)</f>
        <v>0</v>
      </c>
      <c r="I148" s="4"/>
      <c r="J148" s="5"/>
      <c r="K148" s="7"/>
      <c r="L148" s="1"/>
      <c r="M148" s="9">
        <f>_xlfn.XLOOKUP(L148,Clientes!E:E,Clientes!F:F,0,0,1)</f>
        <v>0</v>
      </c>
      <c r="N148" s="4" t="e">
        <f>VLOOKUP(H148,Clientes!B:D,3,)</f>
        <v>#N/A</v>
      </c>
      <c r="O148">
        <f>_xlfn.XLOOKUP(D148,'[1]Matriz Brokers'!$C:$C,'[1]Matriz Brokers'!$C:$C,0,0,1)</f>
        <v>0</v>
      </c>
    </row>
    <row r="149" spans="1:15" x14ac:dyDescent="0.25">
      <c r="A149" s="4" t="str">
        <f t="shared" si="2"/>
        <v>DESPESA DE REPRESENTAÇÃO -  - 0 -  ()</v>
      </c>
      <c r="B149" s="11">
        <v>46266</v>
      </c>
      <c r="C149" s="4">
        <v>817991</v>
      </c>
      <c r="D149" s="1"/>
      <c r="E149" s="14"/>
      <c r="F149" s="5"/>
      <c r="G149" s="2"/>
      <c r="H149" s="9">
        <f>_xlfn.XLOOKUP(SET!L149,Clientes!E:E,Clientes!B:B,0,0,1)</f>
        <v>0</v>
      </c>
      <c r="I149" s="4"/>
      <c r="J149" s="5"/>
      <c r="K149" s="7"/>
      <c r="L149" s="1"/>
      <c r="M149" s="9">
        <f>_xlfn.XLOOKUP(L149,Clientes!E:E,Clientes!F:F,0,0,1)</f>
        <v>0</v>
      </c>
      <c r="N149" s="4" t="e">
        <f>VLOOKUP(H149,Clientes!B:D,3,)</f>
        <v>#N/A</v>
      </c>
      <c r="O149">
        <f>_xlfn.XLOOKUP(D149,'[1]Matriz Brokers'!$C:$C,'[1]Matriz Brokers'!$C:$C,0,0,1)</f>
        <v>0</v>
      </c>
    </row>
    <row r="150" spans="1:15" x14ac:dyDescent="0.25">
      <c r="A150" s="4" t="str">
        <f t="shared" si="2"/>
        <v>DESPESA DE REPRESENTAÇÃO -  - 0 -  ()</v>
      </c>
      <c r="B150" s="11">
        <v>46266</v>
      </c>
      <c r="C150" s="4">
        <v>817991</v>
      </c>
      <c r="D150" s="1"/>
      <c r="E150" s="14"/>
      <c r="F150" s="5"/>
      <c r="G150" s="2"/>
      <c r="H150" s="9">
        <f>_xlfn.XLOOKUP(SET!L150,Clientes!E:E,Clientes!B:B,0,0,1)</f>
        <v>0</v>
      </c>
      <c r="I150" s="4"/>
      <c r="J150" s="5"/>
      <c r="K150" s="7"/>
      <c r="L150" s="1"/>
      <c r="M150" s="9">
        <f>_xlfn.XLOOKUP(L150,Clientes!E:E,Clientes!F:F,0,0,1)</f>
        <v>0</v>
      </c>
      <c r="N150" s="4" t="e">
        <f>VLOOKUP(H150,Clientes!B:D,3,)</f>
        <v>#N/A</v>
      </c>
      <c r="O150">
        <f>_xlfn.XLOOKUP(D150,'[1]Matriz Brokers'!$C:$C,'[1]Matriz Brokers'!$C:$C,0,0,1)</f>
        <v>0</v>
      </c>
    </row>
    <row r="151" spans="1:15" x14ac:dyDescent="0.25">
      <c r="A151" s="4" t="str">
        <f t="shared" si="2"/>
        <v>DESPESA DE REPRESENTAÇÃO -  - 0 -  ()</v>
      </c>
      <c r="B151" s="11">
        <v>46266</v>
      </c>
      <c r="C151" s="4">
        <v>817991</v>
      </c>
      <c r="D151" s="1"/>
      <c r="E151" s="14"/>
      <c r="F151" s="5"/>
      <c r="G151" s="2"/>
      <c r="H151" s="9">
        <f>_xlfn.XLOOKUP(SET!L151,Clientes!E:E,Clientes!B:B,0,0,1)</f>
        <v>0</v>
      </c>
      <c r="I151" s="4"/>
      <c r="J151" s="4"/>
      <c r="K151" s="7"/>
      <c r="L151" s="1"/>
      <c r="M151" s="9">
        <f>_xlfn.XLOOKUP(L151,Clientes!E:E,Clientes!F:F,0,0,1)</f>
        <v>0</v>
      </c>
      <c r="N151" s="4" t="e">
        <f>VLOOKUP(H151,Clientes!B:D,3,)</f>
        <v>#N/A</v>
      </c>
      <c r="O151">
        <f>_xlfn.XLOOKUP(D151,'[1]Matriz Brokers'!$C:$C,'[1]Matriz Brokers'!$C:$C,0,0,1)</f>
        <v>0</v>
      </c>
    </row>
    <row r="152" spans="1:15" x14ac:dyDescent="0.25">
      <c r="A152" s="4" t="str">
        <f t="shared" si="2"/>
        <v>DESPESA DE REPRESENTAÇÃO -  - 0 -  ()</v>
      </c>
      <c r="B152" s="11">
        <v>46266</v>
      </c>
      <c r="C152" s="4">
        <v>817991</v>
      </c>
      <c r="D152" s="1"/>
      <c r="E152" s="14"/>
      <c r="F152" s="5"/>
      <c r="G152" s="2"/>
      <c r="H152" s="9">
        <f>_xlfn.XLOOKUP(SET!L152,Clientes!E:E,Clientes!B:B,0,0,1)</f>
        <v>0</v>
      </c>
      <c r="I152" s="4"/>
      <c r="J152" s="4"/>
      <c r="K152" s="7"/>
      <c r="L152" s="1"/>
      <c r="M152" s="9">
        <f>_xlfn.XLOOKUP(L152,Clientes!E:E,Clientes!F:F,0,0,1)</f>
        <v>0</v>
      </c>
      <c r="N152" s="4" t="e">
        <f>VLOOKUP(H152,Clientes!B:D,3,)</f>
        <v>#N/A</v>
      </c>
      <c r="O152">
        <f>_xlfn.XLOOKUP(D152,'[1]Matriz Brokers'!$C:$C,'[1]Matriz Brokers'!$C:$C,0,0,1)</f>
        <v>0</v>
      </c>
    </row>
    <row r="153" spans="1:15" x14ac:dyDescent="0.25">
      <c r="A153" s="4" t="str">
        <f t="shared" si="2"/>
        <v>DESPESA DE REPRESENTAÇÃO -  - 0 -  ()</v>
      </c>
      <c r="B153" s="11">
        <v>46266</v>
      </c>
      <c r="C153" s="4">
        <v>817991</v>
      </c>
      <c r="D153" s="1"/>
      <c r="E153" s="14"/>
      <c r="F153" s="5"/>
      <c r="G153" s="2"/>
      <c r="H153" s="9">
        <f>_xlfn.XLOOKUP(SET!L153,Clientes!E:E,Clientes!B:B,0,0,1)</f>
        <v>0</v>
      </c>
      <c r="I153" s="4"/>
      <c r="J153" s="4"/>
      <c r="K153" s="7"/>
      <c r="L153" s="1"/>
      <c r="M153" s="9">
        <f>_xlfn.XLOOKUP(L153,Clientes!E:E,Clientes!F:F,0,0,1)</f>
        <v>0</v>
      </c>
      <c r="N153" s="4" t="e">
        <f>VLOOKUP(H153,Clientes!B:D,3,)</f>
        <v>#N/A</v>
      </c>
      <c r="O153">
        <f>_xlfn.XLOOKUP(D153,'[1]Matriz Brokers'!$C:$C,'[1]Matriz Brokers'!$C:$C,0,0,1)</f>
        <v>0</v>
      </c>
    </row>
    <row r="154" spans="1:15" x14ac:dyDescent="0.25">
      <c r="A154" s="4" t="str">
        <f t="shared" si="2"/>
        <v>DESPESA DE REPRESENTAÇÃO -  - 0 -  ()</v>
      </c>
      <c r="B154" s="11">
        <v>46266</v>
      </c>
      <c r="C154" s="4">
        <v>817991</v>
      </c>
      <c r="D154" s="1"/>
      <c r="E154" s="14"/>
      <c r="F154" s="5"/>
      <c r="G154" s="2"/>
      <c r="H154" s="9">
        <f>_xlfn.XLOOKUP(SET!L154,Clientes!E:E,Clientes!B:B,0,0,1)</f>
        <v>0</v>
      </c>
      <c r="I154" s="4"/>
      <c r="J154" s="4"/>
      <c r="K154" s="7"/>
      <c r="L154" s="1"/>
      <c r="M154" s="9">
        <f>_xlfn.XLOOKUP(L154,Clientes!E:E,Clientes!F:F,0,0,1)</f>
        <v>0</v>
      </c>
      <c r="N154" s="4" t="e">
        <f>VLOOKUP(H154,Clientes!B:D,3,)</f>
        <v>#N/A</v>
      </c>
      <c r="O154">
        <f>_xlfn.XLOOKUP(D154,'[1]Matriz Brokers'!$C:$C,'[1]Matriz Brokers'!$C:$C,0,0,1)</f>
        <v>0</v>
      </c>
    </row>
    <row r="155" spans="1:15" x14ac:dyDescent="0.25">
      <c r="A155" s="4" t="str">
        <f t="shared" si="2"/>
        <v>DESPESA DE REPRESENTAÇÃO -  - 0 -  ()</v>
      </c>
      <c r="B155" s="11">
        <v>46266</v>
      </c>
      <c r="C155" s="4">
        <v>817991</v>
      </c>
      <c r="D155" s="1"/>
      <c r="E155" s="14"/>
      <c r="F155" s="5"/>
      <c r="G155" s="2"/>
      <c r="H155" s="9">
        <f>_xlfn.XLOOKUP(SET!L155,Clientes!E:E,Clientes!B:B,0,0,1)</f>
        <v>0</v>
      </c>
      <c r="I155" s="4"/>
      <c r="J155" s="4"/>
      <c r="K155" s="7"/>
      <c r="L155" s="1"/>
      <c r="M155" s="9">
        <f>_xlfn.XLOOKUP(L155,Clientes!E:E,Clientes!F:F,0,0,1)</f>
        <v>0</v>
      </c>
      <c r="N155" s="4" t="e">
        <f>VLOOKUP(H155,Clientes!B:D,3,)</f>
        <v>#N/A</v>
      </c>
      <c r="O155">
        <f>_xlfn.XLOOKUP(D155,'[1]Matriz Brokers'!$C:$C,'[1]Matriz Brokers'!$C:$C,0,0,1)</f>
        <v>0</v>
      </c>
    </row>
    <row r="156" spans="1:15" x14ac:dyDescent="0.25">
      <c r="A156" s="4" t="str">
        <f t="shared" si="2"/>
        <v>DESPESA DE REPRESENTAÇÃO -  - 0 -  ()</v>
      </c>
      <c r="B156" s="11">
        <v>46266</v>
      </c>
      <c r="C156" s="4">
        <v>817991</v>
      </c>
      <c r="D156" s="1"/>
      <c r="E156" s="14"/>
      <c r="F156" s="5"/>
      <c r="G156" s="2"/>
      <c r="H156" s="9">
        <f>_xlfn.XLOOKUP(SET!L156,Clientes!E:E,Clientes!B:B,0,0,1)</f>
        <v>0</v>
      </c>
      <c r="I156" s="4"/>
      <c r="J156" s="4"/>
      <c r="K156" s="7"/>
      <c r="L156" s="1"/>
      <c r="M156" s="9">
        <f>_xlfn.XLOOKUP(L156,Clientes!E:E,Clientes!F:F,0,0,1)</f>
        <v>0</v>
      </c>
      <c r="N156" s="4" t="e">
        <f>VLOOKUP(H156,Clientes!B:D,3,)</f>
        <v>#N/A</v>
      </c>
      <c r="O156">
        <f>_xlfn.XLOOKUP(D156,'[1]Matriz Brokers'!$C:$C,'[1]Matriz Brokers'!$C:$C,0,0,1)</f>
        <v>0</v>
      </c>
    </row>
    <row r="157" spans="1:15" x14ac:dyDescent="0.25">
      <c r="A157" s="4" t="str">
        <f t="shared" si="2"/>
        <v>DESPESA DE REPRESENTAÇÃO -  - 0 -  ()</v>
      </c>
      <c r="B157" s="11">
        <v>46266</v>
      </c>
      <c r="C157" s="4">
        <v>817991</v>
      </c>
      <c r="D157" s="1"/>
      <c r="E157" s="14"/>
      <c r="F157" s="5"/>
      <c r="G157" s="2"/>
      <c r="H157" s="9">
        <f>_xlfn.XLOOKUP(SET!L157,Clientes!E:E,Clientes!B:B,0,0,1)</f>
        <v>0</v>
      </c>
      <c r="I157" s="4"/>
      <c r="J157" s="4"/>
      <c r="K157" s="7"/>
      <c r="L157" s="1"/>
      <c r="M157" s="9">
        <f>_xlfn.XLOOKUP(L157,Clientes!E:E,Clientes!F:F,0,0,1)</f>
        <v>0</v>
      </c>
      <c r="N157" s="4" t="e">
        <f>VLOOKUP(H157,Clientes!B:D,3,)</f>
        <v>#N/A</v>
      </c>
      <c r="O157">
        <f>_xlfn.XLOOKUP(D157,'[1]Matriz Brokers'!$C:$C,'[1]Matriz Brokers'!$C:$C,0,0,1)</f>
        <v>0</v>
      </c>
    </row>
    <row r="158" spans="1:15" x14ac:dyDescent="0.25">
      <c r="A158" s="4" t="str">
        <f t="shared" si="2"/>
        <v>DESPESA DE REPRESENTAÇÃO -  - 0 -  ()</v>
      </c>
      <c r="B158" s="11">
        <v>46266</v>
      </c>
      <c r="C158" s="4">
        <v>817991</v>
      </c>
      <c r="D158" s="1"/>
      <c r="E158" s="14"/>
      <c r="F158" s="5"/>
      <c r="G158" s="2"/>
      <c r="H158" s="9">
        <f>_xlfn.XLOOKUP(SET!L158,Clientes!E:E,Clientes!B:B,0,0,1)</f>
        <v>0</v>
      </c>
      <c r="I158" s="4"/>
      <c r="J158" s="4"/>
      <c r="K158" s="7"/>
      <c r="L158" s="1"/>
      <c r="M158" s="9">
        <f>_xlfn.XLOOKUP(L158,Clientes!E:E,Clientes!F:F,0,0,1)</f>
        <v>0</v>
      </c>
      <c r="N158" s="4" t="e">
        <f>VLOOKUP(H158,Clientes!B:D,3,)</f>
        <v>#N/A</v>
      </c>
      <c r="O158">
        <f>_xlfn.XLOOKUP(D158,'[1]Matriz Brokers'!$C:$C,'[1]Matriz Brokers'!$C:$C,0,0,1)</f>
        <v>0</v>
      </c>
    </row>
    <row r="159" spans="1:15" x14ac:dyDescent="0.25">
      <c r="A159" s="4" t="str">
        <f t="shared" si="2"/>
        <v>DESPESA DE REPRESENTAÇÃO -  - 0 -  ()</v>
      </c>
      <c r="B159" s="11">
        <v>46266</v>
      </c>
      <c r="C159" s="4">
        <v>817991</v>
      </c>
      <c r="D159" s="1"/>
      <c r="E159" s="14"/>
      <c r="F159" s="5"/>
      <c r="G159" s="2"/>
      <c r="H159" s="9">
        <f>_xlfn.XLOOKUP(SET!L159,Clientes!E:E,Clientes!B:B,0,0,1)</f>
        <v>0</v>
      </c>
      <c r="I159" s="4"/>
      <c r="J159" s="4"/>
      <c r="K159" s="7"/>
      <c r="L159" s="1"/>
      <c r="M159" s="9">
        <f>_xlfn.XLOOKUP(L159,Clientes!E:E,Clientes!F:F,0,0,1)</f>
        <v>0</v>
      </c>
      <c r="N159" s="4" t="e">
        <f>VLOOKUP(H159,Clientes!B:D,3,)</f>
        <v>#N/A</v>
      </c>
      <c r="O159">
        <f>_xlfn.XLOOKUP(D159,'[1]Matriz Brokers'!$C:$C,'[1]Matriz Brokers'!$C:$C,0,0,1)</f>
        <v>0</v>
      </c>
    </row>
    <row r="160" spans="1:15" x14ac:dyDescent="0.25">
      <c r="A160" s="4" t="str">
        <f t="shared" si="2"/>
        <v>DESPESA DE REPRESENTAÇÃO -  - 0 -  ()</v>
      </c>
      <c r="B160" s="11">
        <v>46266</v>
      </c>
      <c r="C160" s="4">
        <v>817991</v>
      </c>
      <c r="D160" s="1"/>
      <c r="E160" s="14"/>
      <c r="F160" s="5"/>
      <c r="G160" s="2"/>
      <c r="H160" s="9">
        <f>_xlfn.XLOOKUP(SET!L160,Clientes!E:E,Clientes!B:B,0,0,1)</f>
        <v>0</v>
      </c>
      <c r="I160" s="4"/>
      <c r="J160" s="4"/>
      <c r="K160" s="7"/>
      <c r="L160" s="1"/>
      <c r="M160" s="9">
        <f>_xlfn.XLOOKUP(L160,Clientes!E:E,Clientes!F:F,0,0,1)</f>
        <v>0</v>
      </c>
      <c r="N160" s="4" t="e">
        <f>VLOOKUP(H160,Clientes!B:D,3,)</f>
        <v>#N/A</v>
      </c>
      <c r="O160">
        <f>_xlfn.XLOOKUP(D160,'[1]Matriz Brokers'!$C:$C,'[1]Matriz Brokers'!$C:$C,0,0,1)</f>
        <v>0</v>
      </c>
    </row>
    <row r="161" spans="1:15" x14ac:dyDescent="0.25">
      <c r="A161" s="4" t="str">
        <f t="shared" si="2"/>
        <v>DESPESA DE REPRESENTAÇÃO -  - 0 -  ()</v>
      </c>
      <c r="B161" s="11">
        <v>46266</v>
      </c>
      <c r="C161" s="4">
        <v>817991</v>
      </c>
      <c r="D161" s="1"/>
      <c r="E161" s="14"/>
      <c r="F161" s="5"/>
      <c r="G161" s="2"/>
      <c r="H161" s="9">
        <f>_xlfn.XLOOKUP(SET!L161,Clientes!E:E,Clientes!B:B,0,0,1)</f>
        <v>0</v>
      </c>
      <c r="I161" s="4"/>
      <c r="J161" s="4"/>
      <c r="K161" s="7"/>
      <c r="L161" s="1"/>
      <c r="M161" s="9">
        <f>_xlfn.XLOOKUP(L161,Clientes!E:E,Clientes!F:F,0,0,1)</f>
        <v>0</v>
      </c>
      <c r="N161" s="4" t="e">
        <f>VLOOKUP(H161,Clientes!B:D,3,)</f>
        <v>#N/A</v>
      </c>
      <c r="O161">
        <f>_xlfn.XLOOKUP(D161,'[1]Matriz Brokers'!$C:$C,'[1]Matriz Brokers'!$C:$C,0,0,1)</f>
        <v>0</v>
      </c>
    </row>
    <row r="162" spans="1:15" x14ac:dyDescent="0.25">
      <c r="A162" s="4" t="str">
        <f t="shared" si="2"/>
        <v>DESPESA DE REPRESENTAÇÃO -  - 0 -  ()</v>
      </c>
      <c r="B162" s="11">
        <v>46266</v>
      </c>
      <c r="C162" s="4">
        <v>817991</v>
      </c>
      <c r="D162" s="1"/>
      <c r="E162" s="14"/>
      <c r="F162" s="5"/>
      <c r="G162" s="2"/>
      <c r="H162" s="9">
        <f>_xlfn.XLOOKUP(SET!L162,Clientes!E:E,Clientes!B:B,0,0,1)</f>
        <v>0</v>
      </c>
      <c r="I162" s="4"/>
      <c r="J162" s="4"/>
      <c r="K162" s="7"/>
      <c r="L162" s="1"/>
      <c r="M162" s="9">
        <f>_xlfn.XLOOKUP(L162,Clientes!E:E,Clientes!F:F,0,0,1)</f>
        <v>0</v>
      </c>
      <c r="N162" s="4" t="e">
        <f>VLOOKUP(H162,Clientes!B:D,3,)</f>
        <v>#N/A</v>
      </c>
      <c r="O162">
        <f>_xlfn.XLOOKUP(D162,'[1]Matriz Brokers'!$C:$C,'[1]Matriz Brokers'!$C:$C,0,0,1)</f>
        <v>0</v>
      </c>
    </row>
    <row r="163" spans="1:15" x14ac:dyDescent="0.25">
      <c r="A163" s="4" t="str">
        <f t="shared" si="2"/>
        <v>DESPESA DE REPRESENTAÇÃO -  - 0 -  ()</v>
      </c>
      <c r="B163" s="11">
        <v>46266</v>
      </c>
      <c r="C163" s="4">
        <v>817991</v>
      </c>
      <c r="D163" s="1"/>
      <c r="E163" s="14"/>
      <c r="F163" s="5"/>
      <c r="G163" s="2"/>
      <c r="H163" s="9">
        <f>_xlfn.XLOOKUP(SET!L163,Clientes!E:E,Clientes!B:B,0,0,1)</f>
        <v>0</v>
      </c>
      <c r="I163" s="4"/>
      <c r="J163" s="4"/>
      <c r="K163" s="7"/>
      <c r="L163" s="1"/>
      <c r="M163" s="9">
        <f>_xlfn.XLOOKUP(L163,Clientes!E:E,Clientes!F:F,0,0,1)</f>
        <v>0</v>
      </c>
      <c r="N163" s="4" t="e">
        <f>VLOOKUP(H163,Clientes!B:D,3,)</f>
        <v>#N/A</v>
      </c>
      <c r="O163">
        <f>_xlfn.XLOOKUP(D163,'[1]Matriz Brokers'!$C:$C,'[1]Matriz Brokers'!$C:$C,0,0,1)</f>
        <v>0</v>
      </c>
    </row>
    <row r="164" spans="1:15" x14ac:dyDescent="0.25">
      <c r="A164" s="4" t="str">
        <f t="shared" si="2"/>
        <v>DESPESA DE REPRESENTAÇÃO -  - 0 -  ()</v>
      </c>
      <c r="B164" s="11">
        <v>46266</v>
      </c>
      <c r="C164" s="4">
        <v>817991</v>
      </c>
      <c r="D164" s="1"/>
      <c r="E164" s="14"/>
      <c r="F164" s="5"/>
      <c r="G164" s="2"/>
      <c r="H164" s="9">
        <f>_xlfn.XLOOKUP(SET!L164,Clientes!E:E,Clientes!B:B,0,0,1)</f>
        <v>0</v>
      </c>
      <c r="I164" s="4"/>
      <c r="J164" s="4"/>
      <c r="K164" s="7"/>
      <c r="L164" s="1"/>
      <c r="M164" s="9">
        <f>_xlfn.XLOOKUP(L164,Clientes!E:E,Clientes!F:F,0,0,1)</f>
        <v>0</v>
      </c>
      <c r="N164" s="4" t="e">
        <f>VLOOKUP(H164,Clientes!B:D,3,)</f>
        <v>#N/A</v>
      </c>
      <c r="O164">
        <f>_xlfn.XLOOKUP(D164,'[1]Matriz Brokers'!$C:$C,'[1]Matriz Brokers'!$C:$C,0,0,1)</f>
        <v>0</v>
      </c>
    </row>
    <row r="165" spans="1:15" x14ac:dyDescent="0.25">
      <c r="A165" s="4" t="str">
        <f t="shared" si="2"/>
        <v>DESPESA DE REPRESENTAÇÃO -  - 0 -  ()</v>
      </c>
      <c r="B165" s="11">
        <v>46266</v>
      </c>
      <c r="C165" s="4">
        <v>817991</v>
      </c>
      <c r="D165" s="1"/>
      <c r="E165" s="14"/>
      <c r="F165" s="5"/>
      <c r="G165" s="2"/>
      <c r="H165" s="9">
        <f>_xlfn.XLOOKUP(SET!L165,Clientes!E:E,Clientes!B:B,0,0,1)</f>
        <v>0</v>
      </c>
      <c r="I165" s="4"/>
      <c r="J165" s="4"/>
      <c r="K165" s="7"/>
      <c r="L165" s="1"/>
      <c r="M165" s="9">
        <f>_xlfn.XLOOKUP(L165,Clientes!E:E,Clientes!F:F,0,0,1)</f>
        <v>0</v>
      </c>
      <c r="N165" s="4" t="e">
        <f>VLOOKUP(H165,Clientes!B:D,3,)</f>
        <v>#N/A</v>
      </c>
      <c r="O165">
        <f>_xlfn.XLOOKUP(D165,'[1]Matriz Brokers'!$C:$C,'[1]Matriz Brokers'!$C:$C,0,0,1)</f>
        <v>0</v>
      </c>
    </row>
    <row r="166" spans="1:15" x14ac:dyDescent="0.25">
      <c r="A166" s="4" t="str">
        <f t="shared" si="2"/>
        <v>DESPESA DE REPRESENTAÇÃO -  - 0 -  ()</v>
      </c>
      <c r="B166" s="11">
        <v>46266</v>
      </c>
      <c r="C166" s="4">
        <v>817991</v>
      </c>
      <c r="D166" s="1"/>
      <c r="E166" s="14"/>
      <c r="F166" s="5"/>
      <c r="G166" s="2"/>
      <c r="H166" s="9">
        <f>_xlfn.XLOOKUP(SET!L166,Clientes!E:E,Clientes!B:B,0,0,1)</f>
        <v>0</v>
      </c>
      <c r="I166" s="4"/>
      <c r="J166" s="4"/>
      <c r="K166" s="7"/>
      <c r="L166" s="1"/>
      <c r="M166" s="9">
        <f>_xlfn.XLOOKUP(L166,Clientes!E:E,Clientes!F:F,0,0,1)</f>
        <v>0</v>
      </c>
      <c r="N166" s="4" t="e">
        <f>VLOOKUP(H166,Clientes!B:D,3,)</f>
        <v>#N/A</v>
      </c>
      <c r="O166">
        <f>_xlfn.XLOOKUP(D166,'[1]Matriz Brokers'!$C:$C,'[1]Matriz Brokers'!$C:$C,0,0,1)</f>
        <v>0</v>
      </c>
    </row>
    <row r="167" spans="1:15" x14ac:dyDescent="0.25">
      <c r="A167" s="4" t="str">
        <f t="shared" si="2"/>
        <v>DESPESA DE REPRESENTAÇÃO -  - 0 -  ()</v>
      </c>
      <c r="B167" s="11">
        <v>46266</v>
      </c>
      <c r="C167" s="4">
        <v>817991</v>
      </c>
      <c r="D167" s="1"/>
      <c r="E167" s="14"/>
      <c r="F167" s="5"/>
      <c r="G167" s="2"/>
      <c r="H167" s="9">
        <f>_xlfn.XLOOKUP(SET!L167,Clientes!E:E,Clientes!B:B,0,0,1)</f>
        <v>0</v>
      </c>
      <c r="I167" s="4"/>
      <c r="J167" s="4"/>
      <c r="K167" s="7"/>
      <c r="L167" s="1"/>
      <c r="M167" s="9">
        <f>_xlfn.XLOOKUP(L167,Clientes!E:E,Clientes!F:F,0,0,1)</f>
        <v>0</v>
      </c>
      <c r="N167" s="4" t="e">
        <f>VLOOKUP(H167,Clientes!B:D,3,)</f>
        <v>#N/A</v>
      </c>
      <c r="O167">
        <f>_xlfn.XLOOKUP(D167,'[1]Matriz Brokers'!$C:$C,'[1]Matriz Brokers'!$C:$C,0,0,1)</f>
        <v>0</v>
      </c>
    </row>
    <row r="168" spans="1:15" x14ac:dyDescent="0.25">
      <c r="A168" s="4" t="str">
        <f t="shared" si="2"/>
        <v>DESPESA DE REPRESENTAÇÃO -  - 0 -  ()</v>
      </c>
      <c r="B168" s="11">
        <v>46266</v>
      </c>
      <c r="C168" s="4">
        <v>817991</v>
      </c>
      <c r="D168" s="1"/>
      <c r="E168" s="14"/>
      <c r="F168" s="5"/>
      <c r="G168" s="2"/>
      <c r="H168" s="9">
        <f>_xlfn.XLOOKUP(SET!L168,Clientes!E:E,Clientes!B:B,0,0,1)</f>
        <v>0</v>
      </c>
      <c r="I168" s="4"/>
      <c r="J168" s="4"/>
      <c r="K168" s="7"/>
      <c r="L168" s="1"/>
      <c r="M168" s="9">
        <f>_xlfn.XLOOKUP(L168,Clientes!E:E,Clientes!F:F,0,0,1)</f>
        <v>0</v>
      </c>
      <c r="N168" s="4" t="e">
        <f>VLOOKUP(H168,Clientes!B:D,3,)</f>
        <v>#N/A</v>
      </c>
      <c r="O168">
        <f>_xlfn.XLOOKUP(D168,'[1]Matriz Brokers'!$C:$C,'[1]Matriz Brokers'!$C:$C,0,0,1)</f>
        <v>0</v>
      </c>
    </row>
    <row r="169" spans="1:15" x14ac:dyDescent="0.25">
      <c r="A169" s="4" t="str">
        <f t="shared" si="2"/>
        <v>DESPESA DE REPRESENTAÇÃO -  - 0 -  ()</v>
      </c>
      <c r="B169" s="11">
        <v>46266</v>
      </c>
      <c r="C169" s="4">
        <v>817991</v>
      </c>
      <c r="D169" s="1"/>
      <c r="E169" s="14"/>
      <c r="F169" s="5"/>
      <c r="G169" s="2"/>
      <c r="H169" s="9">
        <f>_xlfn.XLOOKUP(SET!L169,Clientes!E:E,Clientes!B:B,0,0,1)</f>
        <v>0</v>
      </c>
      <c r="I169" s="4"/>
      <c r="J169" s="4"/>
      <c r="K169" s="7"/>
      <c r="L169" s="1"/>
      <c r="M169" s="9">
        <f>_xlfn.XLOOKUP(L169,Clientes!E:E,Clientes!F:F,0,0,1)</f>
        <v>0</v>
      </c>
      <c r="N169" s="4" t="e">
        <f>VLOOKUP(H169,Clientes!B:D,3,)</f>
        <v>#N/A</v>
      </c>
      <c r="O169">
        <f>_xlfn.XLOOKUP(D169,'[1]Matriz Brokers'!$C:$C,'[1]Matriz Brokers'!$C:$C,0,0,1)</f>
        <v>0</v>
      </c>
    </row>
    <row r="170" spans="1:15" x14ac:dyDescent="0.25">
      <c r="A170" s="4" t="str">
        <f t="shared" si="2"/>
        <v>DESPESA DE REPRESENTAÇÃO -  - 0 -  ()</v>
      </c>
      <c r="B170" s="11">
        <v>46266</v>
      </c>
      <c r="C170" s="4">
        <v>817991</v>
      </c>
      <c r="D170" s="1"/>
      <c r="E170" s="14"/>
      <c r="F170" s="5"/>
      <c r="G170" s="2"/>
      <c r="H170" s="9">
        <f>_xlfn.XLOOKUP(SET!L170,Clientes!E:E,Clientes!B:B,0,0,1)</f>
        <v>0</v>
      </c>
      <c r="I170" s="4"/>
      <c r="J170" s="4"/>
      <c r="K170" s="7"/>
      <c r="L170" s="1"/>
      <c r="M170" s="9">
        <f>_xlfn.XLOOKUP(L170,Clientes!E:E,Clientes!F:F,0,0,1)</f>
        <v>0</v>
      </c>
      <c r="N170" s="4" t="e">
        <f>VLOOKUP(H170,Clientes!B:D,3,)</f>
        <v>#N/A</v>
      </c>
      <c r="O170">
        <f>_xlfn.XLOOKUP(D170,'[1]Matriz Brokers'!$C:$C,'[1]Matriz Brokers'!$C:$C,0,0,1)</f>
        <v>0</v>
      </c>
    </row>
    <row r="171" spans="1:15" x14ac:dyDescent="0.25">
      <c r="A171" s="4" t="str">
        <f t="shared" si="2"/>
        <v>DESPESA DE REPRESENTAÇÃO -  - 0 -  ()</v>
      </c>
      <c r="B171" s="11">
        <v>46266</v>
      </c>
      <c r="C171" s="4">
        <v>817991</v>
      </c>
      <c r="D171" s="1"/>
      <c r="E171" s="14"/>
      <c r="F171" s="5"/>
      <c r="G171" s="2"/>
      <c r="H171" s="9">
        <f>_xlfn.XLOOKUP(SET!L171,Clientes!E:E,Clientes!B:B,0,0,1)</f>
        <v>0</v>
      </c>
      <c r="I171" s="4"/>
      <c r="J171" s="4"/>
      <c r="K171" s="7"/>
      <c r="L171" s="1"/>
      <c r="M171" s="9">
        <f>_xlfn.XLOOKUP(L171,Clientes!E:E,Clientes!F:F,0,0,1)</f>
        <v>0</v>
      </c>
      <c r="N171" s="4" t="e">
        <f>VLOOKUP(H171,Clientes!B:D,3,)</f>
        <v>#N/A</v>
      </c>
      <c r="O171">
        <f>_xlfn.XLOOKUP(D171,'[1]Matriz Brokers'!$C:$C,'[1]Matriz Brokers'!$C:$C,0,0,1)</f>
        <v>0</v>
      </c>
    </row>
    <row r="172" spans="1:15" x14ac:dyDescent="0.25">
      <c r="A172" s="4" t="str">
        <f t="shared" si="2"/>
        <v>DESPESA DE REPRESENTAÇÃO -  - 0 -  ()</v>
      </c>
      <c r="B172" s="11">
        <v>46266</v>
      </c>
      <c r="C172" s="4">
        <v>817991</v>
      </c>
      <c r="D172" s="1"/>
      <c r="E172" s="14"/>
      <c r="F172" s="5"/>
      <c r="G172" s="2"/>
      <c r="H172" s="9">
        <f>_xlfn.XLOOKUP(SET!L172,Clientes!E:E,Clientes!B:B,0,0,1)</f>
        <v>0</v>
      </c>
      <c r="I172" s="4"/>
      <c r="J172" s="4"/>
      <c r="K172" s="7"/>
      <c r="L172" s="1"/>
      <c r="M172" s="9">
        <f>_xlfn.XLOOKUP(L172,Clientes!E:E,Clientes!F:F,0,0,1)</f>
        <v>0</v>
      </c>
      <c r="N172" s="4" t="e">
        <f>VLOOKUP(H172,Clientes!B:D,3,)</f>
        <v>#N/A</v>
      </c>
      <c r="O172">
        <f>_xlfn.XLOOKUP(D172,'[1]Matriz Brokers'!$C:$C,'[1]Matriz Brokers'!$C:$C,0,0,1)</f>
        <v>0</v>
      </c>
    </row>
    <row r="173" spans="1:15" x14ac:dyDescent="0.25">
      <c r="A173" s="4" t="str">
        <f t="shared" si="2"/>
        <v>DESPESA DE REPRESENTAÇÃO -  - 0 -  ()</v>
      </c>
      <c r="B173" s="11">
        <v>46266</v>
      </c>
      <c r="C173" s="4">
        <v>817991</v>
      </c>
      <c r="D173" s="1"/>
      <c r="E173" s="14"/>
      <c r="F173" s="5"/>
      <c r="G173" s="2"/>
      <c r="H173" s="9">
        <f>_xlfn.XLOOKUP(SET!L173,Clientes!E:E,Clientes!B:B,0,0,1)</f>
        <v>0</v>
      </c>
      <c r="I173" s="4"/>
      <c r="J173" s="4"/>
      <c r="K173" s="7"/>
      <c r="L173" s="1"/>
      <c r="M173" s="9">
        <f>_xlfn.XLOOKUP(L173,Clientes!E:E,Clientes!F:F,0,0,1)</f>
        <v>0</v>
      </c>
      <c r="N173" s="4" t="e">
        <f>VLOOKUP(H173,Clientes!B:D,3,)</f>
        <v>#N/A</v>
      </c>
      <c r="O173">
        <f>_xlfn.XLOOKUP(D173,'[1]Matriz Brokers'!$C:$C,'[1]Matriz Brokers'!$C:$C,0,0,1)</f>
        <v>0</v>
      </c>
    </row>
    <row r="174" spans="1:15" x14ac:dyDescent="0.25">
      <c r="A174" s="4" t="str">
        <f t="shared" si="2"/>
        <v>DESPESA DE REPRESENTAÇÃO -  - 0 -  ()</v>
      </c>
      <c r="B174" s="11">
        <v>46266</v>
      </c>
      <c r="C174" s="4">
        <v>817991</v>
      </c>
      <c r="D174" s="1"/>
      <c r="E174" s="14"/>
      <c r="F174" s="5"/>
      <c r="G174" s="2"/>
      <c r="H174" s="9">
        <f>_xlfn.XLOOKUP(SET!L174,Clientes!E:E,Clientes!B:B,0,0,1)</f>
        <v>0</v>
      </c>
      <c r="I174" s="4"/>
      <c r="J174" s="4"/>
      <c r="K174" s="7"/>
      <c r="L174" s="1"/>
      <c r="M174" s="9">
        <f>_xlfn.XLOOKUP(L174,Clientes!E:E,Clientes!F:F,0,0,1)</f>
        <v>0</v>
      </c>
      <c r="N174" s="4" t="e">
        <f>VLOOKUP(H174,Clientes!B:D,3,)</f>
        <v>#N/A</v>
      </c>
      <c r="O174">
        <f>_xlfn.XLOOKUP(D174,'[1]Matriz Brokers'!$C:$C,'[1]Matriz Brokers'!$C:$C,0,0,1)</f>
        <v>0</v>
      </c>
    </row>
    <row r="175" spans="1:15" x14ac:dyDescent="0.25">
      <c r="A175" s="4" t="str">
        <f t="shared" si="2"/>
        <v>DESPESA DE REPRESENTAÇÃO -  - 0 -  ()</v>
      </c>
      <c r="B175" s="11">
        <v>46266</v>
      </c>
      <c r="C175" s="4">
        <v>817991</v>
      </c>
      <c r="D175" s="1"/>
      <c r="E175" s="14"/>
      <c r="F175" s="5"/>
      <c r="G175" s="2"/>
      <c r="H175" s="9">
        <f>_xlfn.XLOOKUP(SET!L175,Clientes!E:E,Clientes!B:B,0,0,1)</f>
        <v>0</v>
      </c>
      <c r="I175" s="4"/>
      <c r="J175" s="4"/>
      <c r="K175" s="7"/>
      <c r="L175" s="1"/>
      <c r="M175" s="9">
        <f>_xlfn.XLOOKUP(L175,Clientes!E:E,Clientes!F:F,0,0,1)</f>
        <v>0</v>
      </c>
      <c r="N175" s="4" t="e">
        <f>VLOOKUP(H175,Clientes!B:D,3,)</f>
        <v>#N/A</v>
      </c>
      <c r="O175">
        <f>_xlfn.XLOOKUP(D175,'[1]Matriz Brokers'!$C:$C,'[1]Matriz Brokers'!$C:$C,0,0,1)</f>
        <v>0</v>
      </c>
    </row>
    <row r="176" spans="1:15" x14ac:dyDescent="0.25">
      <c r="A176" s="4" t="str">
        <f t="shared" si="2"/>
        <v>DESPESA DE REPRESENTAÇÃO -  - 0 -  ()</v>
      </c>
      <c r="B176" s="11">
        <v>46266</v>
      </c>
      <c r="C176" s="4">
        <v>817991</v>
      </c>
      <c r="D176" s="1"/>
      <c r="E176" s="14"/>
      <c r="F176" s="5"/>
      <c r="G176" s="2"/>
      <c r="H176" s="9">
        <f>_xlfn.XLOOKUP(SET!L176,Clientes!E:E,Clientes!B:B,0,0,1)</f>
        <v>0</v>
      </c>
      <c r="I176" s="4"/>
      <c r="J176" s="4"/>
      <c r="K176" s="7"/>
      <c r="L176" s="1"/>
      <c r="M176" s="9">
        <f>_xlfn.XLOOKUP(L176,Clientes!E:E,Clientes!F:F,0,0,1)</f>
        <v>0</v>
      </c>
      <c r="N176" s="4" t="e">
        <f>VLOOKUP(H176,Clientes!B:D,3,)</f>
        <v>#N/A</v>
      </c>
      <c r="O176">
        <f>_xlfn.XLOOKUP(D176,'[1]Matriz Brokers'!$C:$C,'[1]Matriz Brokers'!$C:$C,0,0,1)</f>
        <v>0</v>
      </c>
    </row>
    <row r="177" spans="1:15" x14ac:dyDescent="0.25">
      <c r="A177" s="4" t="str">
        <f t="shared" si="2"/>
        <v>DESPESA DE REPRESENTAÇÃO -  - 0 -  ()</v>
      </c>
      <c r="B177" s="11">
        <v>46266</v>
      </c>
      <c r="C177" s="4">
        <v>817991</v>
      </c>
      <c r="D177" s="1"/>
      <c r="E177" s="14"/>
      <c r="F177" s="5"/>
      <c r="G177" s="2"/>
      <c r="H177" s="9">
        <f>_xlfn.XLOOKUP(SET!L177,Clientes!E:E,Clientes!B:B,0,0,1)</f>
        <v>0</v>
      </c>
      <c r="I177" s="4"/>
      <c r="J177" s="5"/>
      <c r="K177" s="7"/>
      <c r="L177" s="1"/>
      <c r="M177" s="9">
        <f>_xlfn.XLOOKUP(L177,Clientes!E:E,Clientes!F:F,0,0,1)</f>
        <v>0</v>
      </c>
      <c r="N177" s="4" t="e">
        <f>VLOOKUP(H177,Clientes!B:D,3,)</f>
        <v>#N/A</v>
      </c>
      <c r="O177">
        <f>_xlfn.XLOOKUP(D177,'[1]Matriz Brokers'!$C:$C,'[1]Matriz Brokers'!$C:$C,0,0,1)</f>
        <v>0</v>
      </c>
    </row>
    <row r="178" spans="1:15" x14ac:dyDescent="0.25">
      <c r="A178" s="4" t="str">
        <f t="shared" si="2"/>
        <v>DESPESA DE REPRESENTAÇÃO -  - 0 -  ()</v>
      </c>
      <c r="B178" s="11">
        <v>46266</v>
      </c>
      <c r="C178" s="4">
        <v>817991</v>
      </c>
      <c r="D178" s="1"/>
      <c r="E178" s="14"/>
      <c r="F178" s="5"/>
      <c r="G178" s="2"/>
      <c r="H178" s="9">
        <f>_xlfn.XLOOKUP(SET!L178,Clientes!E:E,Clientes!B:B,0,0,1)</f>
        <v>0</v>
      </c>
      <c r="I178" s="4"/>
      <c r="J178" s="5"/>
      <c r="K178" s="7"/>
      <c r="L178" s="1"/>
      <c r="M178" s="9">
        <f>_xlfn.XLOOKUP(L178,Clientes!E:E,Clientes!F:F,0,0,1)</f>
        <v>0</v>
      </c>
      <c r="N178" s="4" t="e">
        <f>VLOOKUP(H178,Clientes!B:D,3,)</f>
        <v>#N/A</v>
      </c>
      <c r="O178">
        <f>_xlfn.XLOOKUP(D178,'[1]Matriz Brokers'!$C:$C,'[1]Matriz Brokers'!$C:$C,0,0,1)</f>
        <v>0</v>
      </c>
    </row>
    <row r="179" spans="1:15" x14ac:dyDescent="0.25">
      <c r="A179" s="4" t="str">
        <f t="shared" si="2"/>
        <v>DESPESA DE REPRESENTAÇÃO -  - 0 -  ()</v>
      </c>
      <c r="B179" s="11">
        <v>46266</v>
      </c>
      <c r="C179" s="4">
        <v>817991</v>
      </c>
      <c r="D179" s="1"/>
      <c r="E179" s="14"/>
      <c r="F179" s="5"/>
      <c r="G179" s="2"/>
      <c r="H179" s="9">
        <f>_xlfn.XLOOKUP(SET!L179,Clientes!E:E,Clientes!B:B,0,0,1)</f>
        <v>0</v>
      </c>
      <c r="I179" s="4"/>
      <c r="J179" s="5"/>
      <c r="K179" s="7"/>
      <c r="L179" s="1"/>
      <c r="M179" s="9">
        <f>_xlfn.XLOOKUP(L179,Clientes!E:E,Clientes!F:F,0,0,1)</f>
        <v>0</v>
      </c>
      <c r="N179" s="4" t="e">
        <f>VLOOKUP(H179,Clientes!B:D,3,)</f>
        <v>#N/A</v>
      </c>
      <c r="O179">
        <f>_xlfn.XLOOKUP(D179,'[1]Matriz Brokers'!$C:$C,'[1]Matriz Brokers'!$C:$C,0,0,1)</f>
        <v>0</v>
      </c>
    </row>
    <row r="180" spans="1:15" x14ac:dyDescent="0.25">
      <c r="A180" s="4" t="str">
        <f t="shared" si="2"/>
        <v>DESPESA DE REPRESENTAÇÃO -  - 0 -  ()</v>
      </c>
      <c r="B180" s="11">
        <v>46266</v>
      </c>
      <c r="C180" s="4">
        <v>817991</v>
      </c>
      <c r="D180" s="1"/>
      <c r="E180" s="14"/>
      <c r="F180" s="5"/>
      <c r="G180" s="2"/>
      <c r="H180" s="9">
        <f>_xlfn.XLOOKUP(SET!L180,Clientes!E:E,Clientes!B:B,0,0,1)</f>
        <v>0</v>
      </c>
      <c r="I180" s="4"/>
      <c r="J180" s="5"/>
      <c r="K180" s="7"/>
      <c r="L180" s="1"/>
      <c r="M180" s="9">
        <f>_xlfn.XLOOKUP(L180,Clientes!E:E,Clientes!F:F,0,0,1)</f>
        <v>0</v>
      </c>
      <c r="N180" s="4" t="e">
        <f>VLOOKUP(H180,Clientes!B:D,3,)</f>
        <v>#N/A</v>
      </c>
      <c r="O180">
        <f>_xlfn.XLOOKUP(D180,'[1]Matriz Brokers'!$C:$C,'[1]Matriz Brokers'!$C:$C,0,0,1)</f>
        <v>0</v>
      </c>
    </row>
    <row r="181" spans="1:15" x14ac:dyDescent="0.25">
      <c r="A181" s="4" t="str">
        <f t="shared" si="2"/>
        <v>DESPESA DE REPRESENTAÇÃO -  - 0 -  ()</v>
      </c>
      <c r="B181" s="11">
        <v>46266</v>
      </c>
      <c r="C181" s="4">
        <v>817991</v>
      </c>
      <c r="D181" s="1"/>
      <c r="E181" s="14"/>
      <c r="F181" s="5"/>
      <c r="G181" s="2"/>
      <c r="H181" s="9">
        <f>_xlfn.XLOOKUP(SET!L181,Clientes!E:E,Clientes!B:B,0,0,1)</f>
        <v>0</v>
      </c>
      <c r="I181" s="4"/>
      <c r="J181" s="5"/>
      <c r="K181" s="7"/>
      <c r="L181" s="1"/>
      <c r="M181" s="9">
        <f>_xlfn.XLOOKUP(L181,Clientes!E:E,Clientes!F:F,0,0,1)</f>
        <v>0</v>
      </c>
      <c r="N181" s="4" t="e">
        <f>VLOOKUP(H181,Clientes!B:D,3,)</f>
        <v>#N/A</v>
      </c>
      <c r="O181">
        <f>_xlfn.XLOOKUP(D181,'[1]Matriz Brokers'!$C:$C,'[1]Matriz Brokers'!$C:$C,0,0,1)</f>
        <v>0</v>
      </c>
    </row>
    <row r="182" spans="1:15" x14ac:dyDescent="0.25">
      <c r="A182" s="4" t="str">
        <f t="shared" si="2"/>
        <v>DESPESA DE REPRESENTAÇÃO -  - 0 -  ()</v>
      </c>
      <c r="B182" s="11">
        <v>46266</v>
      </c>
      <c r="C182" s="4">
        <v>817991</v>
      </c>
      <c r="D182" s="1"/>
      <c r="E182" s="14"/>
      <c r="F182" s="5"/>
      <c r="G182" s="2"/>
      <c r="H182" s="9">
        <f>_xlfn.XLOOKUP(SET!L182,Clientes!E:E,Clientes!B:B,0,0,1)</f>
        <v>0</v>
      </c>
      <c r="I182" s="4"/>
      <c r="J182" s="5"/>
      <c r="K182" s="7"/>
      <c r="L182" s="1"/>
      <c r="M182" s="9">
        <f>_xlfn.XLOOKUP(L182,Clientes!E:E,Clientes!F:F,0,0,1)</f>
        <v>0</v>
      </c>
      <c r="N182" s="4" t="e">
        <f>VLOOKUP(H182,Clientes!B:D,3,)</f>
        <v>#N/A</v>
      </c>
      <c r="O182">
        <f>_xlfn.XLOOKUP(D182,'[1]Matriz Brokers'!$C:$C,'[1]Matriz Brokers'!$C:$C,0,0,1)</f>
        <v>0</v>
      </c>
    </row>
    <row r="183" spans="1:15" x14ac:dyDescent="0.25">
      <c r="A183" s="4" t="str">
        <f t="shared" si="2"/>
        <v>DESPESA DE REPRESENTAÇÃO -  - 0 -  ()</v>
      </c>
      <c r="B183" s="11">
        <v>46266</v>
      </c>
      <c r="C183" s="4">
        <v>817991</v>
      </c>
      <c r="D183" s="1"/>
      <c r="E183" s="14"/>
      <c r="F183" s="5"/>
      <c r="G183" s="2"/>
      <c r="H183" s="9">
        <f>_xlfn.XLOOKUP(SET!L183,Clientes!E:E,Clientes!B:B,0,0,1)</f>
        <v>0</v>
      </c>
      <c r="I183" s="4"/>
      <c r="J183" s="5"/>
      <c r="K183" s="7"/>
      <c r="L183" s="1"/>
      <c r="M183" s="9">
        <f>_xlfn.XLOOKUP(L183,Clientes!E:E,Clientes!F:F,0,0,1)</f>
        <v>0</v>
      </c>
      <c r="N183" s="4" t="e">
        <f>VLOOKUP(H183,Clientes!B:D,3,)</f>
        <v>#N/A</v>
      </c>
      <c r="O183">
        <f>_xlfn.XLOOKUP(D183,'[1]Matriz Brokers'!$C:$C,'[1]Matriz Brokers'!$C:$C,0,0,1)</f>
        <v>0</v>
      </c>
    </row>
    <row r="184" spans="1:15" x14ac:dyDescent="0.25">
      <c r="A184" s="4" t="str">
        <f t="shared" si="2"/>
        <v>DESPESA DE REPRESENTAÇÃO -  - 0 -  ()</v>
      </c>
      <c r="B184" s="11">
        <v>46266</v>
      </c>
      <c r="C184" s="4">
        <v>817991</v>
      </c>
      <c r="D184" s="1"/>
      <c r="E184" s="14"/>
      <c r="F184" s="5"/>
      <c r="G184" s="2"/>
      <c r="H184" s="9">
        <f>_xlfn.XLOOKUP(SET!L184,Clientes!E:E,Clientes!B:B,0,0,1)</f>
        <v>0</v>
      </c>
      <c r="I184" s="4"/>
      <c r="J184" s="5"/>
      <c r="K184" s="7"/>
      <c r="L184" s="1"/>
      <c r="M184" s="9">
        <f>_xlfn.XLOOKUP(L184,Clientes!E:E,Clientes!F:F,0,0,1)</f>
        <v>0</v>
      </c>
      <c r="N184" s="4" t="e">
        <f>VLOOKUP(H184,Clientes!B:D,3,)</f>
        <v>#N/A</v>
      </c>
      <c r="O184">
        <f>_xlfn.XLOOKUP(D184,'[1]Matriz Brokers'!$C:$C,'[1]Matriz Brokers'!$C:$C,0,0,1)</f>
        <v>0</v>
      </c>
    </row>
    <row r="185" spans="1:15" x14ac:dyDescent="0.25">
      <c r="A185" s="4" t="str">
        <f t="shared" si="2"/>
        <v>DESPESA DE REPRESENTAÇÃO -  - 0 -  ()</v>
      </c>
      <c r="B185" s="11">
        <v>46266</v>
      </c>
      <c r="C185" s="4">
        <v>817991</v>
      </c>
      <c r="D185" s="1"/>
      <c r="E185" s="14"/>
      <c r="F185" s="5"/>
      <c r="G185" s="2"/>
      <c r="H185" s="9">
        <f>_xlfn.XLOOKUP(SET!L185,Clientes!E:E,Clientes!B:B,0,0,1)</f>
        <v>0</v>
      </c>
      <c r="I185" s="4"/>
      <c r="J185" s="5"/>
      <c r="K185" s="7"/>
      <c r="L185" s="1"/>
      <c r="M185" s="9">
        <f>_xlfn.XLOOKUP(L185,Clientes!E:E,Clientes!F:F,0,0,1)</f>
        <v>0</v>
      </c>
      <c r="N185" s="4" t="e">
        <f>VLOOKUP(H185,Clientes!B:D,3,)</f>
        <v>#N/A</v>
      </c>
      <c r="O185">
        <f>_xlfn.XLOOKUP(D185,'[1]Matriz Brokers'!$C:$C,'[1]Matriz Brokers'!$C:$C,0,0,1)</f>
        <v>0</v>
      </c>
    </row>
    <row r="186" spans="1:15" x14ac:dyDescent="0.25">
      <c r="A186" s="4" t="str">
        <f t="shared" si="2"/>
        <v>DESPESA DE REPRESENTAÇÃO -  - 0 -  ()</v>
      </c>
      <c r="B186" s="11">
        <v>46266</v>
      </c>
      <c r="C186" s="4">
        <v>817991</v>
      </c>
      <c r="D186" s="1"/>
      <c r="E186" s="14"/>
      <c r="F186" s="36"/>
      <c r="G186" s="2"/>
      <c r="H186" s="9">
        <f>_xlfn.XLOOKUP(SET!L186,Clientes!E:E,Clientes!B:B,0,0,1)</f>
        <v>0</v>
      </c>
      <c r="I186" s="4"/>
      <c r="J186" s="4"/>
      <c r="K186" s="7"/>
      <c r="L186" s="1"/>
      <c r="M186" s="9">
        <f>_xlfn.XLOOKUP(L186,Clientes!E:E,Clientes!F:F,0,0,1)</f>
        <v>0</v>
      </c>
      <c r="N186" s="4" t="e">
        <f>VLOOKUP(H186,Clientes!B:D,3,)</f>
        <v>#N/A</v>
      </c>
      <c r="O186">
        <f>_xlfn.XLOOKUP(D186,'[1]Matriz Brokers'!$C:$C,'[1]Matriz Brokers'!$C:$C,0,0,1)</f>
        <v>0</v>
      </c>
    </row>
    <row r="187" spans="1:15" x14ac:dyDescent="0.25">
      <c r="A187" s="4" t="str">
        <f t="shared" si="2"/>
        <v>DESPESA DE REPRESENTAÇÃO -  - 0 -  ()</v>
      </c>
      <c r="B187" s="11">
        <v>46266</v>
      </c>
      <c r="C187" s="4">
        <v>817991</v>
      </c>
      <c r="D187" s="1"/>
      <c r="E187" s="14"/>
      <c r="F187" s="36"/>
      <c r="G187" s="2"/>
      <c r="H187" s="9">
        <f>_xlfn.XLOOKUP(SET!L187,Clientes!E:E,Clientes!B:B,0,0,1)</f>
        <v>0</v>
      </c>
      <c r="I187" s="4"/>
      <c r="J187" s="4"/>
      <c r="K187" s="7"/>
      <c r="L187" s="1"/>
      <c r="M187" s="9">
        <f>_xlfn.XLOOKUP(L187,Clientes!E:E,Clientes!F:F,0,0,1)</f>
        <v>0</v>
      </c>
      <c r="N187" s="4" t="e">
        <f>VLOOKUP(H187,Clientes!B:D,3,)</f>
        <v>#N/A</v>
      </c>
      <c r="O187">
        <f>_xlfn.XLOOKUP(D187,'[1]Matriz Brokers'!$C:$C,'[1]Matriz Brokers'!$C:$C,0,0,1)</f>
        <v>0</v>
      </c>
    </row>
    <row r="188" spans="1:15" x14ac:dyDescent="0.25">
      <c r="A188" s="4" t="str">
        <f t="shared" si="2"/>
        <v>DESPESA DE REPRESENTAÇÃO -  - 0 -  ()</v>
      </c>
      <c r="B188" s="11">
        <v>46266</v>
      </c>
      <c r="C188" s="4">
        <v>817991</v>
      </c>
      <c r="D188" s="1"/>
      <c r="E188" s="14"/>
      <c r="F188" s="36"/>
      <c r="G188" s="2"/>
      <c r="H188" s="9">
        <f>_xlfn.XLOOKUP(SET!L188,Clientes!E:E,Clientes!B:B,0,0,1)</f>
        <v>0</v>
      </c>
      <c r="I188" s="4"/>
      <c r="J188" s="4"/>
      <c r="K188" s="7"/>
      <c r="L188" s="1"/>
      <c r="M188" s="9">
        <f>_xlfn.XLOOKUP(L188,Clientes!E:E,Clientes!F:F,0,0,1)</f>
        <v>0</v>
      </c>
      <c r="N188" s="4" t="e">
        <f>VLOOKUP(H188,Clientes!B:D,3,)</f>
        <v>#N/A</v>
      </c>
      <c r="O188">
        <f>_xlfn.XLOOKUP(D188,'[1]Matriz Brokers'!$C:$C,'[1]Matriz Brokers'!$C:$C,0,0,1)</f>
        <v>0</v>
      </c>
    </row>
    <row r="189" spans="1:15" x14ac:dyDescent="0.25">
      <c r="A189" s="4" t="str">
        <f t="shared" si="2"/>
        <v>DESPESA DE REPRESENTAÇÃO -  - 0 -  ()</v>
      </c>
      <c r="B189" s="11">
        <v>46266</v>
      </c>
      <c r="C189" s="4">
        <v>817991</v>
      </c>
      <c r="D189" s="1"/>
      <c r="E189" s="14"/>
      <c r="F189" s="36"/>
      <c r="G189" s="2"/>
      <c r="H189" s="9">
        <f>_xlfn.XLOOKUP(SET!L189,Clientes!E:E,Clientes!B:B,0,0,1)</f>
        <v>0</v>
      </c>
      <c r="I189" s="4"/>
      <c r="J189" s="4"/>
      <c r="K189" s="7"/>
      <c r="L189" s="1"/>
      <c r="M189" s="9">
        <f>_xlfn.XLOOKUP(L189,Clientes!E:E,Clientes!F:F,0,0,1)</f>
        <v>0</v>
      </c>
      <c r="N189" s="4" t="e">
        <f>VLOOKUP(H189,Clientes!B:D,3,)</f>
        <v>#N/A</v>
      </c>
      <c r="O189">
        <f>_xlfn.XLOOKUP(D189,'[1]Matriz Brokers'!$C:$C,'[1]Matriz Brokers'!$C:$C,0,0,1)</f>
        <v>0</v>
      </c>
    </row>
    <row r="190" spans="1:15" x14ac:dyDescent="0.25">
      <c r="A190" s="4" t="str">
        <f t="shared" si="2"/>
        <v>DESPESA DE REPRESENTAÇÃO -  - 0 -  ()</v>
      </c>
      <c r="B190" s="11">
        <v>46266</v>
      </c>
      <c r="C190" s="4">
        <v>817991</v>
      </c>
      <c r="D190" s="1"/>
      <c r="E190" s="14"/>
      <c r="F190" s="36"/>
      <c r="G190" s="2"/>
      <c r="H190" s="9">
        <f>_xlfn.XLOOKUP(SET!L190,Clientes!E:E,Clientes!B:B,0,0,1)</f>
        <v>0</v>
      </c>
      <c r="I190" s="4"/>
      <c r="J190" s="4"/>
      <c r="K190" s="7"/>
      <c r="L190" s="1"/>
      <c r="M190" s="9">
        <f>_xlfn.XLOOKUP(L190,Clientes!E:E,Clientes!F:F,0,0,1)</f>
        <v>0</v>
      </c>
      <c r="N190" s="4" t="e">
        <f>VLOOKUP(H190,Clientes!B:D,3,)</f>
        <v>#N/A</v>
      </c>
      <c r="O190">
        <f>_xlfn.XLOOKUP(D190,'[1]Matriz Brokers'!$C:$C,'[1]Matriz Brokers'!$C:$C,0,0,1)</f>
        <v>0</v>
      </c>
    </row>
    <row r="191" spans="1:15" x14ac:dyDescent="0.25">
      <c r="A191" s="4" t="str">
        <f t="shared" si="2"/>
        <v>DESPESA DE REPRESENTAÇÃO -  - 0 -  ()</v>
      </c>
      <c r="B191" s="11">
        <v>46266</v>
      </c>
      <c r="C191" s="4">
        <v>817991</v>
      </c>
      <c r="D191" s="1"/>
      <c r="E191" s="14"/>
      <c r="F191" s="36"/>
      <c r="G191" s="2"/>
      <c r="H191" s="9">
        <f>_xlfn.XLOOKUP(SET!L191,Clientes!E:E,Clientes!B:B,0,0,1)</f>
        <v>0</v>
      </c>
      <c r="I191" s="4"/>
      <c r="J191" s="4"/>
      <c r="K191" s="7"/>
      <c r="L191" s="1"/>
      <c r="M191" s="9">
        <f>_xlfn.XLOOKUP(L191,Clientes!E:E,Clientes!F:F,0,0,1)</f>
        <v>0</v>
      </c>
      <c r="N191" s="4" t="e">
        <f>VLOOKUP(H191,Clientes!B:D,3,)</f>
        <v>#N/A</v>
      </c>
      <c r="O191">
        <f>_xlfn.XLOOKUP(D191,'[1]Matriz Brokers'!$C:$C,'[1]Matriz Brokers'!$C:$C,0,0,1)</f>
        <v>0</v>
      </c>
    </row>
    <row r="192" spans="1:15" x14ac:dyDescent="0.25">
      <c r="A192" s="4" t="str">
        <f t="shared" si="2"/>
        <v>DESPESA DE REPRESENTAÇÃO -  - 0 -  ()</v>
      </c>
      <c r="B192" s="11">
        <v>46266</v>
      </c>
      <c r="C192" s="4">
        <v>817991</v>
      </c>
      <c r="D192" s="1"/>
      <c r="E192" s="14"/>
      <c r="F192" s="36"/>
      <c r="G192" s="2"/>
      <c r="H192" s="9">
        <f>_xlfn.XLOOKUP(SET!L192,Clientes!E:E,Clientes!B:B,0,0,1)</f>
        <v>0</v>
      </c>
      <c r="I192" s="4"/>
      <c r="J192" s="4"/>
      <c r="K192" s="7"/>
      <c r="L192" s="1"/>
      <c r="M192" s="9">
        <f>_xlfn.XLOOKUP(L192,Clientes!E:E,Clientes!F:F,0,0,1)</f>
        <v>0</v>
      </c>
      <c r="N192" s="4" t="e">
        <f>VLOOKUP(H192,Clientes!B:D,3,)</f>
        <v>#N/A</v>
      </c>
      <c r="O192">
        <f>_xlfn.XLOOKUP(D192,'[1]Matriz Brokers'!$C:$C,'[1]Matriz Brokers'!$C:$C,0,0,1)</f>
        <v>0</v>
      </c>
    </row>
    <row r="193" spans="1:15" x14ac:dyDescent="0.25">
      <c r="A193" s="4" t="str">
        <f t="shared" si="2"/>
        <v>DESPESA DE REPRESENTAÇÃO -  - 0 -  ()</v>
      </c>
      <c r="B193" s="11">
        <v>46266</v>
      </c>
      <c r="C193" s="4">
        <v>817991</v>
      </c>
      <c r="D193" s="1"/>
      <c r="E193" s="14"/>
      <c r="F193" s="36"/>
      <c r="G193" s="2"/>
      <c r="H193" s="9">
        <f>_xlfn.XLOOKUP(SET!L193,Clientes!E:E,Clientes!B:B,0,0,1)</f>
        <v>0</v>
      </c>
      <c r="I193" s="4"/>
      <c r="J193" s="4"/>
      <c r="K193" s="7"/>
      <c r="L193" s="1"/>
      <c r="M193" s="9">
        <f>_xlfn.XLOOKUP(L193,Clientes!E:E,Clientes!F:F,0,0,1)</f>
        <v>0</v>
      </c>
      <c r="N193" s="4" t="e">
        <f>VLOOKUP(H193,Clientes!B:D,3,)</f>
        <v>#N/A</v>
      </c>
      <c r="O193">
        <f>_xlfn.XLOOKUP(D193,'[1]Matriz Brokers'!$C:$C,'[1]Matriz Brokers'!$C:$C,0,0,1)</f>
        <v>0</v>
      </c>
    </row>
    <row r="194" spans="1:15" x14ac:dyDescent="0.25">
      <c r="A194" s="4" t="str">
        <f t="shared" si="2"/>
        <v>DESPESA DE REPRESENTAÇÃO -  - 0 -  ()</v>
      </c>
      <c r="B194" s="11">
        <v>46266</v>
      </c>
      <c r="C194" s="4">
        <v>817991</v>
      </c>
      <c r="D194" s="1"/>
      <c r="E194" s="14"/>
      <c r="F194" s="36"/>
      <c r="G194" s="2"/>
      <c r="H194" s="9">
        <f>_xlfn.XLOOKUP(SET!L194,Clientes!E:E,Clientes!B:B,0,0,1)</f>
        <v>0</v>
      </c>
      <c r="I194" s="4"/>
      <c r="J194" s="4"/>
      <c r="K194" s="7"/>
      <c r="L194" s="1"/>
      <c r="M194" s="9">
        <f>_xlfn.XLOOKUP(L194,Clientes!E:E,Clientes!F:F,0,0,1)</f>
        <v>0</v>
      </c>
      <c r="N194" s="4" t="e">
        <f>VLOOKUP(H194,Clientes!B:D,3,)</f>
        <v>#N/A</v>
      </c>
      <c r="O194">
        <f>_xlfn.XLOOKUP(D194,'[1]Matriz Brokers'!$C:$C,'[1]Matriz Brokers'!$C:$C,0,0,1)</f>
        <v>0</v>
      </c>
    </row>
    <row r="195" spans="1:15" x14ac:dyDescent="0.25">
      <c r="A195" s="4" t="str">
        <f t="shared" ref="A195:A204" si="3">CONCATENATE($J$1,J195,$I$3,M195,$I$3,L195,$I$1,K195,$I$2)</f>
        <v>DESPESA DE REPRESENTAÇÃO -  - 0 -  ()</v>
      </c>
      <c r="B195" s="11">
        <v>46266</v>
      </c>
      <c r="C195" s="4">
        <v>817991</v>
      </c>
      <c r="D195" s="1"/>
      <c r="E195" s="14"/>
      <c r="F195" s="36"/>
      <c r="G195" s="2"/>
      <c r="H195" s="9">
        <f>_xlfn.XLOOKUP(SET!L195,Clientes!E:E,Clientes!B:B,0,0,1)</f>
        <v>0</v>
      </c>
      <c r="I195" s="4"/>
      <c r="J195" s="4"/>
      <c r="K195" s="7"/>
      <c r="L195" s="1"/>
      <c r="M195" s="9">
        <f>_xlfn.XLOOKUP(L195,Clientes!E:E,Clientes!F:F,0,0,1)</f>
        <v>0</v>
      </c>
      <c r="N195" s="4" t="e">
        <f>VLOOKUP(H195,Clientes!B:D,3,)</f>
        <v>#N/A</v>
      </c>
      <c r="O195">
        <f>_xlfn.XLOOKUP(D195,'[1]Matriz Brokers'!$C:$C,'[1]Matriz Brokers'!$C:$C,0,0,1)</f>
        <v>0</v>
      </c>
    </row>
    <row r="196" spans="1:15" x14ac:dyDescent="0.25">
      <c r="A196" s="4" t="str">
        <f t="shared" si="3"/>
        <v>DESPESA DE REPRESENTAÇÃO -  - 0 -  ()</v>
      </c>
      <c r="B196" s="11">
        <v>46266</v>
      </c>
      <c r="C196" s="4">
        <v>817991</v>
      </c>
      <c r="D196" s="1"/>
      <c r="E196" s="14"/>
      <c r="F196" s="36"/>
      <c r="G196" s="2"/>
      <c r="H196" s="9">
        <f>_xlfn.XLOOKUP(SET!L196,Clientes!E:E,Clientes!B:B,0,0,1)</f>
        <v>0</v>
      </c>
      <c r="I196" s="4"/>
      <c r="J196" s="4"/>
      <c r="K196" s="7"/>
      <c r="L196" s="1"/>
      <c r="M196" s="9">
        <f>_xlfn.XLOOKUP(L196,Clientes!E:E,Clientes!F:F,0,0,1)</f>
        <v>0</v>
      </c>
      <c r="N196" s="4" t="e">
        <f>VLOOKUP(H196,Clientes!B:D,3,)</f>
        <v>#N/A</v>
      </c>
      <c r="O196">
        <f>_xlfn.XLOOKUP(D196,'[1]Matriz Brokers'!$C:$C,'[1]Matriz Brokers'!$C:$C,0,0,1)</f>
        <v>0</v>
      </c>
    </row>
    <row r="197" spans="1:15" x14ac:dyDescent="0.25">
      <c r="A197" s="4" t="str">
        <f t="shared" si="3"/>
        <v>DESPESA DE REPRESENTAÇÃO -  - 0 -  ()</v>
      </c>
      <c r="B197" s="11">
        <v>46266</v>
      </c>
      <c r="C197" s="4">
        <v>817991</v>
      </c>
      <c r="D197" s="1"/>
      <c r="E197" s="14"/>
      <c r="F197" s="36"/>
      <c r="G197" s="2"/>
      <c r="H197" s="9">
        <f>_xlfn.XLOOKUP(SET!L197,Clientes!E:E,Clientes!B:B,0,0,1)</f>
        <v>0</v>
      </c>
      <c r="I197" s="4"/>
      <c r="J197" s="4"/>
      <c r="K197" s="7"/>
      <c r="L197" s="1"/>
      <c r="M197" s="9">
        <f>_xlfn.XLOOKUP(L197,Clientes!E:E,Clientes!F:F,0,0,1)</f>
        <v>0</v>
      </c>
      <c r="N197" s="4" t="e">
        <f>VLOOKUP(H197,Clientes!B:D,3,)</f>
        <v>#N/A</v>
      </c>
      <c r="O197">
        <f>_xlfn.XLOOKUP(D197,'[1]Matriz Brokers'!$C:$C,'[1]Matriz Brokers'!$C:$C,0,0,1)</f>
        <v>0</v>
      </c>
    </row>
    <row r="198" spans="1:15" x14ac:dyDescent="0.25">
      <c r="A198" s="4" t="str">
        <f t="shared" si="3"/>
        <v>DESPESA DE REPRESENTAÇÃO -  - 0 -  ()</v>
      </c>
      <c r="B198" s="11">
        <v>46266</v>
      </c>
      <c r="C198" s="4">
        <v>817991</v>
      </c>
      <c r="D198" s="1"/>
      <c r="E198" s="14"/>
      <c r="F198" s="36"/>
      <c r="G198" s="2"/>
      <c r="H198" s="9">
        <f>_xlfn.XLOOKUP(SET!L198,Clientes!E:E,Clientes!B:B,0,0,1)</f>
        <v>0</v>
      </c>
      <c r="I198" s="4"/>
      <c r="J198" s="4"/>
      <c r="K198" s="7"/>
      <c r="L198" s="1"/>
      <c r="M198" s="9">
        <f>_xlfn.XLOOKUP(L198,Clientes!E:E,Clientes!F:F,0,0,1)</f>
        <v>0</v>
      </c>
      <c r="N198" s="4" t="e">
        <f>VLOOKUP(H198,Clientes!B:D,3,)</f>
        <v>#N/A</v>
      </c>
      <c r="O198">
        <f>_xlfn.XLOOKUP(D198,'[1]Matriz Brokers'!$C:$C,'[1]Matriz Brokers'!$C:$C,0,0,1)</f>
        <v>0</v>
      </c>
    </row>
    <row r="199" spans="1:15" x14ac:dyDescent="0.25">
      <c r="A199" s="4" t="str">
        <f t="shared" si="3"/>
        <v>DESPESA DE REPRESENTAÇÃO -  - 0 -  ()</v>
      </c>
      <c r="B199" s="11">
        <v>46266</v>
      </c>
      <c r="C199" s="4">
        <v>817991</v>
      </c>
      <c r="D199" s="1"/>
      <c r="E199" s="14"/>
      <c r="F199" s="36"/>
      <c r="G199" s="2"/>
      <c r="H199" s="9">
        <f>_xlfn.XLOOKUP(SET!L199,Clientes!E:E,Clientes!B:B,0,0,1)</f>
        <v>0</v>
      </c>
      <c r="J199" s="4"/>
      <c r="K199" s="7"/>
      <c r="L199" s="1"/>
      <c r="M199" s="9">
        <f>_xlfn.XLOOKUP(L199,Clientes!E:E,Clientes!F:F,0,0,1)</f>
        <v>0</v>
      </c>
      <c r="N199" s="4" t="e">
        <f>VLOOKUP(H199,Clientes!B:D,3,)</f>
        <v>#N/A</v>
      </c>
      <c r="O199">
        <f>_xlfn.XLOOKUP(D199,'[1]Matriz Brokers'!$C:$C,'[1]Matriz Brokers'!$C:$C,0,0,1)</f>
        <v>0</v>
      </c>
    </row>
    <row r="200" spans="1:15" x14ac:dyDescent="0.25">
      <c r="A200" s="4" t="str">
        <f t="shared" si="3"/>
        <v>DESPESA DE REPRESENTAÇÃO -  - 0 -  ()</v>
      </c>
      <c r="B200" s="11">
        <v>46266</v>
      </c>
      <c r="C200" s="4">
        <v>817991</v>
      </c>
      <c r="D200" s="1"/>
      <c r="E200" s="14"/>
      <c r="F200" s="36"/>
      <c r="G200" s="2"/>
      <c r="H200" s="9">
        <f>_xlfn.XLOOKUP(SET!L200,Clientes!E:E,Clientes!B:B,0,0,1)</f>
        <v>0</v>
      </c>
      <c r="J200" s="4"/>
      <c r="K200" s="7"/>
      <c r="L200" s="1"/>
      <c r="M200" s="9">
        <f>_xlfn.XLOOKUP(L200,Clientes!E:E,Clientes!F:F,0,0,1)</f>
        <v>0</v>
      </c>
      <c r="N200" s="4" t="e">
        <f>VLOOKUP(H200,Clientes!B:D,3,)</f>
        <v>#N/A</v>
      </c>
      <c r="O200">
        <f>_xlfn.XLOOKUP(D200,'[1]Matriz Brokers'!$C:$C,'[1]Matriz Brokers'!$C:$C,0,0,1)</f>
        <v>0</v>
      </c>
    </row>
    <row r="201" spans="1:15" x14ac:dyDescent="0.25">
      <c r="A201" s="4" t="str">
        <f t="shared" si="3"/>
        <v>DESPESA DE REPRESENTAÇÃO -  - 0 -  ()</v>
      </c>
      <c r="B201" s="11">
        <v>46266</v>
      </c>
      <c r="C201" s="4">
        <v>817991</v>
      </c>
      <c r="D201" s="1"/>
      <c r="E201" s="14"/>
      <c r="F201" s="5"/>
      <c r="G201" s="2"/>
      <c r="H201" s="9">
        <f>_xlfn.XLOOKUP(SET!L201,Clientes!E:E,Clientes!B:B,0,0,1)</f>
        <v>0</v>
      </c>
      <c r="I201" s="4"/>
      <c r="J201" s="4"/>
      <c r="K201" s="7"/>
      <c r="L201" s="1"/>
      <c r="M201" s="9">
        <f>_xlfn.XLOOKUP(L201,Clientes!E:E,Clientes!F:F,0,0,1)</f>
        <v>0</v>
      </c>
      <c r="N201" s="4" t="e">
        <f>VLOOKUP(H201,Clientes!B:D,3,)</f>
        <v>#N/A</v>
      </c>
      <c r="O201">
        <f>_xlfn.XLOOKUP(D201,'[1]Matriz Brokers'!$C:$C,'[1]Matriz Brokers'!$C:$C,0,0,1)</f>
        <v>0</v>
      </c>
    </row>
    <row r="202" spans="1:15" x14ac:dyDescent="0.25">
      <c r="A202" s="4" t="str">
        <f t="shared" si="3"/>
        <v>DESPESA DE REPRESENTAÇÃO -  - 0 -  ()</v>
      </c>
      <c r="B202" s="11">
        <v>46266</v>
      </c>
      <c r="C202" s="4">
        <v>817991</v>
      </c>
      <c r="D202" s="1"/>
      <c r="E202" s="14"/>
      <c r="F202" s="5"/>
      <c r="G202" s="2"/>
      <c r="H202" s="9">
        <f>_xlfn.XLOOKUP(SET!L202,Clientes!E:E,Clientes!B:B,0,0,1)</f>
        <v>0</v>
      </c>
      <c r="I202" s="4"/>
      <c r="J202" s="4"/>
      <c r="K202" s="7"/>
      <c r="L202" s="1"/>
      <c r="M202" s="9">
        <f>_xlfn.XLOOKUP(L202,Clientes!E:E,Clientes!F:F,0,0,1)</f>
        <v>0</v>
      </c>
      <c r="N202" s="4" t="e">
        <f>VLOOKUP(H202,Clientes!B:D,3,)</f>
        <v>#N/A</v>
      </c>
      <c r="O202">
        <f>_xlfn.XLOOKUP(D202,'[1]Matriz Brokers'!$C:$C,'[1]Matriz Brokers'!$C:$C,0,0,1)</f>
        <v>0</v>
      </c>
    </row>
    <row r="203" spans="1:15" x14ac:dyDescent="0.25">
      <c r="A203" s="4" t="str">
        <f t="shared" si="3"/>
        <v>DESPESA DE REPRESENTAÇÃO -  - 0 -  ()</v>
      </c>
      <c r="B203" s="11">
        <v>46266</v>
      </c>
      <c r="C203" s="4">
        <v>817991</v>
      </c>
      <c r="D203" s="1"/>
      <c r="E203" s="14"/>
      <c r="F203" s="5"/>
      <c r="G203" s="2"/>
      <c r="H203" s="9">
        <f>_xlfn.XLOOKUP(SET!L203,Clientes!E:E,Clientes!B:B,0,0,1)</f>
        <v>0</v>
      </c>
      <c r="I203" s="4"/>
      <c r="J203" s="4"/>
      <c r="K203" s="7"/>
      <c r="L203" s="1"/>
      <c r="M203" s="9">
        <f>_xlfn.XLOOKUP(L203,Clientes!E:E,Clientes!F:F,0,0,1)</f>
        <v>0</v>
      </c>
      <c r="N203" s="4" t="e">
        <f>VLOOKUP(H203,Clientes!B:D,3,)</f>
        <v>#N/A</v>
      </c>
      <c r="O203">
        <f>_xlfn.XLOOKUP(D203,'[1]Matriz Brokers'!$C:$C,'[1]Matriz Brokers'!$C:$C,0,0,1)</f>
        <v>0</v>
      </c>
    </row>
    <row r="204" spans="1:15" x14ac:dyDescent="0.25">
      <c r="A204" s="4" t="str">
        <f t="shared" si="3"/>
        <v>DESPESA DE REPRESENTAÇÃO -  - 0 -  ()</v>
      </c>
      <c r="B204" s="11">
        <v>46266</v>
      </c>
      <c r="C204" s="4">
        <v>817991</v>
      </c>
      <c r="D204" s="1"/>
      <c r="F204" s="5"/>
      <c r="G204" s="2"/>
      <c r="H204" s="9">
        <f>_xlfn.XLOOKUP(SET!L204,Clientes!E:E,Clientes!B:B,0,0,1)</f>
        <v>0</v>
      </c>
      <c r="I204" s="4"/>
      <c r="J204" s="4"/>
      <c r="K204" s="7"/>
      <c r="L204" s="1"/>
      <c r="M204" s="9">
        <f>_xlfn.XLOOKUP(L204,Clientes!E:E,Clientes!F:F,0,0,1)</f>
        <v>0</v>
      </c>
      <c r="N204" s="4" t="e">
        <f>VLOOKUP(H204,Clientes!B:D,3,)</f>
        <v>#N/A</v>
      </c>
      <c r="O204">
        <f>_xlfn.XLOOKUP(D204,'[1]Matriz Brokers'!$C:$C,'[1]Matriz Brokers'!$C:$C,0,0,1)</f>
        <v>0</v>
      </c>
    </row>
    <row r="205" spans="1:15" x14ac:dyDescent="0.25">
      <c r="A205" s="4"/>
      <c r="B205" s="11"/>
      <c r="C205" s="4"/>
      <c r="H205" s="9"/>
      <c r="N205" s="4"/>
      <c r="O205">
        <f>_xlfn.XLOOKUP(D205,'[1]Matriz Brokers'!$C:$C,'[1]Matriz Brokers'!$C:$C,0,0,1)</f>
        <v>0</v>
      </c>
    </row>
    <row r="206" spans="1:15" x14ac:dyDescent="0.25">
      <c r="A206" s="4"/>
      <c r="B206" s="11"/>
      <c r="C206" s="4"/>
      <c r="N206" s="4"/>
      <c r="O206">
        <f>_xlfn.XLOOKUP(D206,'[1]Matriz Brokers'!$C:$C,'[1]Matriz Brokers'!$C:$C,0,0,1)</f>
        <v>0</v>
      </c>
    </row>
    <row r="207" spans="1:15" x14ac:dyDescent="0.25">
      <c r="A207" s="4"/>
      <c r="B207" s="11"/>
      <c r="C207" s="4"/>
      <c r="N207" s="4"/>
      <c r="O207">
        <f>_xlfn.XLOOKUP(D207,'[1]Matriz Brokers'!$C:$C,'[1]Matriz Brokers'!$C:$C,0,0,1)</f>
        <v>0</v>
      </c>
    </row>
    <row r="1048576" spans="7:13" x14ac:dyDescent="0.25">
      <c r="G1048576" s="2"/>
      <c r="M1048576" s="9"/>
    </row>
  </sheetData>
  <autoFilter ref="A1:P207" xr:uid="{722680DA-B733-4F54-850B-B1907ECFC407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2B443C-119E-47C3-8BA7-2BC994BB594A}">
          <x14:formula1>
            <xm:f>Clientes!$G:$G</xm:f>
          </x14:formula1>
          <xm:sqref>L57:L58 L53:L54 D45:D204</xm:sqref>
        </x14:dataValidation>
        <x14:dataValidation type="list" errorStyle="information" allowBlank="1" showInputMessage="1" showErrorMessage="1" xr:uid="{DEFFC986-574C-410A-894E-61D6B74A3B73}">
          <x14:formula1>
            <xm:f>Clientes!$E:$E</xm:f>
          </x14:formula1>
          <xm:sqref>L64:L204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5FDF-D65F-498E-8B16-B984BC93F94A}">
  <dimension ref="A1:P1048572"/>
  <sheetViews>
    <sheetView showGridLines="0" zoomScaleNormal="100" workbookViewId="0">
      <selection activeCell="J9" sqref="J9"/>
    </sheetView>
  </sheetViews>
  <sheetFormatPr defaultRowHeight="15" x14ac:dyDescent="0.25"/>
  <cols>
    <col min="1" max="1" width="55.28515625" customWidth="1"/>
    <col min="2" max="2" width="12.5703125" customWidth="1"/>
    <col min="3" max="3" width="11.7109375" customWidth="1"/>
    <col min="4" max="4" width="33.42578125" customWidth="1"/>
    <col min="5" max="5" width="9.85546875" customWidth="1"/>
    <col min="6" max="6" width="14.42578125" customWidth="1"/>
    <col min="7" max="7" width="11.5703125" customWidth="1"/>
    <col min="8" max="8" width="7.5703125" customWidth="1"/>
    <col min="9" max="9" width="1.28515625" customWidth="1"/>
    <col min="10" max="10" width="29.5703125" customWidth="1"/>
    <col min="11" max="11" width="13.85546875" customWidth="1"/>
    <col min="12" max="12" width="31.140625" customWidth="1"/>
    <col min="13" max="13" width="16.7109375" bestFit="1" customWidth="1"/>
    <col min="14" max="14" width="18" bestFit="1" customWidth="1"/>
    <col min="15" max="15" width="39.85546875" bestFit="1" customWidth="1"/>
  </cols>
  <sheetData>
    <row r="1" spans="1:16" x14ac:dyDescent="0.25">
      <c r="A1" s="3" t="s">
        <v>0</v>
      </c>
      <c r="B1" s="10" t="s">
        <v>1</v>
      </c>
      <c r="C1" s="3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17" t="s">
        <v>6</v>
      </c>
      <c r="I1" s="4" t="s">
        <v>386</v>
      </c>
      <c r="J1" s="8" t="s">
        <v>385</v>
      </c>
      <c r="K1" s="8" t="s">
        <v>332</v>
      </c>
      <c r="L1" s="8" t="s">
        <v>383</v>
      </c>
      <c r="M1" s="8" t="s">
        <v>384</v>
      </c>
      <c r="N1" s="8" t="s">
        <v>8</v>
      </c>
    </row>
    <row r="2" spans="1:16" x14ac:dyDescent="0.25">
      <c r="A2" s="4" t="str">
        <f t="shared" ref="A2:A66" si="0">CONCATENATE($J$1,J2,$I$3,M2,$I$3,L2,$I$1,K2,$I$2)</f>
        <v>DESPESA DE REPRESENTAÇÃO - -- ()</v>
      </c>
      <c r="B2" s="11">
        <v>46296</v>
      </c>
      <c r="C2" s="4">
        <v>817991</v>
      </c>
      <c r="D2" s="1"/>
      <c r="E2" s="14"/>
      <c r="F2" s="5"/>
      <c r="G2" s="2"/>
      <c r="H2" s="9"/>
      <c r="I2" s="4" t="s">
        <v>333</v>
      </c>
      <c r="J2" s="4"/>
      <c r="K2" s="7"/>
      <c r="L2" s="1"/>
      <c r="M2" s="9"/>
      <c r="N2" s="4" t="e">
        <f>VLOOKUP(H2,Clientes!B:D,3,)</f>
        <v>#N/A</v>
      </c>
    </row>
    <row r="3" spans="1:16" x14ac:dyDescent="0.25">
      <c r="A3" s="4" t="str">
        <f t="shared" si="0"/>
        <v>DESPESA DE REPRESENTAÇÃO - -- ()</v>
      </c>
      <c r="B3" s="11">
        <v>46296</v>
      </c>
      <c r="C3" s="4">
        <v>817991</v>
      </c>
      <c r="D3" s="1"/>
      <c r="E3" s="14"/>
      <c r="F3" s="2"/>
      <c r="G3" s="2"/>
      <c r="H3" s="9"/>
      <c r="I3" s="4" t="s">
        <v>336</v>
      </c>
      <c r="J3" s="4"/>
      <c r="K3" s="7"/>
      <c r="L3" s="1"/>
      <c r="M3" s="9"/>
      <c r="N3" s="4" t="e">
        <f>VLOOKUP(H3,Clientes!B:D,3,)</f>
        <v>#N/A</v>
      </c>
      <c r="P3" s="38"/>
    </row>
    <row r="4" spans="1:16" x14ac:dyDescent="0.25">
      <c r="A4" s="4" t="str">
        <f t="shared" si="0"/>
        <v>DESPESA DE REPRESENTAÇÃO - -- ()</v>
      </c>
      <c r="B4" s="11">
        <v>46296</v>
      </c>
      <c r="C4" s="4">
        <v>817991</v>
      </c>
      <c r="D4" s="1"/>
      <c r="E4" s="14"/>
      <c r="F4" s="5"/>
      <c r="G4" s="2"/>
      <c r="H4" s="9"/>
      <c r="I4" s="4"/>
      <c r="J4" s="5"/>
      <c r="K4" s="7"/>
      <c r="L4" s="1"/>
      <c r="M4" s="9"/>
      <c r="N4" s="4" t="e">
        <f>VLOOKUP(H4,Clientes!B:D,3,)</f>
        <v>#N/A</v>
      </c>
    </row>
    <row r="5" spans="1:16" x14ac:dyDescent="0.25">
      <c r="A5" s="4" t="str">
        <f t="shared" si="0"/>
        <v>DESPESA DE REPRESENTAÇÃO - -- ()</v>
      </c>
      <c r="B5" s="11">
        <v>46296</v>
      </c>
      <c r="C5" s="4">
        <v>817991</v>
      </c>
      <c r="D5" s="1"/>
      <c r="E5" s="14"/>
      <c r="F5" s="5"/>
      <c r="G5" s="2"/>
      <c r="H5" s="9"/>
      <c r="I5" s="4"/>
      <c r="J5" s="5"/>
      <c r="K5" s="7"/>
      <c r="L5" s="1"/>
      <c r="M5" s="9"/>
      <c r="N5" s="4" t="e">
        <f>VLOOKUP(H5,Clientes!B:D,3,)</f>
        <v>#N/A</v>
      </c>
    </row>
    <row r="6" spans="1:16" x14ac:dyDescent="0.25">
      <c r="A6" s="4" t="str">
        <f t="shared" si="0"/>
        <v>DESPESA DE REPRESENTAÇÃO - -- ()</v>
      </c>
      <c r="B6" s="11">
        <v>46296</v>
      </c>
      <c r="C6" s="4">
        <v>817991</v>
      </c>
      <c r="D6" s="1"/>
      <c r="E6" s="14"/>
      <c r="F6" s="5"/>
      <c r="G6" s="2"/>
      <c r="H6" s="9"/>
      <c r="I6" s="4"/>
      <c r="J6" s="5"/>
      <c r="K6" s="7"/>
      <c r="L6" s="1"/>
      <c r="M6" s="9"/>
      <c r="N6" s="4" t="e">
        <f>VLOOKUP(H6,Clientes!B:D,3,)</f>
        <v>#N/A</v>
      </c>
    </row>
    <row r="7" spans="1:16" x14ac:dyDescent="0.25">
      <c r="A7" s="4" t="str">
        <f t="shared" si="0"/>
        <v>DESPESA DE REPRESENTAÇÃO - -- ()</v>
      </c>
      <c r="B7" s="11">
        <v>46296</v>
      </c>
      <c r="C7" s="4">
        <v>817991</v>
      </c>
      <c r="D7" s="1"/>
      <c r="E7" s="14"/>
      <c r="F7" s="5"/>
      <c r="G7" s="2"/>
      <c r="H7" s="9"/>
      <c r="I7" s="4"/>
      <c r="J7" s="5"/>
      <c r="K7" s="7"/>
      <c r="L7" s="1"/>
      <c r="M7" s="9"/>
      <c r="N7" s="4" t="e">
        <f>VLOOKUP(H7,Clientes!B:D,3,)</f>
        <v>#N/A</v>
      </c>
    </row>
    <row r="8" spans="1:16" x14ac:dyDescent="0.25">
      <c r="A8" s="4" t="str">
        <f t="shared" si="0"/>
        <v>DESPESA DE REPRESENTAÇÃO - -- ()</v>
      </c>
      <c r="B8" s="11">
        <v>46296</v>
      </c>
      <c r="C8" s="4">
        <v>817991</v>
      </c>
      <c r="D8" s="1"/>
      <c r="E8" s="14"/>
      <c r="F8" s="2"/>
      <c r="G8" s="2"/>
      <c r="H8" s="9"/>
      <c r="I8" s="4"/>
      <c r="J8" s="2"/>
      <c r="K8" s="7"/>
      <c r="L8" s="1"/>
      <c r="M8" s="9"/>
      <c r="N8" s="4" t="e">
        <f>VLOOKUP(H8,Clientes!B:D,3,)</f>
        <v>#N/A</v>
      </c>
    </row>
    <row r="9" spans="1:16" x14ac:dyDescent="0.25">
      <c r="A9" s="4" t="str">
        <f t="shared" si="0"/>
        <v>DESPESA DE REPRESENTAÇÃO - -- ()</v>
      </c>
      <c r="B9" s="11">
        <v>46296</v>
      </c>
      <c r="C9" s="4">
        <v>817991</v>
      </c>
      <c r="D9" s="1"/>
      <c r="E9" s="14"/>
      <c r="F9" s="5"/>
      <c r="G9" s="2"/>
      <c r="H9" s="9"/>
      <c r="I9" s="4"/>
      <c r="J9" s="2"/>
      <c r="K9" s="7"/>
      <c r="L9" s="9"/>
      <c r="M9" s="9"/>
      <c r="N9" s="4" t="e">
        <f>VLOOKUP(H9,Clientes!B:D,3,)</f>
        <v>#N/A</v>
      </c>
    </row>
    <row r="10" spans="1:16" x14ac:dyDescent="0.25">
      <c r="A10" s="4" t="str">
        <f t="shared" si="0"/>
        <v>DESPESA DE REPRESENTAÇÃO - -- ()</v>
      </c>
      <c r="B10" s="11">
        <v>46296</v>
      </c>
      <c r="C10" s="4">
        <v>817991</v>
      </c>
      <c r="D10" s="1"/>
      <c r="E10" s="14"/>
      <c r="F10" s="2"/>
      <c r="G10" s="2"/>
      <c r="H10" s="9"/>
      <c r="I10" s="4"/>
      <c r="J10" s="2"/>
      <c r="K10" s="7"/>
      <c r="L10" s="9"/>
      <c r="M10" s="9"/>
      <c r="N10" s="4" t="e">
        <f>VLOOKUP(H10,Clientes!B:D,3,)</f>
        <v>#N/A</v>
      </c>
    </row>
    <row r="11" spans="1:16" x14ac:dyDescent="0.25">
      <c r="A11" s="4" t="str">
        <f t="shared" si="0"/>
        <v>DESPESA DE REPRESENTAÇÃO - -- ()</v>
      </c>
      <c r="B11" s="11">
        <v>46296</v>
      </c>
      <c r="C11" s="4">
        <v>817991</v>
      </c>
      <c r="D11" s="1"/>
      <c r="E11" s="14"/>
      <c r="F11" s="2"/>
      <c r="G11" s="2"/>
      <c r="H11" s="9"/>
      <c r="I11" s="4"/>
      <c r="J11" s="2"/>
      <c r="K11" s="7"/>
      <c r="L11" s="9"/>
      <c r="M11" s="9"/>
      <c r="N11" s="4" t="e">
        <f>VLOOKUP(H11,Clientes!B:D,3,)</f>
        <v>#N/A</v>
      </c>
    </row>
    <row r="12" spans="1:16" x14ac:dyDescent="0.25">
      <c r="A12" s="4" t="str">
        <f t="shared" si="0"/>
        <v>DESPESA DE REPRESENTAÇÃO - -- ()</v>
      </c>
      <c r="B12" s="11">
        <v>46296</v>
      </c>
      <c r="C12" s="4">
        <v>817991</v>
      </c>
      <c r="D12" s="1"/>
      <c r="E12" s="14"/>
      <c r="F12" s="2"/>
      <c r="G12" s="2"/>
      <c r="H12" s="9"/>
      <c r="I12" s="4"/>
      <c r="J12" s="2"/>
      <c r="K12" s="7"/>
      <c r="L12" s="9"/>
      <c r="M12" s="9"/>
      <c r="N12" s="4" t="e">
        <f>VLOOKUP(H12,Clientes!B:D,3,)</f>
        <v>#N/A</v>
      </c>
    </row>
    <row r="13" spans="1:16" x14ac:dyDescent="0.25">
      <c r="A13" s="4" t="str">
        <f t="shared" si="0"/>
        <v>DESPESA DE REPRESENTAÇÃO - -- ()</v>
      </c>
      <c r="B13" s="11">
        <v>46296</v>
      </c>
      <c r="C13" s="4">
        <v>817991</v>
      </c>
      <c r="D13" s="1"/>
      <c r="E13" s="14"/>
      <c r="F13" s="2"/>
      <c r="G13" s="2"/>
      <c r="H13" s="9"/>
      <c r="I13" s="4"/>
      <c r="J13" s="2"/>
      <c r="K13" s="7"/>
      <c r="L13" s="9"/>
      <c r="M13" s="9"/>
      <c r="N13" s="4" t="e">
        <f>VLOOKUP(H13,Clientes!B:D,3,)</f>
        <v>#N/A</v>
      </c>
    </row>
    <row r="14" spans="1:16" x14ac:dyDescent="0.25">
      <c r="A14" s="4" t="str">
        <f t="shared" si="0"/>
        <v>DESPESA DE REPRESENTAÇÃO - -- ()</v>
      </c>
      <c r="B14" s="11">
        <v>46296</v>
      </c>
      <c r="C14" s="4">
        <v>817991</v>
      </c>
      <c r="D14" s="1"/>
      <c r="E14" s="14"/>
      <c r="F14" s="2"/>
      <c r="G14" s="2"/>
      <c r="H14" s="9"/>
      <c r="I14" s="4"/>
      <c r="J14" s="2"/>
      <c r="K14" s="7"/>
      <c r="L14" s="9"/>
      <c r="M14" s="9"/>
      <c r="N14" s="4" t="e">
        <f>VLOOKUP(H14,Clientes!B:D,3,)</f>
        <v>#N/A</v>
      </c>
    </row>
    <row r="15" spans="1:16" x14ac:dyDescent="0.25">
      <c r="A15" s="4" t="str">
        <f t="shared" si="0"/>
        <v>DESPESA DE REPRESENTAÇÃO - -- ()</v>
      </c>
      <c r="B15" s="11">
        <v>46296</v>
      </c>
      <c r="C15" s="4">
        <v>817991</v>
      </c>
      <c r="D15" s="1"/>
      <c r="E15" s="14"/>
      <c r="F15" s="2"/>
      <c r="G15" s="2"/>
      <c r="H15" s="9"/>
      <c r="I15" s="4"/>
      <c r="J15" s="2"/>
      <c r="K15" s="7"/>
      <c r="L15" s="1"/>
      <c r="M15" s="9"/>
      <c r="N15" s="4" t="e">
        <f>VLOOKUP(H15,Clientes!B:D,3,)</f>
        <v>#N/A</v>
      </c>
    </row>
    <row r="16" spans="1:16" x14ac:dyDescent="0.25">
      <c r="A16" s="4" t="str">
        <f t="shared" si="0"/>
        <v>DESPESA DE REPRESENTAÇÃO - -- ()</v>
      </c>
      <c r="B16" s="11">
        <v>46296</v>
      </c>
      <c r="C16" s="4">
        <v>817991</v>
      </c>
      <c r="D16" s="1"/>
      <c r="E16" s="14"/>
      <c r="F16" s="2"/>
      <c r="G16" s="2"/>
      <c r="H16" s="9"/>
      <c r="I16" s="4"/>
      <c r="J16" s="2"/>
      <c r="K16" s="7"/>
      <c r="L16" s="1"/>
      <c r="M16" s="9"/>
      <c r="N16" s="4" t="e">
        <f>VLOOKUP(H16,Clientes!B:D,3,)</f>
        <v>#N/A</v>
      </c>
    </row>
    <row r="17" spans="1:14" x14ac:dyDescent="0.25">
      <c r="A17" s="4" t="str">
        <f t="shared" si="0"/>
        <v>DESPESA DE REPRESENTAÇÃO - -- ()</v>
      </c>
      <c r="B17" s="11">
        <v>46296</v>
      </c>
      <c r="C17" s="4">
        <v>817991</v>
      </c>
      <c r="D17" s="1"/>
      <c r="E17" s="14"/>
      <c r="F17" s="2"/>
      <c r="G17" s="2"/>
      <c r="H17" s="9"/>
      <c r="I17" s="4"/>
      <c r="J17" s="2"/>
      <c r="K17" s="7"/>
      <c r="L17" s="1"/>
      <c r="M17" s="9"/>
      <c r="N17" s="4" t="e">
        <f>VLOOKUP(H17,Clientes!B:D,3,)</f>
        <v>#N/A</v>
      </c>
    </row>
    <row r="18" spans="1:14" x14ac:dyDescent="0.25">
      <c r="A18" s="4" t="str">
        <f t="shared" si="0"/>
        <v>DESPESA DE REPRESENTAÇÃO - -- ()</v>
      </c>
      <c r="B18" s="11">
        <v>46296</v>
      </c>
      <c r="C18" s="4">
        <v>817991</v>
      </c>
      <c r="D18" s="1"/>
      <c r="E18" s="14"/>
      <c r="F18" s="2"/>
      <c r="G18" s="2"/>
      <c r="H18" s="9"/>
      <c r="I18" s="4"/>
      <c r="J18" s="2"/>
      <c r="K18" s="7"/>
      <c r="L18" s="1"/>
      <c r="M18" s="9"/>
      <c r="N18" s="4" t="e">
        <f>VLOOKUP(H18,Clientes!B:D,3,)</f>
        <v>#N/A</v>
      </c>
    </row>
    <row r="19" spans="1:14" x14ac:dyDescent="0.25">
      <c r="A19" s="4" t="str">
        <f t="shared" si="0"/>
        <v>DESPESA DE REPRESENTAÇÃO - -- ()</v>
      </c>
      <c r="B19" s="11">
        <v>46296</v>
      </c>
      <c r="C19" s="4">
        <v>817991</v>
      </c>
      <c r="D19" s="1"/>
      <c r="E19" s="14"/>
      <c r="F19" s="5"/>
      <c r="G19" s="2"/>
      <c r="H19" s="9"/>
      <c r="I19" s="4"/>
      <c r="J19" s="4"/>
      <c r="K19" s="7"/>
      <c r="L19" s="9"/>
      <c r="M19" s="9"/>
      <c r="N19" s="4" t="e">
        <f>VLOOKUP(H19,Clientes!B:D,3,)</f>
        <v>#N/A</v>
      </c>
    </row>
    <row r="20" spans="1:14" x14ac:dyDescent="0.25">
      <c r="A20" s="4" t="str">
        <f t="shared" si="0"/>
        <v>DESPESA DE REPRESENTAÇÃO - -- ()</v>
      </c>
      <c r="B20" s="11">
        <v>46296</v>
      </c>
      <c r="C20" s="4">
        <v>817991</v>
      </c>
      <c r="D20" s="1"/>
      <c r="E20" s="14"/>
      <c r="F20" s="2"/>
      <c r="G20" s="2"/>
      <c r="H20" s="9"/>
      <c r="I20" s="4"/>
      <c r="J20" s="2"/>
      <c r="K20" s="7"/>
      <c r="L20" s="9"/>
      <c r="M20" s="9"/>
      <c r="N20" s="4" t="e">
        <f>VLOOKUP(H20,Clientes!B:D,3,)</f>
        <v>#N/A</v>
      </c>
    </row>
    <row r="21" spans="1:14" x14ac:dyDescent="0.25">
      <c r="A21" s="4" t="str">
        <f t="shared" si="0"/>
        <v>DESPESA DE REPRESENTAÇÃO - -- ()</v>
      </c>
      <c r="B21" s="11">
        <v>46296</v>
      </c>
      <c r="C21" s="4">
        <v>817991</v>
      </c>
      <c r="D21" s="1"/>
      <c r="E21" s="14"/>
      <c r="F21" s="2"/>
      <c r="G21" s="2"/>
      <c r="H21" s="9"/>
      <c r="I21" s="4"/>
      <c r="J21" s="2"/>
      <c r="K21" s="7"/>
      <c r="L21" s="9"/>
      <c r="M21" s="9"/>
      <c r="N21" s="4" t="e">
        <f>VLOOKUP(H21,Clientes!B:D,3,)</f>
        <v>#N/A</v>
      </c>
    </row>
    <row r="22" spans="1:14" x14ac:dyDescent="0.25">
      <c r="A22" s="4" t="str">
        <f t="shared" si="0"/>
        <v>DESPESA DE REPRESENTAÇÃO - -- ()</v>
      </c>
      <c r="B22" s="11">
        <v>46296</v>
      </c>
      <c r="C22" s="4">
        <v>817991</v>
      </c>
      <c r="D22" s="1"/>
      <c r="E22" s="14"/>
      <c r="F22" s="2"/>
      <c r="G22" s="2"/>
      <c r="H22" s="9"/>
      <c r="I22" s="4"/>
      <c r="J22" s="2"/>
      <c r="K22" s="7"/>
      <c r="L22" s="9"/>
      <c r="M22" s="9"/>
      <c r="N22" s="4" t="e">
        <f>VLOOKUP(H22,Clientes!B:D,3,)</f>
        <v>#N/A</v>
      </c>
    </row>
    <row r="23" spans="1:14" x14ac:dyDescent="0.25">
      <c r="A23" s="4" t="str">
        <f t="shared" si="0"/>
        <v>DESPESA DE REPRESENTAÇÃO - -- ()</v>
      </c>
      <c r="B23" s="11">
        <v>46296</v>
      </c>
      <c r="C23" s="4">
        <v>817991</v>
      </c>
      <c r="D23" s="1"/>
      <c r="E23" s="14"/>
      <c r="F23" s="2"/>
      <c r="G23" s="2"/>
      <c r="H23" s="9"/>
      <c r="I23" s="4"/>
      <c r="J23" s="2"/>
      <c r="K23" s="7"/>
      <c r="L23" s="9"/>
      <c r="M23" s="9"/>
      <c r="N23" s="4" t="e">
        <f>VLOOKUP(H23,Clientes!B:D,3,)</f>
        <v>#N/A</v>
      </c>
    </row>
    <row r="24" spans="1:14" x14ac:dyDescent="0.25">
      <c r="A24" s="4" t="str">
        <f t="shared" si="0"/>
        <v>DESPESA DE REPRESENTAÇÃO - -- ()</v>
      </c>
      <c r="B24" s="11">
        <v>46296</v>
      </c>
      <c r="C24" s="4">
        <v>817991</v>
      </c>
      <c r="D24" s="1"/>
      <c r="E24" s="14"/>
      <c r="F24" s="2"/>
      <c r="G24" s="2"/>
      <c r="H24" s="9"/>
      <c r="I24" s="4"/>
      <c r="J24" s="2"/>
      <c r="K24" s="7"/>
      <c r="L24" s="1"/>
      <c r="M24" s="9"/>
      <c r="N24" s="4" t="e">
        <f>VLOOKUP(H24,Clientes!B:D,3,)</f>
        <v>#N/A</v>
      </c>
    </row>
    <row r="25" spans="1:14" x14ac:dyDescent="0.25">
      <c r="A25" s="4" t="str">
        <f t="shared" si="0"/>
        <v>DESPESA DE REPRESENTAÇÃO - -- ()</v>
      </c>
      <c r="B25" s="11">
        <v>46296</v>
      </c>
      <c r="C25" s="4">
        <v>817991</v>
      </c>
      <c r="D25" s="1"/>
      <c r="E25" s="14"/>
      <c r="F25" s="2"/>
      <c r="G25" s="2"/>
      <c r="H25" s="9"/>
      <c r="I25" s="4"/>
      <c r="J25" s="2"/>
      <c r="K25" s="7"/>
      <c r="L25" s="9"/>
      <c r="M25" s="9"/>
      <c r="N25" s="4" t="e">
        <f>VLOOKUP(H25,Clientes!B:D,3,)</f>
        <v>#N/A</v>
      </c>
    </row>
    <row r="26" spans="1:14" x14ac:dyDescent="0.25">
      <c r="A26" s="4" t="str">
        <f t="shared" si="0"/>
        <v>DESPESA DE REPRESENTAÇÃO - -- ()</v>
      </c>
      <c r="B26" s="11">
        <v>46296</v>
      </c>
      <c r="C26" s="4">
        <v>817991</v>
      </c>
      <c r="D26" s="1"/>
      <c r="E26" s="14"/>
      <c r="F26" s="2"/>
      <c r="G26" s="2"/>
      <c r="H26" s="9"/>
      <c r="I26" s="4"/>
      <c r="J26" s="2"/>
      <c r="K26" s="7"/>
      <c r="L26" s="1"/>
      <c r="M26" s="9"/>
      <c r="N26" s="4" t="e">
        <f>VLOOKUP(H26,Clientes!B:D,3,)</f>
        <v>#N/A</v>
      </c>
    </row>
    <row r="27" spans="1:14" x14ac:dyDescent="0.25">
      <c r="A27" s="4" t="str">
        <f t="shared" si="0"/>
        <v>DESPESA DE REPRESENTAÇÃO - -- ()</v>
      </c>
      <c r="B27" s="11">
        <v>46296</v>
      </c>
      <c r="C27" s="4">
        <v>817991</v>
      </c>
      <c r="D27" s="1"/>
      <c r="E27" s="14"/>
      <c r="F27" s="5"/>
      <c r="G27" s="2"/>
      <c r="H27" s="9"/>
      <c r="I27" s="4"/>
      <c r="J27" s="5"/>
      <c r="K27" s="9"/>
      <c r="L27" s="1"/>
      <c r="M27" s="9"/>
      <c r="N27" s="4" t="e">
        <f>VLOOKUP(H27,Clientes!B:D,3,)</f>
        <v>#N/A</v>
      </c>
    </row>
    <row r="28" spans="1:14" x14ac:dyDescent="0.25">
      <c r="A28" s="4" t="str">
        <f t="shared" si="0"/>
        <v>DESPESA DE REPRESENTAÇÃO - -- ()</v>
      </c>
      <c r="B28" s="11">
        <v>46296</v>
      </c>
      <c r="C28" s="4">
        <v>817991</v>
      </c>
      <c r="D28" s="1"/>
      <c r="E28" s="14"/>
      <c r="F28" s="5"/>
      <c r="G28" s="2"/>
      <c r="H28" s="9"/>
      <c r="I28" s="4"/>
      <c r="J28" s="5"/>
      <c r="K28" s="9"/>
      <c r="L28" s="9"/>
      <c r="M28" s="9"/>
      <c r="N28" s="4" t="e">
        <f>VLOOKUP(H28,Clientes!B:D,3,)</f>
        <v>#N/A</v>
      </c>
    </row>
    <row r="29" spans="1:14" x14ac:dyDescent="0.25">
      <c r="A29" s="4" t="str">
        <f t="shared" si="0"/>
        <v>DESPESA DE REPRESENTAÇÃO - -- ()</v>
      </c>
      <c r="B29" s="11">
        <v>46296</v>
      </c>
      <c r="C29" s="4">
        <v>817991</v>
      </c>
      <c r="D29" s="1"/>
      <c r="E29" s="14"/>
      <c r="F29" s="5"/>
      <c r="G29" s="2"/>
      <c r="H29" s="9"/>
      <c r="I29" s="4"/>
      <c r="J29" s="5"/>
      <c r="K29" s="9"/>
      <c r="L29" s="9"/>
      <c r="M29" s="9"/>
      <c r="N29" s="4" t="e">
        <f>VLOOKUP(H29,Clientes!B:D,3,)</f>
        <v>#N/A</v>
      </c>
    </row>
    <row r="30" spans="1:14" x14ac:dyDescent="0.25">
      <c r="A30" s="4" t="str">
        <f t="shared" si="0"/>
        <v>DESPESA DE REPRESENTAÇÃO - -- ()</v>
      </c>
      <c r="B30" s="11">
        <v>46296</v>
      </c>
      <c r="C30" s="4">
        <v>817991</v>
      </c>
      <c r="D30" s="1"/>
      <c r="E30" s="14"/>
      <c r="F30" s="5"/>
      <c r="G30" s="2"/>
      <c r="H30" s="9"/>
      <c r="I30" s="5"/>
      <c r="J30" s="5"/>
      <c r="K30" s="5"/>
      <c r="L30" s="5"/>
      <c r="M30" s="9"/>
      <c r="N30" s="4" t="e">
        <f>VLOOKUP(H30,Clientes!B:D,3,)</f>
        <v>#N/A</v>
      </c>
    </row>
    <row r="31" spans="1:14" x14ac:dyDescent="0.25">
      <c r="A31" s="4" t="str">
        <f t="shared" si="0"/>
        <v>DESPESA DE REPRESENTAÇÃO - -- ()</v>
      </c>
      <c r="B31" s="11">
        <v>46296</v>
      </c>
      <c r="C31" s="4">
        <v>817991</v>
      </c>
      <c r="D31" s="1"/>
      <c r="E31" s="14"/>
      <c r="F31" s="5"/>
      <c r="G31" s="2"/>
      <c r="H31" s="9"/>
      <c r="I31" s="4"/>
      <c r="J31" s="5"/>
      <c r="K31" s="5"/>
      <c r="L31" s="9"/>
      <c r="M31" s="9"/>
      <c r="N31" s="4" t="e">
        <f>VLOOKUP(H31,Clientes!B:D,3,)</f>
        <v>#N/A</v>
      </c>
    </row>
    <row r="32" spans="1:14" x14ac:dyDescent="0.25">
      <c r="A32" s="4" t="str">
        <f t="shared" si="0"/>
        <v>DESPESA DE REPRESENTAÇÃO - -- ()</v>
      </c>
      <c r="B32" s="11">
        <v>46296</v>
      </c>
      <c r="C32" s="4">
        <v>817991</v>
      </c>
      <c r="D32" s="1"/>
      <c r="E32" s="14"/>
      <c r="F32" s="5"/>
      <c r="G32" s="2"/>
      <c r="H32" s="9"/>
      <c r="I32" s="4"/>
      <c r="J32" s="5"/>
      <c r="K32" s="5"/>
      <c r="L32" s="9"/>
      <c r="M32" s="9"/>
      <c r="N32" s="4" t="e">
        <f>VLOOKUP(H32,Clientes!B:D,3,)</f>
        <v>#N/A</v>
      </c>
    </row>
    <row r="33" spans="1:14" x14ac:dyDescent="0.25">
      <c r="A33" s="4" t="str">
        <f t="shared" si="0"/>
        <v>DESPESA DE REPRESENTAÇÃO - -- ()</v>
      </c>
      <c r="B33" s="11">
        <v>46296</v>
      </c>
      <c r="C33" s="4">
        <v>817991</v>
      </c>
      <c r="D33" s="1"/>
      <c r="E33" s="14"/>
      <c r="F33" s="5"/>
      <c r="G33" s="2"/>
      <c r="H33" s="9"/>
      <c r="I33" s="4"/>
      <c r="J33" s="5"/>
      <c r="K33" s="5"/>
      <c r="L33" s="1"/>
      <c r="M33" s="9"/>
      <c r="N33" s="4" t="e">
        <f>VLOOKUP(H33,Clientes!B:D,3,)</f>
        <v>#N/A</v>
      </c>
    </row>
    <row r="34" spans="1:14" x14ac:dyDescent="0.25">
      <c r="A34" s="4" t="str">
        <f t="shared" si="0"/>
        <v>DESPESA DE REPRESENTAÇÃO - -- ()</v>
      </c>
      <c r="B34" s="11">
        <v>46296</v>
      </c>
      <c r="C34" s="4">
        <v>817991</v>
      </c>
      <c r="D34" s="1"/>
      <c r="E34" s="14"/>
      <c r="F34" s="5"/>
      <c r="G34" s="2"/>
      <c r="H34" s="9"/>
      <c r="I34" s="4"/>
      <c r="J34" s="5"/>
      <c r="K34" s="7"/>
      <c r="L34" s="1"/>
      <c r="M34" s="9"/>
      <c r="N34" s="4" t="e">
        <f>VLOOKUP(H34,Clientes!B:D,3,)</f>
        <v>#N/A</v>
      </c>
    </row>
    <row r="35" spans="1:14" x14ac:dyDescent="0.25">
      <c r="A35" s="4" t="str">
        <f t="shared" si="0"/>
        <v>DESPESA DE REPRESENTAÇÃO - -- ()</v>
      </c>
      <c r="B35" s="11">
        <v>46296</v>
      </c>
      <c r="C35" s="4">
        <v>817991</v>
      </c>
      <c r="D35" s="1"/>
      <c r="E35" s="14"/>
      <c r="F35" s="5"/>
      <c r="G35" s="2"/>
      <c r="H35" s="9"/>
      <c r="I35" s="4"/>
      <c r="J35" s="4"/>
      <c r="K35" s="7"/>
      <c r="L35" s="9"/>
      <c r="M35" s="9"/>
      <c r="N35" s="4" t="e">
        <f>VLOOKUP(H35,Clientes!B:D,3,)</f>
        <v>#N/A</v>
      </c>
    </row>
    <row r="36" spans="1:14" x14ac:dyDescent="0.25">
      <c r="A36" s="4" t="str">
        <f t="shared" si="0"/>
        <v>DESPESA DE REPRESENTAÇÃO - -- ()</v>
      </c>
      <c r="B36" s="11">
        <v>46296</v>
      </c>
      <c r="C36" s="4">
        <v>817991</v>
      </c>
      <c r="D36" s="1"/>
      <c r="E36" s="14"/>
      <c r="F36" s="5"/>
      <c r="G36" s="2"/>
      <c r="H36" s="9"/>
      <c r="I36" s="4"/>
      <c r="J36" s="4"/>
      <c r="K36" s="7"/>
      <c r="L36" s="1"/>
      <c r="M36" s="9"/>
      <c r="N36" s="4" t="e">
        <f>VLOOKUP(H36,Clientes!B:D,3,)</f>
        <v>#N/A</v>
      </c>
    </row>
    <row r="37" spans="1:14" x14ac:dyDescent="0.25">
      <c r="A37" s="4" t="str">
        <f t="shared" si="0"/>
        <v>DESPESA DE REPRESENTAÇÃO - -- ()</v>
      </c>
      <c r="B37" s="11">
        <v>46296</v>
      </c>
      <c r="C37" s="4">
        <v>817991</v>
      </c>
      <c r="D37" s="1"/>
      <c r="E37" s="14"/>
      <c r="F37" s="5"/>
      <c r="G37" s="2"/>
      <c r="H37" s="9"/>
      <c r="I37" s="4"/>
      <c r="J37" s="5"/>
      <c r="K37" s="7"/>
      <c r="L37" s="1"/>
      <c r="M37" s="9"/>
      <c r="N37" s="4" t="e">
        <f>VLOOKUP(H37,Clientes!B:D,3,)</f>
        <v>#N/A</v>
      </c>
    </row>
    <row r="38" spans="1:14" x14ac:dyDescent="0.25">
      <c r="A38" s="4" t="str">
        <f t="shared" si="0"/>
        <v>DESPESA DE REPRESENTAÇÃO - -- ()</v>
      </c>
      <c r="B38" s="11">
        <v>46296</v>
      </c>
      <c r="C38" s="4">
        <v>817991</v>
      </c>
      <c r="D38" s="1"/>
      <c r="E38" s="14"/>
      <c r="F38" s="5"/>
      <c r="G38" s="2"/>
      <c r="H38" s="9"/>
      <c r="I38" s="4"/>
      <c r="J38" s="5"/>
      <c r="K38" s="7"/>
      <c r="L38" s="1"/>
      <c r="M38" s="9"/>
      <c r="N38" s="4" t="e">
        <f>VLOOKUP(H38,Clientes!B:D,3,)</f>
        <v>#N/A</v>
      </c>
    </row>
    <row r="39" spans="1:14" x14ac:dyDescent="0.25">
      <c r="A39" s="4" t="str">
        <f t="shared" si="0"/>
        <v>DESPESA DE REPRESENTAÇÃO - -- ()</v>
      </c>
      <c r="B39" s="11">
        <v>46296</v>
      </c>
      <c r="C39" s="4">
        <v>817991</v>
      </c>
      <c r="D39" s="1"/>
      <c r="E39" s="14"/>
      <c r="F39" s="5"/>
      <c r="G39" s="2"/>
      <c r="H39" s="9"/>
      <c r="I39" s="4"/>
      <c r="J39" s="5"/>
      <c r="K39" s="7"/>
      <c r="L39" s="1"/>
      <c r="M39" s="9"/>
      <c r="N39" s="4" t="e">
        <f>VLOOKUP(H39,Clientes!B:D,3,)</f>
        <v>#N/A</v>
      </c>
    </row>
    <row r="40" spans="1:14" x14ac:dyDescent="0.25">
      <c r="A40" s="4" t="str">
        <f t="shared" si="0"/>
        <v>DESPESA DE REPRESENTAÇÃO - -- ()</v>
      </c>
      <c r="B40" s="11">
        <v>46296</v>
      </c>
      <c r="C40" s="4">
        <v>817991</v>
      </c>
      <c r="D40" s="1"/>
      <c r="E40" s="14"/>
      <c r="F40" s="5"/>
      <c r="G40" s="2"/>
      <c r="H40" s="9"/>
      <c r="I40" s="4"/>
      <c r="J40" s="5"/>
      <c r="K40" s="7"/>
      <c r="L40" s="1"/>
      <c r="M40" s="9"/>
      <c r="N40" s="4" t="e">
        <f>VLOOKUP(H40,Clientes!B:D,3,)</f>
        <v>#N/A</v>
      </c>
    </row>
    <row r="41" spans="1:14" x14ac:dyDescent="0.25">
      <c r="A41" s="4" t="str">
        <f t="shared" si="0"/>
        <v>DESPESA DE REPRESENTAÇÃO - -- ()</v>
      </c>
      <c r="B41" s="11">
        <v>46296</v>
      </c>
      <c r="C41" s="4">
        <v>817991</v>
      </c>
      <c r="D41" s="1"/>
      <c r="E41" s="14"/>
      <c r="F41" s="5"/>
      <c r="G41" s="2"/>
      <c r="H41" s="9"/>
      <c r="I41" s="4"/>
      <c r="J41" s="5"/>
      <c r="K41" s="7"/>
      <c r="L41" s="1"/>
      <c r="M41" s="9"/>
      <c r="N41" s="4" t="e">
        <f>VLOOKUP(H41,Clientes!B:D,3,)</f>
        <v>#N/A</v>
      </c>
    </row>
    <row r="42" spans="1:14" x14ac:dyDescent="0.25">
      <c r="A42" s="4" t="str">
        <f t="shared" si="0"/>
        <v>DESPESA DE REPRESENTAÇÃO - -- ()</v>
      </c>
      <c r="B42" s="11">
        <v>46296</v>
      </c>
      <c r="C42" s="4">
        <v>817991</v>
      </c>
      <c r="D42" s="1"/>
      <c r="E42" s="14"/>
      <c r="F42" s="5"/>
      <c r="G42" s="2"/>
      <c r="H42" s="9"/>
      <c r="I42" s="4"/>
      <c r="J42" s="4"/>
      <c r="K42" s="7"/>
      <c r="L42" s="1"/>
      <c r="M42" s="9"/>
      <c r="N42" s="4" t="e">
        <f>VLOOKUP(H42,Clientes!B:D,3,)</f>
        <v>#N/A</v>
      </c>
    </row>
    <row r="43" spans="1:14" x14ac:dyDescent="0.25">
      <c r="A43" s="4" t="str">
        <f t="shared" si="0"/>
        <v>DESPESA DE REPRESENTAÇÃO - -- ()</v>
      </c>
      <c r="B43" s="11">
        <v>46296</v>
      </c>
      <c r="C43" s="4">
        <v>817991</v>
      </c>
      <c r="D43" s="1"/>
      <c r="E43" s="14"/>
      <c r="F43" s="5"/>
      <c r="G43" s="2"/>
      <c r="H43" s="9"/>
      <c r="I43" s="4"/>
      <c r="J43" s="5"/>
      <c r="K43" s="7"/>
      <c r="L43" s="1"/>
      <c r="M43" s="9"/>
      <c r="N43" s="4" t="e">
        <f>VLOOKUP(H43,Clientes!B:D,3,)</f>
        <v>#N/A</v>
      </c>
    </row>
    <row r="44" spans="1:14" x14ac:dyDescent="0.25">
      <c r="A44" s="4" t="str">
        <f t="shared" si="0"/>
        <v>DESPESA DE REPRESENTAÇÃO - -- ()</v>
      </c>
      <c r="B44" s="11">
        <v>46296</v>
      </c>
      <c r="C44" s="4">
        <v>817991</v>
      </c>
      <c r="D44" s="1"/>
      <c r="E44" s="14"/>
      <c r="F44" s="5"/>
      <c r="G44" s="2"/>
      <c r="H44" s="9"/>
      <c r="I44" s="4"/>
      <c r="J44" s="5"/>
      <c r="K44" s="7"/>
      <c r="L44" s="1"/>
      <c r="M44" s="9"/>
      <c r="N44" s="4" t="e">
        <f>VLOOKUP(H44,Clientes!B:D,3,)</f>
        <v>#N/A</v>
      </c>
    </row>
    <row r="45" spans="1:14" x14ac:dyDescent="0.25">
      <c r="A45" s="4" t="str">
        <f t="shared" si="0"/>
        <v>DESPESA DE REPRESENTAÇÃO - -- ()</v>
      </c>
      <c r="B45" s="11">
        <v>46296</v>
      </c>
      <c r="C45" s="4">
        <v>817991</v>
      </c>
      <c r="D45" s="1"/>
      <c r="E45" s="14"/>
      <c r="F45" s="5"/>
      <c r="G45" s="2"/>
      <c r="H45" s="9"/>
      <c r="I45" s="4"/>
      <c r="J45" s="5"/>
      <c r="K45" s="7"/>
      <c r="L45" s="1"/>
      <c r="M45" s="9"/>
      <c r="N45" s="4" t="e">
        <f>VLOOKUP(H45,Clientes!B:D,3,)</f>
        <v>#N/A</v>
      </c>
    </row>
    <row r="46" spans="1:14" x14ac:dyDescent="0.25">
      <c r="A46" s="4" t="str">
        <f t="shared" si="0"/>
        <v>DESPESA DE REPRESENTAÇÃO - -- ()</v>
      </c>
      <c r="B46" s="11">
        <v>46296</v>
      </c>
      <c r="C46" s="4">
        <v>817991</v>
      </c>
      <c r="D46" s="1"/>
      <c r="E46" s="14"/>
      <c r="F46" s="5"/>
      <c r="G46" s="2"/>
      <c r="H46" s="9"/>
      <c r="I46" s="4"/>
      <c r="J46" s="5"/>
      <c r="K46" s="7"/>
      <c r="L46" s="1"/>
      <c r="M46" s="9"/>
      <c r="N46" s="4" t="e">
        <f>VLOOKUP(H46,Clientes!B:D,3,)</f>
        <v>#N/A</v>
      </c>
    </row>
    <row r="47" spans="1:14" x14ac:dyDescent="0.25">
      <c r="A47" s="4" t="str">
        <f t="shared" si="0"/>
        <v>DESPESA DE REPRESENTAÇÃO - -- ()</v>
      </c>
      <c r="B47" s="11">
        <v>46296</v>
      </c>
      <c r="C47" s="4">
        <v>817991</v>
      </c>
      <c r="D47" s="1"/>
      <c r="E47" s="14"/>
      <c r="F47" s="5"/>
      <c r="G47" s="2"/>
      <c r="H47" s="9"/>
      <c r="I47" s="4"/>
      <c r="J47" s="5"/>
      <c r="K47" s="7"/>
      <c r="L47" s="1"/>
      <c r="M47" s="9"/>
      <c r="N47" s="4" t="e">
        <f>VLOOKUP(H47,Clientes!B:D,3,)</f>
        <v>#N/A</v>
      </c>
    </row>
    <row r="48" spans="1:14" x14ac:dyDescent="0.25">
      <c r="A48" s="4" t="str">
        <f t="shared" si="0"/>
        <v>DESPESA DE REPRESENTAÇÃO - -- ()</v>
      </c>
      <c r="B48" s="11">
        <v>46296</v>
      </c>
      <c r="C48" s="4">
        <v>817991</v>
      </c>
      <c r="D48" s="1"/>
      <c r="E48" s="14"/>
      <c r="F48" s="5"/>
      <c r="G48" s="2"/>
      <c r="H48" s="9"/>
      <c r="I48" s="4"/>
      <c r="J48" s="5"/>
      <c r="K48" s="7"/>
      <c r="L48" s="1"/>
      <c r="M48" s="9"/>
      <c r="N48" s="4" t="e">
        <f>VLOOKUP(H48,Clientes!B:D,3,)</f>
        <v>#N/A</v>
      </c>
    </row>
    <row r="49" spans="1:14" x14ac:dyDescent="0.25">
      <c r="A49" s="4" t="str">
        <f t="shared" si="0"/>
        <v>DESPESA DE REPRESENTAÇÃO - -- ()</v>
      </c>
      <c r="B49" s="11">
        <v>46296</v>
      </c>
      <c r="C49" s="4">
        <v>817991</v>
      </c>
      <c r="D49" s="1"/>
      <c r="E49" s="14"/>
      <c r="F49" s="5"/>
      <c r="G49" s="2"/>
      <c r="H49" s="9"/>
      <c r="I49" s="4"/>
      <c r="J49" s="5"/>
      <c r="K49" s="7"/>
      <c r="L49" s="1"/>
      <c r="M49" s="9"/>
      <c r="N49" s="4" t="e">
        <f>VLOOKUP(H49,Clientes!B:D,3,)</f>
        <v>#N/A</v>
      </c>
    </row>
    <row r="50" spans="1:14" x14ac:dyDescent="0.25">
      <c r="A50" s="4" t="str">
        <f t="shared" si="0"/>
        <v>DESPESA DE REPRESENTAÇÃO - -- ()</v>
      </c>
      <c r="B50" s="11">
        <v>46296</v>
      </c>
      <c r="C50" s="4">
        <v>817991</v>
      </c>
      <c r="D50" s="1"/>
      <c r="E50" s="14"/>
      <c r="F50" s="5"/>
      <c r="G50" s="2"/>
      <c r="H50" s="9"/>
      <c r="I50" s="4"/>
      <c r="J50" s="5"/>
      <c r="K50" s="7"/>
      <c r="L50" s="1"/>
      <c r="M50" s="9"/>
      <c r="N50" s="4" t="e">
        <f>VLOOKUP(H50,Clientes!B:D,3,)</f>
        <v>#N/A</v>
      </c>
    </row>
    <row r="51" spans="1:14" x14ac:dyDescent="0.25">
      <c r="A51" s="4" t="str">
        <f t="shared" si="0"/>
        <v>DESPESA DE REPRESENTAÇÃO - -- ()</v>
      </c>
      <c r="B51" s="11">
        <v>46296</v>
      </c>
      <c r="C51" s="4">
        <v>817991</v>
      </c>
      <c r="D51" s="1"/>
      <c r="E51" s="14"/>
      <c r="F51" s="5"/>
      <c r="G51" s="2"/>
      <c r="H51" s="9"/>
      <c r="I51" s="4"/>
      <c r="J51" s="5"/>
      <c r="K51" s="7"/>
      <c r="L51" s="1"/>
      <c r="M51" s="9"/>
      <c r="N51" s="4" t="e">
        <f>VLOOKUP(H51,Clientes!B:D,3,)</f>
        <v>#N/A</v>
      </c>
    </row>
    <row r="52" spans="1:14" x14ac:dyDescent="0.25">
      <c r="A52" s="4" t="str">
        <f t="shared" si="0"/>
        <v>DESPESA DE REPRESENTAÇÃO - -- ()</v>
      </c>
      <c r="B52" s="11">
        <v>46296</v>
      </c>
      <c r="C52" s="4">
        <v>817991</v>
      </c>
      <c r="D52" s="1"/>
      <c r="E52" s="14"/>
      <c r="F52" s="5"/>
      <c r="G52" s="2"/>
      <c r="H52" s="9"/>
      <c r="I52" s="4"/>
      <c r="J52" s="5"/>
      <c r="K52" s="7"/>
      <c r="L52" s="1"/>
      <c r="M52" s="9"/>
      <c r="N52" s="4" t="e">
        <f>VLOOKUP(H52,Clientes!B:D,3,)</f>
        <v>#N/A</v>
      </c>
    </row>
    <row r="53" spans="1:14" x14ac:dyDescent="0.25">
      <c r="A53" s="4" t="str">
        <f t="shared" si="0"/>
        <v>DESPESA DE REPRESENTAÇÃO - -- ()</v>
      </c>
      <c r="B53" s="11">
        <v>46296</v>
      </c>
      <c r="C53" s="4">
        <v>817991</v>
      </c>
      <c r="D53" s="1"/>
      <c r="E53" s="14"/>
      <c r="F53" s="5"/>
      <c r="G53" s="2"/>
      <c r="H53" s="9"/>
      <c r="I53" s="4"/>
      <c r="J53" s="5"/>
      <c r="K53" s="7"/>
      <c r="L53" s="1"/>
      <c r="M53" s="9"/>
      <c r="N53" s="4" t="e">
        <f>VLOOKUP(H53,Clientes!B:D,3,)</f>
        <v>#N/A</v>
      </c>
    </row>
    <row r="54" spans="1:14" x14ac:dyDescent="0.25">
      <c r="A54" s="4" t="str">
        <f t="shared" si="0"/>
        <v>DESPESA DE REPRESENTAÇÃO - -- ()</v>
      </c>
      <c r="B54" s="11">
        <v>46296</v>
      </c>
      <c r="C54" s="4">
        <v>817991</v>
      </c>
      <c r="D54" s="1"/>
      <c r="E54" s="14"/>
      <c r="F54" s="5"/>
      <c r="G54" s="2"/>
      <c r="H54" s="9"/>
      <c r="I54" s="4"/>
      <c r="J54" s="5"/>
      <c r="K54" s="7"/>
      <c r="L54" s="1"/>
      <c r="M54" s="9"/>
      <c r="N54" s="4" t="e">
        <f>VLOOKUP(H54,Clientes!B:D,3,)</f>
        <v>#N/A</v>
      </c>
    </row>
    <row r="55" spans="1:14" x14ac:dyDescent="0.25">
      <c r="A55" s="4" t="str">
        <f t="shared" si="0"/>
        <v>DESPESA DE REPRESENTAÇÃO - -- ()</v>
      </c>
      <c r="B55" s="11">
        <v>46296</v>
      </c>
      <c r="C55" s="4">
        <v>817991</v>
      </c>
      <c r="D55" s="1"/>
      <c r="E55" s="14"/>
      <c r="F55" s="5"/>
      <c r="G55" s="2"/>
      <c r="H55" s="9"/>
      <c r="I55" s="4"/>
      <c r="J55" s="5"/>
      <c r="K55" s="7"/>
      <c r="L55" s="1"/>
      <c r="M55" s="9"/>
      <c r="N55" s="4" t="e">
        <f>VLOOKUP(H55,Clientes!B:D,3,)</f>
        <v>#N/A</v>
      </c>
    </row>
    <row r="56" spans="1:14" x14ac:dyDescent="0.25">
      <c r="A56" s="4" t="str">
        <f t="shared" si="0"/>
        <v>DESPESA DE REPRESENTAÇÃO - -- ()</v>
      </c>
      <c r="B56" s="11">
        <v>46296</v>
      </c>
      <c r="C56" s="4">
        <v>817991</v>
      </c>
      <c r="D56" s="1"/>
      <c r="E56" s="14"/>
      <c r="F56" s="5"/>
      <c r="G56" s="2"/>
      <c r="H56" s="9"/>
      <c r="I56" s="4"/>
      <c r="J56" s="5"/>
      <c r="K56" s="7"/>
      <c r="L56" s="1"/>
      <c r="M56" s="9"/>
      <c r="N56" s="4" t="e">
        <f>VLOOKUP(H56,Clientes!B:D,3,)</f>
        <v>#N/A</v>
      </c>
    </row>
    <row r="57" spans="1:14" x14ac:dyDescent="0.25">
      <c r="A57" s="4" t="str">
        <f t="shared" si="0"/>
        <v>DESPESA DE REPRESENTAÇÃO - -- ()</v>
      </c>
      <c r="B57" s="11">
        <v>46296</v>
      </c>
      <c r="C57" s="4">
        <v>817991</v>
      </c>
      <c r="D57" s="1"/>
      <c r="E57" s="14"/>
      <c r="F57" s="5"/>
      <c r="G57" s="2"/>
      <c r="H57" s="9"/>
      <c r="I57" s="4"/>
      <c r="J57" s="5"/>
      <c r="K57" s="7"/>
      <c r="L57" s="1"/>
      <c r="M57" s="9"/>
      <c r="N57" s="4" t="e">
        <f>VLOOKUP(H57,Clientes!B:D,3,)</f>
        <v>#N/A</v>
      </c>
    </row>
    <row r="58" spans="1:14" x14ac:dyDescent="0.25">
      <c r="A58" s="4" t="str">
        <f t="shared" si="0"/>
        <v>DESPESA DE REPRESENTAÇÃO - -- ()</v>
      </c>
      <c r="B58" s="11">
        <v>46296</v>
      </c>
      <c r="C58" s="4">
        <v>817991</v>
      </c>
      <c r="D58" s="1"/>
      <c r="E58" s="14"/>
      <c r="F58" s="5"/>
      <c r="G58" s="2"/>
      <c r="H58" s="9"/>
      <c r="I58" s="4"/>
      <c r="J58" s="5"/>
      <c r="K58" s="7"/>
      <c r="L58" s="1"/>
      <c r="M58" s="9"/>
      <c r="N58" s="4" t="e">
        <f>VLOOKUP(H58,Clientes!B:D,3,)</f>
        <v>#N/A</v>
      </c>
    </row>
    <row r="59" spans="1:14" x14ac:dyDescent="0.25">
      <c r="A59" s="4" t="str">
        <f t="shared" si="0"/>
        <v>DESPESA DE REPRESENTAÇÃO - -- ()</v>
      </c>
      <c r="B59" s="11">
        <v>46296</v>
      </c>
      <c r="C59" s="4">
        <v>817991</v>
      </c>
      <c r="D59" s="1"/>
      <c r="E59" s="14"/>
      <c r="F59" s="5"/>
      <c r="G59" s="2"/>
      <c r="H59" s="9"/>
      <c r="I59" s="4"/>
      <c r="J59" s="4"/>
      <c r="K59" s="7"/>
      <c r="L59" s="1"/>
      <c r="M59" s="9"/>
      <c r="N59" s="4" t="e">
        <f>VLOOKUP(H59,Clientes!B:D,3,)</f>
        <v>#N/A</v>
      </c>
    </row>
    <row r="60" spans="1:14" x14ac:dyDescent="0.25">
      <c r="A60" s="4" t="str">
        <f t="shared" si="0"/>
        <v>DESPESA DE REPRESENTAÇÃO - -- ()</v>
      </c>
      <c r="B60" s="11">
        <v>46296</v>
      </c>
      <c r="C60" s="4">
        <v>817991</v>
      </c>
      <c r="D60" s="1"/>
      <c r="E60" s="14"/>
      <c r="F60" s="5"/>
      <c r="G60" s="2"/>
      <c r="H60" s="9"/>
      <c r="I60" s="4"/>
      <c r="J60" s="4"/>
      <c r="K60" s="7"/>
      <c r="L60" s="1"/>
      <c r="M60" s="9"/>
      <c r="N60" s="4" t="e">
        <f>VLOOKUP(H60,Clientes!B:D,3,)</f>
        <v>#N/A</v>
      </c>
    </row>
    <row r="61" spans="1:14" x14ac:dyDescent="0.25">
      <c r="A61" s="4" t="str">
        <f t="shared" si="0"/>
        <v>DESPESA DE REPRESENTAÇÃO - -- ()</v>
      </c>
      <c r="B61" s="11">
        <v>46296</v>
      </c>
      <c r="C61" s="4">
        <v>817991</v>
      </c>
      <c r="D61" s="1"/>
      <c r="E61" s="14"/>
      <c r="F61" s="5"/>
      <c r="G61" s="2"/>
      <c r="H61" s="9"/>
      <c r="I61" s="4"/>
      <c r="J61" s="4"/>
      <c r="K61" s="7"/>
      <c r="L61" s="1"/>
      <c r="M61" s="9"/>
      <c r="N61" s="4" t="e">
        <f>VLOOKUP(H61,Clientes!B:D,3,)</f>
        <v>#N/A</v>
      </c>
    </row>
    <row r="62" spans="1:14" x14ac:dyDescent="0.25">
      <c r="A62" s="4" t="str">
        <f t="shared" si="0"/>
        <v>DESPESA DE REPRESENTAÇÃO - -- ()</v>
      </c>
      <c r="B62" s="11">
        <v>46296</v>
      </c>
      <c r="C62" s="4">
        <v>817991</v>
      </c>
      <c r="D62" s="1"/>
      <c r="E62" s="14"/>
      <c r="F62" s="5"/>
      <c r="G62" s="2"/>
      <c r="H62" s="9"/>
      <c r="I62" s="4"/>
      <c r="J62" s="4"/>
      <c r="K62" s="7"/>
      <c r="L62" s="1"/>
      <c r="M62" s="9"/>
      <c r="N62" s="4" t="e">
        <f>VLOOKUP(H62,Clientes!B:D,3,)</f>
        <v>#N/A</v>
      </c>
    </row>
    <row r="63" spans="1:14" x14ac:dyDescent="0.25">
      <c r="A63" s="4" t="str">
        <f t="shared" si="0"/>
        <v>DESPESA DE REPRESENTAÇÃO - -- ()</v>
      </c>
      <c r="B63" s="11">
        <v>46296</v>
      </c>
      <c r="C63" s="4">
        <v>817991</v>
      </c>
      <c r="D63" s="1"/>
      <c r="E63" s="14"/>
      <c r="F63" s="5"/>
      <c r="G63" s="2"/>
      <c r="H63" s="9"/>
      <c r="I63" s="4"/>
      <c r="J63" s="4"/>
      <c r="K63" s="7"/>
      <c r="L63" s="1"/>
      <c r="M63" s="9"/>
      <c r="N63" s="4" t="e">
        <f>VLOOKUP(H63,Clientes!B:D,3,)</f>
        <v>#N/A</v>
      </c>
    </row>
    <row r="64" spans="1:14" x14ac:dyDescent="0.25">
      <c r="A64" s="4" t="str">
        <f t="shared" si="0"/>
        <v>DESPESA DE REPRESENTAÇÃO - -- ()</v>
      </c>
      <c r="B64" s="11">
        <v>46296</v>
      </c>
      <c r="C64" s="4">
        <v>817991</v>
      </c>
      <c r="D64" s="1"/>
      <c r="E64" s="14"/>
      <c r="F64" s="5"/>
      <c r="G64" s="2"/>
      <c r="H64" s="9"/>
      <c r="I64" s="4"/>
      <c r="J64" s="4"/>
      <c r="K64" s="7"/>
      <c r="L64" s="1"/>
      <c r="M64" s="9"/>
      <c r="N64" s="4" t="e">
        <f>VLOOKUP(H64,Clientes!B:D,3,)</f>
        <v>#N/A</v>
      </c>
    </row>
    <row r="65" spans="1:14" x14ac:dyDescent="0.25">
      <c r="A65" s="4" t="str">
        <f t="shared" si="0"/>
        <v>DESPESA DE REPRESENTAÇÃO - -- ()</v>
      </c>
      <c r="B65" s="11">
        <v>46296</v>
      </c>
      <c r="C65" s="4">
        <v>817991</v>
      </c>
      <c r="D65" s="1"/>
      <c r="E65" s="14"/>
      <c r="F65" s="5"/>
      <c r="G65" s="2"/>
      <c r="H65" s="9"/>
      <c r="I65" s="4"/>
      <c r="J65" s="4"/>
      <c r="K65" s="7"/>
      <c r="L65" s="1"/>
      <c r="M65" s="9"/>
      <c r="N65" s="4" t="e">
        <f>VLOOKUP(H65,Clientes!B:D,3,)</f>
        <v>#N/A</v>
      </c>
    </row>
    <row r="66" spans="1:14" x14ac:dyDescent="0.25">
      <c r="A66" s="4" t="str">
        <f t="shared" si="0"/>
        <v>DESPESA DE REPRESENTAÇÃO - -- ()</v>
      </c>
      <c r="B66" s="11">
        <v>46296</v>
      </c>
      <c r="C66" s="4">
        <v>817991</v>
      </c>
      <c r="D66" s="1"/>
      <c r="E66" s="14"/>
      <c r="F66" s="5"/>
      <c r="G66" s="2"/>
      <c r="H66" s="9"/>
      <c r="I66" s="4"/>
      <c r="J66" s="4"/>
      <c r="K66" s="7"/>
      <c r="L66" s="1"/>
      <c r="M66" s="9"/>
      <c r="N66" s="4" t="e">
        <f>VLOOKUP(H66,Clientes!B:D,3,)</f>
        <v>#N/A</v>
      </c>
    </row>
    <row r="67" spans="1:14" x14ac:dyDescent="0.25">
      <c r="A67" s="4" t="str">
        <f t="shared" ref="A67:A130" si="1">CONCATENATE($J$1,J67,$I$3,M67,$I$3,L67,$I$1,K67,$I$2)</f>
        <v>DESPESA DE REPRESENTAÇÃO - -- ()</v>
      </c>
      <c r="B67" s="11">
        <v>46296</v>
      </c>
      <c r="C67" s="4">
        <v>817991</v>
      </c>
      <c r="D67" s="1"/>
      <c r="E67" s="14"/>
      <c r="F67" s="5"/>
      <c r="G67" s="2"/>
      <c r="H67" s="9"/>
      <c r="I67" s="4"/>
      <c r="J67" s="5"/>
      <c r="K67" s="7"/>
      <c r="L67" s="1"/>
      <c r="M67" s="9"/>
      <c r="N67" s="4" t="e">
        <f>VLOOKUP(H67,Clientes!B:D,3,)</f>
        <v>#N/A</v>
      </c>
    </row>
    <row r="68" spans="1:14" x14ac:dyDescent="0.25">
      <c r="A68" s="4" t="str">
        <f t="shared" si="1"/>
        <v>DESPESA DE REPRESENTAÇÃO - -- ()</v>
      </c>
      <c r="B68" s="11">
        <v>46296</v>
      </c>
      <c r="C68" s="4">
        <v>817991</v>
      </c>
      <c r="D68" s="1"/>
      <c r="E68" s="14"/>
      <c r="F68" s="5"/>
      <c r="G68" s="2"/>
      <c r="H68" s="9"/>
      <c r="I68" s="4"/>
      <c r="J68" s="4"/>
      <c r="K68" s="7"/>
      <c r="L68" s="9"/>
      <c r="M68" s="9"/>
      <c r="N68" s="4" t="e">
        <f>VLOOKUP(H68,Clientes!B:D,3,)</f>
        <v>#N/A</v>
      </c>
    </row>
    <row r="69" spans="1:14" x14ac:dyDescent="0.25">
      <c r="A69" s="4" t="str">
        <f t="shared" si="1"/>
        <v>DESPESA DE REPRESENTAÇÃO - -- ()</v>
      </c>
      <c r="B69" s="11">
        <v>46296</v>
      </c>
      <c r="C69" s="4">
        <v>817991</v>
      </c>
      <c r="D69" s="1"/>
      <c r="E69" s="14"/>
      <c r="F69" s="5"/>
      <c r="G69" s="2"/>
      <c r="H69" s="9"/>
      <c r="I69" s="4"/>
      <c r="J69" s="5"/>
      <c r="K69" s="7"/>
      <c r="L69" s="5"/>
      <c r="M69" s="9"/>
      <c r="N69" s="4" t="e">
        <f>VLOOKUP(H69,Clientes!B:D,3,)</f>
        <v>#N/A</v>
      </c>
    </row>
    <row r="70" spans="1:14" x14ac:dyDescent="0.25">
      <c r="A70" s="4" t="str">
        <f t="shared" si="1"/>
        <v>DESPESA DE REPRESENTAÇÃO - -- ()</v>
      </c>
      <c r="B70" s="11">
        <v>46296</v>
      </c>
      <c r="C70" s="4">
        <v>817991</v>
      </c>
      <c r="D70" s="1"/>
      <c r="E70" s="14"/>
      <c r="F70" s="5"/>
      <c r="G70" s="2"/>
      <c r="H70" s="9"/>
      <c r="I70" s="4"/>
      <c r="J70" s="4"/>
      <c r="K70" s="7"/>
      <c r="L70" s="1"/>
      <c r="M70" s="9"/>
      <c r="N70" s="4" t="e">
        <f>VLOOKUP(H70,Clientes!B:D,3,)</f>
        <v>#N/A</v>
      </c>
    </row>
    <row r="71" spans="1:14" x14ac:dyDescent="0.25">
      <c r="A71" s="4" t="str">
        <f t="shared" si="1"/>
        <v>DESPESA DE REPRESENTAÇÃO - -- ()</v>
      </c>
      <c r="B71" s="11">
        <v>46296</v>
      </c>
      <c r="C71" s="4">
        <v>817991</v>
      </c>
      <c r="D71" s="1"/>
      <c r="E71" s="14"/>
      <c r="F71" s="5"/>
      <c r="G71" s="2"/>
      <c r="H71" s="9"/>
      <c r="I71" s="4"/>
      <c r="J71" s="4"/>
      <c r="K71" s="7"/>
      <c r="L71" s="1"/>
      <c r="M71" s="9"/>
      <c r="N71" s="4" t="e">
        <f>VLOOKUP(H71,Clientes!B:D,3,)</f>
        <v>#N/A</v>
      </c>
    </row>
    <row r="72" spans="1:14" x14ac:dyDescent="0.25">
      <c r="A72" s="4" t="str">
        <f t="shared" si="1"/>
        <v>DESPESA DE REPRESENTAÇÃO - -- ()</v>
      </c>
      <c r="B72" s="11">
        <v>46296</v>
      </c>
      <c r="C72" s="4">
        <v>817991</v>
      </c>
      <c r="D72" s="1"/>
      <c r="E72" s="14"/>
      <c r="F72" s="5"/>
      <c r="G72" s="2"/>
      <c r="H72" s="9"/>
      <c r="I72" s="4"/>
      <c r="J72" s="4"/>
      <c r="K72" s="7"/>
      <c r="L72" s="1"/>
      <c r="M72" s="9"/>
      <c r="N72" s="4" t="e">
        <f>VLOOKUP(H72,Clientes!B:D,3,)</f>
        <v>#N/A</v>
      </c>
    </row>
    <row r="73" spans="1:14" x14ac:dyDescent="0.25">
      <c r="A73" s="4" t="str">
        <f t="shared" si="1"/>
        <v>DESPESA DE REPRESENTAÇÃO - -- ()</v>
      </c>
      <c r="B73" s="11">
        <v>46296</v>
      </c>
      <c r="C73" s="4">
        <v>817991</v>
      </c>
      <c r="D73" s="1"/>
      <c r="E73" s="14"/>
      <c r="F73" s="5"/>
      <c r="G73" s="2"/>
      <c r="H73" s="9"/>
      <c r="I73" s="4"/>
      <c r="J73" s="4"/>
      <c r="K73" s="7"/>
      <c r="L73" s="1"/>
      <c r="M73" s="9"/>
      <c r="N73" s="4" t="e">
        <f>VLOOKUP(H73,Clientes!B:D,3,)</f>
        <v>#N/A</v>
      </c>
    </row>
    <row r="74" spans="1:14" x14ac:dyDescent="0.25">
      <c r="A74" s="4" t="str">
        <f t="shared" si="1"/>
        <v>DESPESA DE REPRESENTAÇÃO - -- ()</v>
      </c>
      <c r="B74" s="11">
        <v>46296</v>
      </c>
      <c r="C74" s="4">
        <v>817991</v>
      </c>
      <c r="D74" s="1"/>
      <c r="E74" s="14"/>
      <c r="F74" s="5"/>
      <c r="G74" s="2"/>
      <c r="H74" s="9"/>
      <c r="I74" s="4"/>
      <c r="J74" s="5"/>
      <c r="K74" s="7"/>
      <c r="L74" s="1"/>
      <c r="M74" s="9"/>
      <c r="N74" s="4" t="e">
        <f>VLOOKUP(H74,Clientes!B:D,3,)</f>
        <v>#N/A</v>
      </c>
    </row>
    <row r="75" spans="1:14" x14ac:dyDescent="0.25">
      <c r="A75" s="4" t="str">
        <f t="shared" si="1"/>
        <v>DESPESA DE REPRESENTAÇÃO - -- ()</v>
      </c>
      <c r="B75" s="11">
        <v>46296</v>
      </c>
      <c r="C75" s="4">
        <v>817991</v>
      </c>
      <c r="D75" s="1"/>
      <c r="E75" s="14"/>
      <c r="F75" s="5"/>
      <c r="G75" s="2"/>
      <c r="H75" s="9"/>
      <c r="I75" s="4"/>
      <c r="J75" s="4"/>
      <c r="K75" s="7"/>
      <c r="L75" s="1"/>
      <c r="M75" s="9"/>
      <c r="N75" s="4" t="e">
        <f>VLOOKUP(H75,Clientes!B:D,3,)</f>
        <v>#N/A</v>
      </c>
    </row>
    <row r="76" spans="1:14" x14ac:dyDescent="0.25">
      <c r="A76" s="4" t="str">
        <f t="shared" si="1"/>
        <v>DESPESA DE REPRESENTAÇÃO - -- ()</v>
      </c>
      <c r="B76" s="11">
        <v>46296</v>
      </c>
      <c r="C76" s="4">
        <v>817991</v>
      </c>
      <c r="D76" s="1"/>
      <c r="E76" s="14"/>
      <c r="F76" s="5"/>
      <c r="G76" s="2"/>
      <c r="H76" s="9"/>
      <c r="I76" s="4"/>
      <c r="J76" s="5"/>
      <c r="K76" s="7"/>
      <c r="L76" s="1"/>
      <c r="M76" s="9"/>
      <c r="N76" s="4" t="e">
        <f>VLOOKUP(H76,Clientes!B:D,3,)</f>
        <v>#N/A</v>
      </c>
    </row>
    <row r="77" spans="1:14" x14ac:dyDescent="0.25">
      <c r="A77" s="4" t="str">
        <f t="shared" si="1"/>
        <v>DESPESA DE REPRESENTAÇÃO - -- ()</v>
      </c>
      <c r="B77" s="11">
        <v>46296</v>
      </c>
      <c r="C77" s="4">
        <v>817991</v>
      </c>
      <c r="D77" s="1"/>
      <c r="E77" s="14"/>
      <c r="F77" s="5"/>
      <c r="G77" s="2"/>
      <c r="H77" s="9"/>
      <c r="I77" s="4"/>
      <c r="J77" s="5"/>
      <c r="K77" s="7"/>
      <c r="L77" s="1"/>
      <c r="M77" s="9"/>
      <c r="N77" s="4" t="e">
        <f>VLOOKUP(H77,Clientes!B:D,3,)</f>
        <v>#N/A</v>
      </c>
    </row>
    <row r="78" spans="1:14" x14ac:dyDescent="0.25">
      <c r="A78" s="4" t="str">
        <f t="shared" si="1"/>
        <v>DESPESA DE REPRESENTAÇÃO - -- ()</v>
      </c>
      <c r="B78" s="11">
        <v>46296</v>
      </c>
      <c r="C78" s="4">
        <v>817991</v>
      </c>
      <c r="D78" s="1"/>
      <c r="E78" s="14"/>
      <c r="F78" s="5"/>
      <c r="G78" s="2"/>
      <c r="H78" s="9"/>
      <c r="I78" s="4"/>
      <c r="J78" s="5"/>
      <c r="K78" s="7"/>
      <c r="L78" s="1"/>
      <c r="M78" s="9"/>
      <c r="N78" s="4" t="e">
        <f>VLOOKUP(H78,Clientes!B:D,3,)</f>
        <v>#N/A</v>
      </c>
    </row>
    <row r="79" spans="1:14" x14ac:dyDescent="0.25">
      <c r="A79" s="4" t="str">
        <f t="shared" si="1"/>
        <v>DESPESA DE REPRESENTAÇÃO - -- ()</v>
      </c>
      <c r="B79" s="11">
        <v>46296</v>
      </c>
      <c r="C79" s="4">
        <v>817991</v>
      </c>
      <c r="D79" s="1"/>
      <c r="E79" s="14"/>
      <c r="F79" s="5"/>
      <c r="G79" s="2"/>
      <c r="H79" s="9"/>
      <c r="I79" s="4"/>
      <c r="J79" s="5"/>
      <c r="K79" s="7"/>
      <c r="L79" s="1"/>
      <c r="M79" s="9"/>
      <c r="N79" s="4" t="e">
        <f>VLOOKUP(H79,Clientes!B:D,3,)</f>
        <v>#N/A</v>
      </c>
    </row>
    <row r="80" spans="1:14" x14ac:dyDescent="0.25">
      <c r="A80" s="4" t="str">
        <f t="shared" si="1"/>
        <v>DESPESA DE REPRESENTAÇÃO - -- ()</v>
      </c>
      <c r="B80" s="11">
        <v>46296</v>
      </c>
      <c r="C80" s="4">
        <v>817991</v>
      </c>
      <c r="D80" s="1"/>
      <c r="E80" s="14"/>
      <c r="F80" s="5"/>
      <c r="G80" s="2"/>
      <c r="H80" s="9"/>
      <c r="I80" s="4"/>
      <c r="J80" s="5"/>
      <c r="K80" s="7"/>
      <c r="L80" s="1"/>
      <c r="M80" s="9"/>
      <c r="N80" s="4" t="e">
        <f>VLOOKUP(H80,Clientes!B:D,3,)</f>
        <v>#N/A</v>
      </c>
    </row>
    <row r="81" spans="1:14" x14ac:dyDescent="0.25">
      <c r="A81" s="4" t="str">
        <f t="shared" si="1"/>
        <v>DESPESA DE REPRESENTAÇÃO - -- ()</v>
      </c>
      <c r="B81" s="11">
        <v>46296</v>
      </c>
      <c r="C81" s="4">
        <v>817991</v>
      </c>
      <c r="D81" s="1"/>
      <c r="E81" s="14"/>
      <c r="F81" s="5"/>
      <c r="G81" s="2"/>
      <c r="H81" s="9"/>
      <c r="I81" s="4"/>
      <c r="J81" s="5"/>
      <c r="K81" s="7"/>
      <c r="L81" s="1"/>
      <c r="M81" s="9"/>
      <c r="N81" s="4" t="e">
        <f>VLOOKUP(H81,Clientes!B:D,3,)</f>
        <v>#N/A</v>
      </c>
    </row>
    <row r="82" spans="1:14" x14ac:dyDescent="0.25">
      <c r="A82" s="4" t="str">
        <f t="shared" si="1"/>
        <v>DESPESA DE REPRESENTAÇÃO - -- ()</v>
      </c>
      <c r="B82" s="11">
        <v>46296</v>
      </c>
      <c r="C82" s="4">
        <v>817991</v>
      </c>
      <c r="D82" s="1"/>
      <c r="E82" s="14"/>
      <c r="F82" s="5"/>
      <c r="G82" s="2"/>
      <c r="H82" s="9"/>
      <c r="I82" s="4"/>
      <c r="J82" s="5"/>
      <c r="K82" s="7"/>
      <c r="L82" s="1"/>
      <c r="M82" s="9"/>
      <c r="N82" s="4" t="e">
        <f>VLOOKUP(H82,Clientes!B:D,3,)</f>
        <v>#N/A</v>
      </c>
    </row>
    <row r="83" spans="1:14" ht="13.5" customHeight="1" x14ac:dyDescent="0.25">
      <c r="A83" s="4" t="str">
        <f t="shared" si="1"/>
        <v>DESPESA DE REPRESENTAÇÃO - -- ()</v>
      </c>
      <c r="B83" s="11">
        <v>46296</v>
      </c>
      <c r="C83" s="4">
        <v>817991</v>
      </c>
      <c r="D83" s="1"/>
      <c r="E83" s="14"/>
      <c r="F83" s="5"/>
      <c r="G83" s="2"/>
      <c r="H83" s="9"/>
      <c r="I83" s="4"/>
      <c r="J83" s="5"/>
      <c r="K83" s="9"/>
      <c r="L83" s="1"/>
      <c r="M83" s="9"/>
      <c r="N83" s="4" t="e">
        <f>VLOOKUP(H83,Clientes!B:D,3,)</f>
        <v>#N/A</v>
      </c>
    </row>
    <row r="84" spans="1:14" x14ac:dyDescent="0.25">
      <c r="A84" s="4" t="str">
        <f t="shared" si="1"/>
        <v>DESPESA DE REPRESENTAÇÃO - -- ()</v>
      </c>
      <c r="B84" s="11">
        <v>46296</v>
      </c>
      <c r="C84" s="4">
        <v>817991</v>
      </c>
      <c r="D84" s="1"/>
      <c r="E84" s="14"/>
      <c r="F84" s="5"/>
      <c r="G84" s="2"/>
      <c r="H84" s="9"/>
      <c r="I84" s="4"/>
      <c r="J84" s="4"/>
      <c r="K84" s="7"/>
      <c r="L84" s="1"/>
      <c r="M84" s="9"/>
      <c r="N84" s="4" t="e">
        <f>VLOOKUP(H84,Clientes!B:D,3,)</f>
        <v>#N/A</v>
      </c>
    </row>
    <row r="85" spans="1:14" x14ac:dyDescent="0.25">
      <c r="A85" s="4" t="str">
        <f t="shared" si="1"/>
        <v>DESPESA DE REPRESENTAÇÃO - -- ()</v>
      </c>
      <c r="B85" s="11">
        <v>46296</v>
      </c>
      <c r="C85" s="4">
        <v>817991</v>
      </c>
      <c r="D85" s="1"/>
      <c r="E85" s="14"/>
      <c r="F85" s="5"/>
      <c r="G85" s="2"/>
      <c r="H85" s="9"/>
      <c r="I85" s="4"/>
      <c r="J85" s="4"/>
      <c r="K85" s="7"/>
      <c r="L85" s="1"/>
      <c r="M85" s="9"/>
      <c r="N85" s="4" t="e">
        <f>VLOOKUP(H85,Clientes!B:D,3,)</f>
        <v>#N/A</v>
      </c>
    </row>
    <row r="86" spans="1:14" x14ac:dyDescent="0.25">
      <c r="A86" s="4" t="str">
        <f t="shared" si="1"/>
        <v>DESPESA DE REPRESENTAÇÃO - -- ()</v>
      </c>
      <c r="B86" s="11">
        <v>46296</v>
      </c>
      <c r="C86" s="4">
        <v>817991</v>
      </c>
      <c r="D86" s="1"/>
      <c r="E86" s="14"/>
      <c r="F86" s="5"/>
      <c r="G86" s="2"/>
      <c r="H86" s="9"/>
      <c r="I86" s="4"/>
      <c r="J86" s="5"/>
      <c r="K86" s="7"/>
      <c r="L86" s="1"/>
      <c r="M86" s="9"/>
      <c r="N86" s="4" t="e">
        <f>VLOOKUP(H86,Clientes!B:D,3,)</f>
        <v>#N/A</v>
      </c>
    </row>
    <row r="87" spans="1:14" x14ac:dyDescent="0.25">
      <c r="A87" s="4" t="str">
        <f t="shared" si="1"/>
        <v>DESPESA DE REPRESENTAÇÃO - -- ()</v>
      </c>
      <c r="B87" s="11">
        <v>46296</v>
      </c>
      <c r="C87" s="4">
        <v>817991</v>
      </c>
      <c r="D87" s="1"/>
      <c r="E87" s="14"/>
      <c r="F87" s="5"/>
      <c r="G87" s="2"/>
      <c r="H87" s="9"/>
      <c r="I87" s="4"/>
      <c r="J87" s="5"/>
      <c r="K87" s="7"/>
      <c r="L87" s="1"/>
      <c r="M87" s="9"/>
      <c r="N87" s="4" t="e">
        <f>VLOOKUP(H87,Clientes!B:D,3,)</f>
        <v>#N/A</v>
      </c>
    </row>
    <row r="88" spans="1:14" x14ac:dyDescent="0.25">
      <c r="A88" s="4" t="str">
        <f t="shared" si="1"/>
        <v>DESPESA DE REPRESENTAÇÃO - -- ()</v>
      </c>
      <c r="B88" s="11">
        <v>46296</v>
      </c>
      <c r="C88" s="4">
        <v>817991</v>
      </c>
      <c r="D88" s="1"/>
      <c r="E88" s="14"/>
      <c r="F88" s="5"/>
      <c r="G88" s="2"/>
      <c r="H88" s="9"/>
      <c r="I88" s="4"/>
      <c r="J88" s="5"/>
      <c r="K88" s="7"/>
      <c r="L88" s="1"/>
      <c r="M88" s="9"/>
      <c r="N88" s="4" t="e">
        <f>VLOOKUP(H88,Clientes!B:D,3,)</f>
        <v>#N/A</v>
      </c>
    </row>
    <row r="89" spans="1:14" x14ac:dyDescent="0.25">
      <c r="A89" s="4" t="str">
        <f t="shared" si="1"/>
        <v>DESPESA DE REPRESENTAÇÃO - -- ()</v>
      </c>
      <c r="B89" s="11">
        <v>46296</v>
      </c>
      <c r="C89" s="4">
        <v>817991</v>
      </c>
      <c r="D89" s="1"/>
      <c r="E89" s="14"/>
      <c r="F89" s="5"/>
      <c r="G89" s="2"/>
      <c r="H89" s="9"/>
      <c r="I89" s="4"/>
      <c r="J89" s="5"/>
      <c r="K89" s="7"/>
      <c r="L89" s="1"/>
      <c r="M89" s="9"/>
      <c r="N89" s="4" t="e">
        <f>VLOOKUP(H89,Clientes!B:D,3,)</f>
        <v>#N/A</v>
      </c>
    </row>
    <row r="90" spans="1:14" x14ac:dyDescent="0.25">
      <c r="A90" s="4" t="str">
        <f t="shared" si="1"/>
        <v>DESPESA DE REPRESENTAÇÃO - -- ()</v>
      </c>
      <c r="B90" s="11">
        <v>46296</v>
      </c>
      <c r="C90" s="4">
        <v>817991</v>
      </c>
      <c r="D90" s="1"/>
      <c r="E90" s="14"/>
      <c r="F90" s="5"/>
      <c r="G90" s="2"/>
      <c r="H90" s="9"/>
      <c r="I90" s="4"/>
      <c r="J90" s="4"/>
      <c r="K90" s="7"/>
      <c r="L90" s="1"/>
      <c r="M90" s="9"/>
      <c r="N90" s="4" t="e">
        <f>VLOOKUP(H90,Clientes!B:D,3,)</f>
        <v>#N/A</v>
      </c>
    </row>
    <row r="91" spans="1:14" x14ac:dyDescent="0.25">
      <c r="A91" s="4" t="str">
        <f t="shared" si="1"/>
        <v>DESPESA DE REPRESENTAÇÃO - -- ()</v>
      </c>
      <c r="B91" s="11">
        <v>46296</v>
      </c>
      <c r="C91" s="4">
        <v>817991</v>
      </c>
      <c r="D91" s="1"/>
      <c r="E91" s="14"/>
      <c r="F91" s="5"/>
      <c r="G91" s="2"/>
      <c r="H91" s="9"/>
      <c r="I91" s="4"/>
      <c r="J91" s="4"/>
      <c r="K91" s="7"/>
      <c r="L91" s="1"/>
      <c r="M91" s="9"/>
      <c r="N91" s="4" t="e">
        <f>VLOOKUP(H91,Clientes!B:D,3,)</f>
        <v>#N/A</v>
      </c>
    </row>
    <row r="92" spans="1:14" x14ac:dyDescent="0.25">
      <c r="A92" s="4" t="str">
        <f t="shared" si="1"/>
        <v>DESPESA DE REPRESENTAÇÃO - -- ()</v>
      </c>
      <c r="B92" s="11">
        <v>46296</v>
      </c>
      <c r="C92" s="4">
        <v>817991</v>
      </c>
      <c r="D92" s="1"/>
      <c r="E92" s="14"/>
      <c r="F92" s="5"/>
      <c r="G92" s="2"/>
      <c r="H92" s="9"/>
      <c r="I92" s="4"/>
      <c r="J92" s="4"/>
      <c r="K92" s="7"/>
      <c r="L92" s="1"/>
      <c r="M92" s="9"/>
      <c r="N92" s="4" t="e">
        <f>VLOOKUP(H92,Clientes!B:D,3,)</f>
        <v>#N/A</v>
      </c>
    </row>
    <row r="93" spans="1:14" x14ac:dyDescent="0.25">
      <c r="A93" s="4" t="str">
        <f t="shared" si="1"/>
        <v>DESPESA DE REPRESENTAÇÃO - -- ()</v>
      </c>
      <c r="B93" s="11">
        <v>46296</v>
      </c>
      <c r="C93" s="4">
        <v>817991</v>
      </c>
      <c r="D93" s="1"/>
      <c r="E93" s="14"/>
      <c r="F93" s="5"/>
      <c r="G93" s="2"/>
      <c r="H93" s="9"/>
      <c r="I93" s="4"/>
      <c r="J93" s="5"/>
      <c r="K93" s="7"/>
      <c r="L93" s="1"/>
      <c r="M93" s="9"/>
      <c r="N93" s="4" t="e">
        <f>VLOOKUP(H93,Clientes!B:D,3,)</f>
        <v>#N/A</v>
      </c>
    </row>
    <row r="94" spans="1:14" x14ac:dyDescent="0.25">
      <c r="A94" s="4" t="str">
        <f t="shared" si="1"/>
        <v>DESPESA DE REPRESENTAÇÃO - -- ()</v>
      </c>
      <c r="B94" s="11">
        <v>46296</v>
      </c>
      <c r="C94" s="4">
        <v>817991</v>
      </c>
      <c r="D94" s="1"/>
      <c r="E94" s="14"/>
      <c r="F94" s="5"/>
      <c r="G94" s="2"/>
      <c r="H94" s="9"/>
      <c r="I94" s="4"/>
      <c r="J94" s="5"/>
      <c r="K94" s="7"/>
      <c r="L94" s="5"/>
      <c r="M94" s="9"/>
      <c r="N94" s="4" t="e">
        <f>VLOOKUP(H94,Clientes!B:D,3,)</f>
        <v>#N/A</v>
      </c>
    </row>
    <row r="95" spans="1:14" x14ac:dyDescent="0.25">
      <c r="A95" s="4" t="str">
        <f t="shared" si="1"/>
        <v>DESPESA DE REPRESENTAÇÃO - -- ()</v>
      </c>
      <c r="B95" s="11">
        <v>46296</v>
      </c>
      <c r="C95" s="4">
        <v>817991</v>
      </c>
      <c r="D95" s="1"/>
      <c r="E95" s="14"/>
      <c r="F95" s="5"/>
      <c r="G95" s="2"/>
      <c r="H95" s="9"/>
      <c r="I95" s="4"/>
      <c r="J95" s="5"/>
      <c r="K95" s="1"/>
      <c r="L95" s="1"/>
      <c r="M95" s="9"/>
      <c r="N95" s="4" t="e">
        <f>VLOOKUP(H95,Clientes!B:D,3,)</f>
        <v>#N/A</v>
      </c>
    </row>
    <row r="96" spans="1:14" x14ac:dyDescent="0.25">
      <c r="A96" s="4" t="str">
        <f t="shared" si="1"/>
        <v>DESPESA DE REPRESENTAÇÃO - -- ()</v>
      </c>
      <c r="B96" s="11">
        <v>46296</v>
      </c>
      <c r="C96" s="4">
        <v>817991</v>
      </c>
      <c r="D96" s="1"/>
      <c r="E96" s="14"/>
      <c r="F96" s="5"/>
      <c r="G96" s="2"/>
      <c r="H96" s="9"/>
      <c r="I96" s="4"/>
      <c r="J96" s="5"/>
      <c r="K96" s="7"/>
      <c r="L96" s="1"/>
      <c r="M96" s="9"/>
      <c r="N96" s="4" t="e">
        <f>VLOOKUP(H96,Clientes!B:D,3,)</f>
        <v>#N/A</v>
      </c>
    </row>
    <row r="97" spans="1:14" x14ac:dyDescent="0.25">
      <c r="A97" s="4" t="str">
        <f t="shared" si="1"/>
        <v>DESPESA DE REPRESENTAÇÃO - -- ()</v>
      </c>
      <c r="B97" s="11">
        <v>46296</v>
      </c>
      <c r="C97" s="4">
        <v>817991</v>
      </c>
      <c r="D97" s="1"/>
      <c r="E97" s="14"/>
      <c r="F97" s="5"/>
      <c r="G97" s="2"/>
      <c r="H97" s="9"/>
      <c r="I97" s="4"/>
      <c r="J97" s="5"/>
      <c r="K97" s="7"/>
      <c r="L97" s="1"/>
      <c r="M97" s="9"/>
      <c r="N97" s="4" t="e">
        <f>VLOOKUP(H97,Clientes!B:D,3,)</f>
        <v>#N/A</v>
      </c>
    </row>
    <row r="98" spans="1:14" x14ac:dyDescent="0.25">
      <c r="A98" s="4" t="str">
        <f t="shared" si="1"/>
        <v>DESPESA DE REPRESENTAÇÃO - -- ()</v>
      </c>
      <c r="B98" s="11">
        <v>46296</v>
      </c>
      <c r="C98" s="4">
        <v>817991</v>
      </c>
      <c r="D98" s="1"/>
      <c r="E98" s="14"/>
      <c r="F98" s="5"/>
      <c r="G98" s="2"/>
      <c r="H98" s="9"/>
      <c r="I98" s="4"/>
      <c r="J98" s="5"/>
      <c r="K98" s="7"/>
      <c r="L98" s="1"/>
      <c r="M98" s="9"/>
      <c r="N98" s="4" t="e">
        <f>VLOOKUP(H98,Clientes!B:D,3,)</f>
        <v>#N/A</v>
      </c>
    </row>
    <row r="99" spans="1:14" x14ac:dyDescent="0.25">
      <c r="A99" s="4" t="str">
        <f t="shared" si="1"/>
        <v>DESPESA DE REPRESENTAÇÃO - -- ()</v>
      </c>
      <c r="B99" s="11">
        <v>46296</v>
      </c>
      <c r="C99" s="4">
        <v>817991</v>
      </c>
      <c r="D99" s="1"/>
      <c r="E99" s="14"/>
      <c r="F99" s="5"/>
      <c r="G99" s="2"/>
      <c r="H99" s="9"/>
      <c r="I99" s="4"/>
      <c r="J99" s="5"/>
      <c r="K99" s="7"/>
      <c r="L99" s="1"/>
      <c r="M99" s="9"/>
      <c r="N99" s="4" t="e">
        <f>VLOOKUP(H99,Clientes!B:D,3,)</f>
        <v>#N/A</v>
      </c>
    </row>
    <row r="100" spans="1:14" x14ac:dyDescent="0.25">
      <c r="A100" s="4" t="str">
        <f t="shared" si="1"/>
        <v>DESPESA DE REPRESENTAÇÃO - -- ()</v>
      </c>
      <c r="B100" s="11">
        <v>46296</v>
      </c>
      <c r="C100" s="4">
        <v>817991</v>
      </c>
      <c r="D100" s="1"/>
      <c r="E100" s="14"/>
      <c r="F100" s="5"/>
      <c r="G100" s="2"/>
      <c r="H100" s="9"/>
      <c r="I100" s="4"/>
      <c r="J100" s="4"/>
      <c r="K100" s="7"/>
      <c r="L100" s="1"/>
      <c r="M100" s="9"/>
      <c r="N100" s="4" t="e">
        <f>VLOOKUP(H100,Clientes!B:D,3,)</f>
        <v>#N/A</v>
      </c>
    </row>
    <row r="101" spans="1:14" x14ac:dyDescent="0.25">
      <c r="A101" s="4" t="str">
        <f t="shared" si="1"/>
        <v>DESPESA DE REPRESENTAÇÃO - -- ()</v>
      </c>
      <c r="B101" s="11">
        <v>46296</v>
      </c>
      <c r="C101" s="4">
        <v>817991</v>
      </c>
      <c r="D101" s="1"/>
      <c r="E101" s="14"/>
      <c r="F101" s="5"/>
      <c r="G101" s="2"/>
      <c r="H101" s="9"/>
      <c r="I101" s="4"/>
      <c r="J101" s="5"/>
      <c r="K101" s="7"/>
      <c r="L101" s="1"/>
      <c r="M101" s="9"/>
      <c r="N101" s="4" t="e">
        <f>VLOOKUP(H101,Clientes!B:D,3,)</f>
        <v>#N/A</v>
      </c>
    </row>
    <row r="102" spans="1:14" x14ac:dyDescent="0.25">
      <c r="A102" s="4" t="str">
        <f t="shared" si="1"/>
        <v>DESPESA DE REPRESENTAÇÃO - -- ()</v>
      </c>
      <c r="B102" s="11">
        <v>46296</v>
      </c>
      <c r="C102" s="4">
        <v>817991</v>
      </c>
      <c r="D102" s="1"/>
      <c r="E102" s="14"/>
      <c r="F102" s="5"/>
      <c r="G102" s="2"/>
      <c r="H102" s="9"/>
      <c r="I102" s="4"/>
      <c r="J102" s="5"/>
      <c r="K102" s="7"/>
      <c r="L102" s="5"/>
      <c r="M102" s="9"/>
      <c r="N102" s="4" t="e">
        <f>VLOOKUP(H102,Clientes!B:D,3,)</f>
        <v>#N/A</v>
      </c>
    </row>
    <row r="103" spans="1:14" x14ac:dyDescent="0.25">
      <c r="A103" s="4" t="str">
        <f t="shared" si="1"/>
        <v>DESPESA DE REPRESENTAÇÃO - -- ()</v>
      </c>
      <c r="B103" s="11">
        <v>46296</v>
      </c>
      <c r="C103" s="4">
        <v>817991</v>
      </c>
      <c r="D103" s="1"/>
      <c r="E103" s="14"/>
      <c r="F103" s="5"/>
      <c r="G103" s="2"/>
      <c r="H103" s="9"/>
      <c r="I103" s="4"/>
      <c r="J103" s="5"/>
      <c r="K103" s="7"/>
      <c r="L103" s="1"/>
      <c r="M103" s="9"/>
      <c r="N103" s="4" t="e">
        <f>VLOOKUP(H103,Clientes!B:D,3,)</f>
        <v>#N/A</v>
      </c>
    </row>
    <row r="104" spans="1:14" x14ac:dyDescent="0.25">
      <c r="A104" s="4" t="str">
        <f t="shared" si="1"/>
        <v>DESPESA DE REPRESENTAÇÃO - -- ()</v>
      </c>
      <c r="B104" s="11">
        <v>46296</v>
      </c>
      <c r="C104" s="4">
        <v>817991</v>
      </c>
      <c r="D104" s="1"/>
      <c r="E104" s="14"/>
      <c r="F104" s="5"/>
      <c r="G104" s="2"/>
      <c r="H104" s="9"/>
      <c r="I104" s="4"/>
      <c r="J104" s="4"/>
      <c r="K104" s="7"/>
      <c r="L104" s="1"/>
      <c r="M104" s="9"/>
      <c r="N104" s="4" t="e">
        <f>VLOOKUP(H104,Clientes!B:D,3,)</f>
        <v>#N/A</v>
      </c>
    </row>
    <row r="105" spans="1:14" x14ac:dyDescent="0.25">
      <c r="A105" s="4" t="str">
        <f t="shared" si="1"/>
        <v>DESPESA DE REPRESENTAÇÃO - -- ()</v>
      </c>
      <c r="B105" s="11">
        <v>46296</v>
      </c>
      <c r="C105" s="4">
        <v>817991</v>
      </c>
      <c r="D105" s="1"/>
      <c r="E105" s="14"/>
      <c r="F105" s="5"/>
      <c r="G105" s="2"/>
      <c r="H105" s="9"/>
      <c r="I105" s="4"/>
      <c r="J105" s="4"/>
      <c r="K105" s="7"/>
      <c r="L105" s="1"/>
      <c r="M105" s="9"/>
      <c r="N105" s="4" t="e">
        <f>VLOOKUP(H105,Clientes!B:D,3,)</f>
        <v>#N/A</v>
      </c>
    </row>
    <row r="106" spans="1:14" x14ac:dyDescent="0.25">
      <c r="A106" s="4" t="str">
        <f t="shared" si="1"/>
        <v>DESPESA DE REPRESENTAÇÃO - -- ()</v>
      </c>
      <c r="B106" s="11">
        <v>46296</v>
      </c>
      <c r="C106" s="4">
        <v>817991</v>
      </c>
      <c r="D106" s="1"/>
      <c r="E106" s="14"/>
      <c r="F106" s="5"/>
      <c r="G106" s="2"/>
      <c r="H106" s="9"/>
      <c r="I106" s="4"/>
      <c r="J106" s="4"/>
      <c r="K106" s="7"/>
      <c r="L106" s="1"/>
      <c r="M106" s="9"/>
      <c r="N106" s="4" t="e">
        <f>VLOOKUP(H106,Clientes!B:D,3,)</f>
        <v>#N/A</v>
      </c>
    </row>
    <row r="107" spans="1:14" x14ac:dyDescent="0.25">
      <c r="A107" s="4" t="str">
        <f t="shared" si="1"/>
        <v>DESPESA DE REPRESENTAÇÃO - -- ()</v>
      </c>
      <c r="B107" s="11">
        <v>46296</v>
      </c>
      <c r="C107" s="4">
        <v>817991</v>
      </c>
      <c r="D107" s="1"/>
      <c r="E107" s="14"/>
      <c r="F107" s="5"/>
      <c r="G107" s="2"/>
      <c r="H107" s="9"/>
      <c r="I107" s="4"/>
      <c r="J107" s="5"/>
      <c r="K107" s="7"/>
      <c r="L107" s="1"/>
      <c r="M107" s="9"/>
      <c r="N107" s="4" t="e">
        <f>VLOOKUP(H107,Clientes!B:D,3,)</f>
        <v>#N/A</v>
      </c>
    </row>
    <row r="108" spans="1:14" x14ac:dyDescent="0.25">
      <c r="A108" s="4" t="str">
        <f t="shared" si="1"/>
        <v>DESPESA DE REPRESENTAÇÃO - -- ()</v>
      </c>
      <c r="B108" s="11">
        <v>46296</v>
      </c>
      <c r="C108" s="4">
        <v>817991</v>
      </c>
      <c r="D108" s="1"/>
      <c r="E108" s="14"/>
      <c r="F108" s="5"/>
      <c r="G108" s="2"/>
      <c r="H108" s="9"/>
      <c r="I108" s="4"/>
      <c r="J108" s="4"/>
      <c r="K108" s="7"/>
      <c r="L108" s="1"/>
      <c r="M108" s="9"/>
      <c r="N108" s="4" t="e">
        <f>VLOOKUP(H108,Clientes!B:D,3,)</f>
        <v>#N/A</v>
      </c>
    </row>
    <row r="109" spans="1:14" x14ac:dyDescent="0.25">
      <c r="A109" s="4" t="str">
        <f t="shared" si="1"/>
        <v>DESPESA DE REPRESENTAÇÃO - -- ()</v>
      </c>
      <c r="B109" s="11">
        <v>46296</v>
      </c>
      <c r="C109" s="4">
        <v>817991</v>
      </c>
      <c r="D109" s="1"/>
      <c r="E109" s="14"/>
      <c r="F109" s="5"/>
      <c r="G109" s="2"/>
      <c r="H109" s="9"/>
      <c r="I109" s="4"/>
      <c r="J109" s="4"/>
      <c r="K109" s="7"/>
      <c r="L109" s="1"/>
      <c r="M109" s="9"/>
      <c r="N109" s="4" t="e">
        <f>VLOOKUP(H109,Clientes!B:D,3,)</f>
        <v>#N/A</v>
      </c>
    </row>
    <row r="110" spans="1:14" x14ac:dyDescent="0.25">
      <c r="A110" s="4" t="str">
        <f t="shared" si="1"/>
        <v>DESPESA DE REPRESENTAÇÃO - -- ()</v>
      </c>
      <c r="B110" s="11">
        <v>46296</v>
      </c>
      <c r="C110" s="4">
        <v>817991</v>
      </c>
      <c r="D110" s="1"/>
      <c r="E110" s="14"/>
      <c r="F110" s="5"/>
      <c r="G110" s="2"/>
      <c r="H110" s="9"/>
      <c r="I110" s="4"/>
      <c r="J110" s="5"/>
      <c r="K110" s="7"/>
      <c r="L110" s="1"/>
      <c r="M110" s="9"/>
      <c r="N110" s="4" t="e">
        <f>VLOOKUP(H110,Clientes!B:D,3,)</f>
        <v>#N/A</v>
      </c>
    </row>
    <row r="111" spans="1:14" x14ac:dyDescent="0.25">
      <c r="A111" s="4" t="str">
        <f t="shared" si="1"/>
        <v>DESPESA DE REPRESENTAÇÃO - -- ()</v>
      </c>
      <c r="B111" s="11">
        <v>46296</v>
      </c>
      <c r="C111" s="4">
        <v>817991</v>
      </c>
      <c r="D111" s="1"/>
      <c r="E111" s="14"/>
      <c r="F111" s="5"/>
      <c r="G111" s="2"/>
      <c r="H111" s="9"/>
      <c r="I111" s="4"/>
      <c r="J111" s="5"/>
      <c r="K111" s="7"/>
      <c r="L111" s="1"/>
      <c r="M111" s="9"/>
      <c r="N111" s="4" t="e">
        <f>VLOOKUP(H111,Clientes!B:D,3,)</f>
        <v>#N/A</v>
      </c>
    </row>
    <row r="112" spans="1:14" x14ac:dyDescent="0.25">
      <c r="A112" s="4" t="str">
        <f t="shared" si="1"/>
        <v>DESPESA DE REPRESENTAÇÃO - -- ()</v>
      </c>
      <c r="B112" s="11">
        <v>46296</v>
      </c>
      <c r="C112" s="4">
        <v>817991</v>
      </c>
      <c r="D112" s="1"/>
      <c r="E112" s="14"/>
      <c r="F112" s="5"/>
      <c r="G112" s="2"/>
      <c r="H112" s="9"/>
      <c r="I112" s="4"/>
      <c r="J112" s="4"/>
      <c r="K112" s="7"/>
      <c r="L112" s="1"/>
      <c r="M112" s="9"/>
      <c r="N112" s="4" t="e">
        <f>VLOOKUP(H112,Clientes!B:D,3,)</f>
        <v>#N/A</v>
      </c>
    </row>
    <row r="113" spans="1:14" x14ac:dyDescent="0.25">
      <c r="A113" s="4" t="str">
        <f t="shared" si="1"/>
        <v>DESPESA DE REPRESENTAÇÃO - -- ()</v>
      </c>
      <c r="B113" s="11">
        <v>46296</v>
      </c>
      <c r="C113" s="4">
        <v>817991</v>
      </c>
      <c r="D113" s="1"/>
      <c r="E113" s="14"/>
      <c r="F113" s="5"/>
      <c r="G113" s="2"/>
      <c r="H113" s="9"/>
      <c r="I113" s="4"/>
      <c r="J113" s="4"/>
      <c r="K113" s="7"/>
      <c r="L113" s="1"/>
      <c r="M113" s="9"/>
      <c r="N113" s="4" t="e">
        <f>VLOOKUP(H113,Clientes!B:D,3,)</f>
        <v>#N/A</v>
      </c>
    </row>
    <row r="114" spans="1:14" x14ac:dyDescent="0.25">
      <c r="A114" s="4" t="str">
        <f t="shared" si="1"/>
        <v>DESPESA DE REPRESENTAÇÃO - -- ()</v>
      </c>
      <c r="B114" s="11">
        <v>46296</v>
      </c>
      <c r="C114" s="4">
        <v>817991</v>
      </c>
      <c r="D114" s="1"/>
      <c r="E114" s="14"/>
      <c r="F114" s="5"/>
      <c r="G114" s="2"/>
      <c r="H114" s="9"/>
      <c r="I114" s="4"/>
      <c r="J114" s="4"/>
      <c r="K114" s="7"/>
      <c r="L114" s="1"/>
      <c r="M114" s="9"/>
      <c r="N114" s="4" t="e">
        <f>VLOOKUP(H114,Clientes!B:D,3,)</f>
        <v>#N/A</v>
      </c>
    </row>
    <row r="115" spans="1:14" x14ac:dyDescent="0.25">
      <c r="A115" s="4" t="str">
        <f t="shared" si="1"/>
        <v>DESPESA DE REPRESENTAÇÃO - -- ()</v>
      </c>
      <c r="B115" s="11">
        <v>46296</v>
      </c>
      <c r="C115" s="4">
        <v>817991</v>
      </c>
      <c r="D115" s="1"/>
      <c r="E115" s="14"/>
      <c r="F115" s="5"/>
      <c r="G115" s="2"/>
      <c r="H115" s="9"/>
      <c r="I115" s="4"/>
      <c r="J115" s="4"/>
      <c r="K115" s="7"/>
      <c r="L115" s="1"/>
      <c r="M115" s="9"/>
      <c r="N115" s="4" t="e">
        <f>VLOOKUP(H115,Clientes!B:D,3,)</f>
        <v>#N/A</v>
      </c>
    </row>
    <row r="116" spans="1:14" x14ac:dyDescent="0.25">
      <c r="A116" s="4" t="str">
        <f t="shared" si="1"/>
        <v>DESPESA DE REPRESENTAÇÃO - -- ()</v>
      </c>
      <c r="B116" s="11">
        <v>46296</v>
      </c>
      <c r="C116" s="4">
        <v>817991</v>
      </c>
      <c r="D116" s="1"/>
      <c r="E116" s="14"/>
      <c r="F116" s="5"/>
      <c r="G116" s="2"/>
      <c r="H116" s="9"/>
      <c r="I116" s="4"/>
      <c r="J116" s="4"/>
      <c r="K116" s="7"/>
      <c r="L116" s="1"/>
      <c r="M116" s="9"/>
      <c r="N116" s="4" t="e">
        <f>VLOOKUP(H116,Clientes!B:D,3,)</f>
        <v>#N/A</v>
      </c>
    </row>
    <row r="117" spans="1:14" x14ac:dyDescent="0.25">
      <c r="A117" s="4" t="str">
        <f t="shared" si="1"/>
        <v>DESPESA DE REPRESENTAÇÃO - -- ()</v>
      </c>
      <c r="B117" s="11">
        <v>46296</v>
      </c>
      <c r="C117" s="4">
        <v>817991</v>
      </c>
      <c r="D117" s="1"/>
      <c r="E117" s="14"/>
      <c r="F117" s="5"/>
      <c r="G117" s="2"/>
      <c r="H117" s="9"/>
      <c r="I117" s="4"/>
      <c r="J117" s="4"/>
      <c r="K117" s="7"/>
      <c r="L117" s="1"/>
      <c r="M117" s="9"/>
      <c r="N117" s="4" t="e">
        <f>VLOOKUP(H117,Clientes!B:D,3,)</f>
        <v>#N/A</v>
      </c>
    </row>
    <row r="118" spans="1:14" x14ac:dyDescent="0.25">
      <c r="A118" s="4" t="str">
        <f t="shared" si="1"/>
        <v>DESPESA DE REPRESENTAÇÃO - -- ()</v>
      </c>
      <c r="B118" s="11">
        <v>46296</v>
      </c>
      <c r="C118" s="4">
        <v>817991</v>
      </c>
      <c r="D118" s="1"/>
      <c r="E118" s="14"/>
      <c r="F118" s="5"/>
      <c r="G118" s="2"/>
      <c r="H118" s="9"/>
      <c r="I118" s="4"/>
      <c r="J118" s="4"/>
      <c r="K118" s="7"/>
      <c r="L118" s="1"/>
      <c r="M118" s="9"/>
      <c r="N118" s="4" t="e">
        <f>VLOOKUP(H118,Clientes!B:D,3,)</f>
        <v>#N/A</v>
      </c>
    </row>
    <row r="119" spans="1:14" x14ac:dyDescent="0.25">
      <c r="A119" s="4" t="str">
        <f t="shared" si="1"/>
        <v>DESPESA DE REPRESENTAÇÃO - -- ()</v>
      </c>
      <c r="B119" s="11">
        <v>46296</v>
      </c>
      <c r="C119" s="4">
        <v>817991</v>
      </c>
      <c r="D119" s="1"/>
      <c r="E119" s="14"/>
      <c r="F119" s="5"/>
      <c r="G119" s="2"/>
      <c r="H119" s="9"/>
      <c r="I119" s="4"/>
      <c r="J119" s="4"/>
      <c r="K119" s="7"/>
      <c r="L119" s="1"/>
      <c r="M119" s="9"/>
      <c r="N119" s="4" t="e">
        <f>VLOOKUP(H119,Clientes!B:D,3,)</f>
        <v>#N/A</v>
      </c>
    </row>
    <row r="120" spans="1:14" x14ac:dyDescent="0.25">
      <c r="A120" s="4" t="str">
        <f t="shared" si="1"/>
        <v>DESPESA DE REPRESENTAÇÃO - -- ()</v>
      </c>
      <c r="B120" s="11">
        <v>46296</v>
      </c>
      <c r="C120" s="4">
        <v>817991</v>
      </c>
      <c r="D120" s="1"/>
      <c r="E120" s="14"/>
      <c r="F120" s="5"/>
      <c r="G120" s="2"/>
      <c r="H120" s="9"/>
      <c r="I120" s="4"/>
      <c r="J120" s="5"/>
      <c r="K120" s="7"/>
      <c r="L120" s="1"/>
      <c r="M120" s="9"/>
      <c r="N120" s="4" t="e">
        <f>VLOOKUP(H120,Clientes!B:D,3,)</f>
        <v>#N/A</v>
      </c>
    </row>
    <row r="121" spans="1:14" x14ac:dyDescent="0.25">
      <c r="A121" s="4" t="str">
        <f t="shared" si="1"/>
        <v>DESPESA DE REPRESENTAÇÃO - -- ()</v>
      </c>
      <c r="B121" s="11">
        <v>46296</v>
      </c>
      <c r="C121" s="4">
        <v>817991</v>
      </c>
      <c r="D121" s="1"/>
      <c r="E121" s="14"/>
      <c r="F121" s="5"/>
      <c r="G121" s="2"/>
      <c r="H121" s="9"/>
      <c r="I121" s="4"/>
      <c r="J121" s="5"/>
      <c r="K121" s="7"/>
      <c r="L121" s="1"/>
      <c r="M121" s="9"/>
      <c r="N121" s="4" t="e">
        <f>VLOOKUP(H121,Clientes!B:D,3,)</f>
        <v>#N/A</v>
      </c>
    </row>
    <row r="122" spans="1:14" x14ac:dyDescent="0.25">
      <c r="A122" s="4" t="str">
        <f t="shared" si="1"/>
        <v>DESPESA DE REPRESENTAÇÃO - -- ()</v>
      </c>
      <c r="B122" s="11">
        <v>46296</v>
      </c>
      <c r="C122" s="4">
        <v>817991</v>
      </c>
      <c r="D122" s="1"/>
      <c r="E122" s="14"/>
      <c r="F122" s="5"/>
      <c r="G122" s="2"/>
      <c r="H122" s="9"/>
      <c r="I122" s="4"/>
      <c r="J122" s="4"/>
      <c r="K122" s="7"/>
      <c r="L122" s="1"/>
      <c r="M122" s="9"/>
      <c r="N122" s="4" t="e">
        <f>VLOOKUP(H122,Clientes!B:D,3,)</f>
        <v>#N/A</v>
      </c>
    </row>
    <row r="123" spans="1:14" x14ac:dyDescent="0.25">
      <c r="A123" s="4" t="str">
        <f t="shared" si="1"/>
        <v>DESPESA DE REPRESENTAÇÃO - -- ()</v>
      </c>
      <c r="B123" s="11">
        <v>46296</v>
      </c>
      <c r="C123" s="4">
        <v>817991</v>
      </c>
      <c r="D123" s="1"/>
      <c r="E123" s="14"/>
      <c r="F123" s="5"/>
      <c r="G123" s="2"/>
      <c r="H123" s="9"/>
      <c r="I123" s="4"/>
      <c r="J123" s="4"/>
      <c r="K123" s="7"/>
      <c r="L123" s="1"/>
      <c r="M123" s="9"/>
      <c r="N123" s="4" t="e">
        <f>VLOOKUP(H123,Clientes!B:D,3,)</f>
        <v>#N/A</v>
      </c>
    </row>
    <row r="124" spans="1:14" x14ac:dyDescent="0.25">
      <c r="A124" s="4" t="str">
        <f t="shared" si="1"/>
        <v>DESPESA DE REPRESENTAÇÃO - -- ()</v>
      </c>
      <c r="B124" s="11">
        <v>46296</v>
      </c>
      <c r="C124" s="4">
        <v>817991</v>
      </c>
      <c r="D124" s="1"/>
      <c r="E124" s="14"/>
      <c r="F124" s="5"/>
      <c r="G124" s="2"/>
      <c r="H124" s="9"/>
      <c r="I124" s="4"/>
      <c r="J124" s="5"/>
      <c r="K124" s="7"/>
      <c r="L124" s="1"/>
      <c r="M124" s="9"/>
      <c r="N124" s="4" t="e">
        <f>VLOOKUP(H124,Clientes!B:D,3,)</f>
        <v>#N/A</v>
      </c>
    </row>
    <row r="125" spans="1:14" x14ac:dyDescent="0.25">
      <c r="A125" s="4" t="str">
        <f t="shared" si="1"/>
        <v>DESPESA DE REPRESENTAÇÃO - -- ()</v>
      </c>
      <c r="B125" s="11">
        <v>46296</v>
      </c>
      <c r="C125" s="4">
        <v>817991</v>
      </c>
      <c r="D125" s="1"/>
      <c r="E125" s="14"/>
      <c r="F125" s="5"/>
      <c r="G125" s="2"/>
      <c r="H125" s="9"/>
      <c r="I125" s="4"/>
      <c r="J125" s="5"/>
      <c r="K125" s="7"/>
      <c r="L125" s="1"/>
      <c r="M125" s="9"/>
      <c r="N125" s="4" t="e">
        <f>VLOOKUP(H125,Clientes!B:D,3,)</f>
        <v>#N/A</v>
      </c>
    </row>
    <row r="126" spans="1:14" x14ac:dyDescent="0.25">
      <c r="A126" s="4" t="str">
        <f t="shared" si="1"/>
        <v>DESPESA DE REPRESENTAÇÃO - -- ()</v>
      </c>
      <c r="B126" s="11">
        <v>46296</v>
      </c>
      <c r="C126" s="4">
        <v>817991</v>
      </c>
      <c r="D126" s="1"/>
      <c r="E126" s="14"/>
      <c r="F126" s="5"/>
      <c r="G126" s="2"/>
      <c r="H126" s="9"/>
      <c r="I126" s="4"/>
      <c r="J126" s="5"/>
      <c r="K126" s="7"/>
      <c r="L126" s="1"/>
      <c r="M126" s="9"/>
      <c r="N126" s="4" t="e">
        <f>VLOOKUP(H126,Clientes!B:D,3,)</f>
        <v>#N/A</v>
      </c>
    </row>
    <row r="127" spans="1:14" x14ac:dyDescent="0.25">
      <c r="A127" s="4" t="str">
        <f t="shared" si="1"/>
        <v>DESPESA DE REPRESENTAÇÃO - -- ()</v>
      </c>
      <c r="B127" s="11">
        <v>46296</v>
      </c>
      <c r="C127" s="4">
        <v>817991</v>
      </c>
      <c r="D127" s="1"/>
      <c r="E127" s="14"/>
      <c r="F127" s="5"/>
      <c r="G127" s="2"/>
      <c r="H127" s="9"/>
      <c r="I127" s="4"/>
      <c r="J127" s="4"/>
      <c r="K127" s="7"/>
      <c r="L127" s="1"/>
      <c r="M127" s="9"/>
      <c r="N127" s="4" t="e">
        <f>VLOOKUP(H127,Clientes!B:D,3,)</f>
        <v>#N/A</v>
      </c>
    </row>
    <row r="128" spans="1:14" x14ac:dyDescent="0.25">
      <c r="A128" s="4" t="str">
        <f t="shared" si="1"/>
        <v>DESPESA DE REPRESENTAÇÃO - -- ()</v>
      </c>
      <c r="B128" s="11">
        <v>46296</v>
      </c>
      <c r="C128" s="4">
        <v>817991</v>
      </c>
      <c r="D128" s="1"/>
      <c r="E128" s="14"/>
      <c r="F128" s="5"/>
      <c r="G128" s="2"/>
      <c r="H128" s="9"/>
      <c r="I128" s="4"/>
      <c r="J128" s="4"/>
      <c r="K128" s="7"/>
      <c r="L128" s="1"/>
      <c r="M128" s="9"/>
      <c r="N128" s="4" t="e">
        <f>VLOOKUP(H128,Clientes!B:D,3,)</f>
        <v>#N/A</v>
      </c>
    </row>
    <row r="129" spans="1:14" x14ac:dyDescent="0.25">
      <c r="A129" s="4" t="str">
        <f t="shared" si="1"/>
        <v>DESPESA DE REPRESENTAÇÃO - -- ()</v>
      </c>
      <c r="B129" s="11">
        <v>46296</v>
      </c>
      <c r="C129" s="4">
        <v>817991</v>
      </c>
      <c r="D129" s="1"/>
      <c r="E129" s="14"/>
      <c r="F129" s="5"/>
      <c r="G129" s="2"/>
      <c r="H129" s="9"/>
      <c r="I129" s="4"/>
      <c r="J129" s="5"/>
      <c r="K129" s="7"/>
      <c r="L129" s="1"/>
      <c r="M129" s="9"/>
      <c r="N129" s="4" t="e">
        <f>VLOOKUP(H129,Clientes!B:D,3,)</f>
        <v>#N/A</v>
      </c>
    </row>
    <row r="130" spans="1:14" x14ac:dyDescent="0.25">
      <c r="A130" s="4" t="str">
        <f t="shared" si="1"/>
        <v>DESPESA DE REPRESENTAÇÃO - -- ()</v>
      </c>
      <c r="B130" s="11">
        <v>46296</v>
      </c>
      <c r="C130" s="4">
        <v>817991</v>
      </c>
      <c r="D130" s="1"/>
      <c r="E130" s="14"/>
      <c r="F130" s="5"/>
      <c r="G130" s="2"/>
      <c r="H130" s="9"/>
      <c r="I130" s="4"/>
      <c r="J130" s="4"/>
      <c r="K130" s="7"/>
      <c r="L130" s="1"/>
      <c r="M130" s="9"/>
      <c r="N130" s="4" t="e">
        <f>VLOOKUP(H130,Clientes!B:D,3,)</f>
        <v>#N/A</v>
      </c>
    </row>
    <row r="131" spans="1:14" x14ac:dyDescent="0.25">
      <c r="A131" s="4" t="str">
        <f t="shared" ref="A131:A194" si="2">CONCATENATE($J$1,J131,$I$3,M131,$I$3,L131,$I$1,K131,$I$2)</f>
        <v>DESPESA DE REPRESENTAÇÃO - -- ()</v>
      </c>
      <c r="B131" s="11">
        <v>46296</v>
      </c>
      <c r="C131" s="4">
        <v>817991</v>
      </c>
      <c r="D131" s="1"/>
      <c r="E131" s="14"/>
      <c r="F131" s="5"/>
      <c r="G131" s="2"/>
      <c r="H131" s="9"/>
      <c r="I131" s="4"/>
      <c r="J131" s="4"/>
      <c r="K131" s="7"/>
      <c r="L131" s="1"/>
      <c r="M131" s="9"/>
      <c r="N131" s="4" t="e">
        <f>VLOOKUP(H131,Clientes!B:D,3,)</f>
        <v>#N/A</v>
      </c>
    </row>
    <row r="132" spans="1:14" x14ac:dyDescent="0.25">
      <c r="A132" s="4" t="str">
        <f t="shared" si="2"/>
        <v>DESPESA DE REPRESENTAÇÃO - -- ()</v>
      </c>
      <c r="B132" s="11">
        <v>46296</v>
      </c>
      <c r="C132" s="4">
        <v>817991</v>
      </c>
      <c r="D132" s="1"/>
      <c r="E132" s="14"/>
      <c r="F132" s="5"/>
      <c r="G132" s="2"/>
      <c r="H132" s="9"/>
      <c r="I132" s="4"/>
      <c r="J132" s="5"/>
      <c r="K132" s="7"/>
      <c r="L132" s="1"/>
      <c r="M132" s="9"/>
      <c r="N132" s="4" t="e">
        <f>VLOOKUP(H132,Clientes!B:D,3,)</f>
        <v>#N/A</v>
      </c>
    </row>
    <row r="133" spans="1:14" x14ac:dyDescent="0.25">
      <c r="A133" s="4" t="str">
        <f t="shared" si="2"/>
        <v>DESPESA DE REPRESENTAÇÃO - -- ()</v>
      </c>
      <c r="B133" s="11">
        <v>46296</v>
      </c>
      <c r="C133" s="4">
        <v>817991</v>
      </c>
      <c r="D133" s="1"/>
      <c r="E133" s="14"/>
      <c r="F133" s="5"/>
      <c r="G133" s="2"/>
      <c r="H133" s="9"/>
      <c r="I133" s="4"/>
      <c r="J133" s="4"/>
      <c r="K133" s="7"/>
      <c r="L133" s="1"/>
      <c r="M133" s="9"/>
      <c r="N133" s="4" t="e">
        <f>VLOOKUP(H133,Clientes!B:D,3,)</f>
        <v>#N/A</v>
      </c>
    </row>
    <row r="134" spans="1:14" x14ac:dyDescent="0.25">
      <c r="A134" s="4" t="str">
        <f t="shared" si="2"/>
        <v>DESPESA DE REPRESENTAÇÃO - -- ()</v>
      </c>
      <c r="B134" s="11">
        <v>46296</v>
      </c>
      <c r="C134" s="4">
        <v>817991</v>
      </c>
      <c r="D134" s="1"/>
      <c r="E134" s="14"/>
      <c r="F134" s="5"/>
      <c r="G134" s="2"/>
      <c r="H134" s="9"/>
      <c r="I134" s="4"/>
      <c r="J134" s="5"/>
      <c r="K134" s="7"/>
      <c r="L134" s="1"/>
      <c r="M134" s="9"/>
      <c r="N134" s="4" t="e">
        <f>VLOOKUP(H134,Clientes!B:D,3,)</f>
        <v>#N/A</v>
      </c>
    </row>
    <row r="135" spans="1:14" x14ac:dyDescent="0.25">
      <c r="A135" s="4" t="str">
        <f t="shared" si="2"/>
        <v>DESPESA DE REPRESENTAÇÃO - -- ()</v>
      </c>
      <c r="B135" s="11">
        <v>46296</v>
      </c>
      <c r="C135" s="4">
        <v>817991</v>
      </c>
      <c r="D135" s="1"/>
      <c r="E135" s="14"/>
      <c r="F135" s="5"/>
      <c r="G135" s="2"/>
      <c r="H135" s="9"/>
      <c r="I135" s="4"/>
      <c r="J135" s="5"/>
      <c r="K135" s="7"/>
      <c r="L135" s="1"/>
      <c r="M135" s="9"/>
      <c r="N135" s="4" t="e">
        <f>VLOOKUP(H135,Clientes!B:D,3,)</f>
        <v>#N/A</v>
      </c>
    </row>
    <row r="136" spans="1:14" x14ac:dyDescent="0.25">
      <c r="A136" s="4" t="str">
        <f t="shared" si="2"/>
        <v>DESPESA DE REPRESENTAÇÃO - -- ()</v>
      </c>
      <c r="B136" s="11">
        <v>46296</v>
      </c>
      <c r="C136" s="4">
        <v>817991</v>
      </c>
      <c r="D136" s="1"/>
      <c r="E136" s="14"/>
      <c r="F136" s="5"/>
      <c r="G136" s="2"/>
      <c r="H136" s="9"/>
      <c r="I136" s="4"/>
      <c r="J136" s="5"/>
      <c r="K136" s="7"/>
      <c r="L136" s="1"/>
      <c r="M136" s="9"/>
      <c r="N136" s="4" t="e">
        <f>VLOOKUP(H136,Clientes!B:D,3,)</f>
        <v>#N/A</v>
      </c>
    </row>
    <row r="137" spans="1:14" x14ac:dyDescent="0.25">
      <c r="A137" s="4" t="str">
        <f t="shared" si="2"/>
        <v>DESPESA DE REPRESENTAÇÃO - -- ()</v>
      </c>
      <c r="B137" s="11">
        <v>46296</v>
      </c>
      <c r="C137" s="4">
        <v>817991</v>
      </c>
      <c r="D137" s="1"/>
      <c r="E137" s="14"/>
      <c r="F137" s="5"/>
      <c r="G137" s="2"/>
      <c r="H137" s="9"/>
      <c r="I137" s="4"/>
      <c r="J137" s="5"/>
      <c r="K137" s="7"/>
      <c r="L137" s="1"/>
      <c r="M137" s="9"/>
      <c r="N137" s="4" t="e">
        <f>VLOOKUP(H137,Clientes!B:D,3,)</f>
        <v>#N/A</v>
      </c>
    </row>
    <row r="138" spans="1:14" x14ac:dyDescent="0.25">
      <c r="A138" s="4" t="str">
        <f t="shared" si="2"/>
        <v>DESPESA DE REPRESENTAÇÃO - -- ()</v>
      </c>
      <c r="B138" s="11">
        <v>46296</v>
      </c>
      <c r="C138" s="4">
        <v>817991</v>
      </c>
      <c r="D138" s="1"/>
      <c r="E138" s="14"/>
      <c r="F138" s="5"/>
      <c r="G138" s="2"/>
      <c r="H138" s="9"/>
      <c r="I138" s="4"/>
      <c r="J138" s="5"/>
      <c r="K138" s="7"/>
      <c r="L138" s="1"/>
      <c r="M138" s="9"/>
      <c r="N138" s="4" t="e">
        <f>VLOOKUP(H138,Clientes!B:D,3,)</f>
        <v>#N/A</v>
      </c>
    </row>
    <row r="139" spans="1:14" x14ac:dyDescent="0.25">
      <c r="A139" s="4" t="str">
        <f t="shared" si="2"/>
        <v>DESPESA DE REPRESENTAÇÃO - -- ()</v>
      </c>
      <c r="B139" s="11">
        <v>46296</v>
      </c>
      <c r="C139" s="4">
        <v>817991</v>
      </c>
      <c r="D139" s="1"/>
      <c r="E139" s="14"/>
      <c r="F139" s="5"/>
      <c r="G139" s="2"/>
      <c r="H139" s="9"/>
      <c r="I139" s="4"/>
      <c r="J139" s="4"/>
      <c r="K139" s="7"/>
      <c r="L139" s="1"/>
      <c r="M139" s="9"/>
      <c r="N139" s="4" t="e">
        <f>VLOOKUP(H139,Clientes!B:D,3,)</f>
        <v>#N/A</v>
      </c>
    </row>
    <row r="140" spans="1:14" x14ac:dyDescent="0.25">
      <c r="A140" s="4" t="str">
        <f t="shared" si="2"/>
        <v>DESPESA DE REPRESENTAÇÃO - -- ()</v>
      </c>
      <c r="B140" s="11">
        <v>46296</v>
      </c>
      <c r="C140" s="4">
        <v>817991</v>
      </c>
      <c r="D140" s="1"/>
      <c r="E140" s="14"/>
      <c r="F140" s="5"/>
      <c r="G140" s="2"/>
      <c r="H140" s="9"/>
      <c r="I140" s="4"/>
      <c r="J140" s="4"/>
      <c r="K140" s="7"/>
      <c r="L140" s="1"/>
      <c r="M140" s="9"/>
      <c r="N140" s="4" t="e">
        <f>VLOOKUP(H140,Clientes!B:D,3,)</f>
        <v>#N/A</v>
      </c>
    </row>
    <row r="141" spans="1:14" x14ac:dyDescent="0.25">
      <c r="A141" s="4" t="str">
        <f t="shared" si="2"/>
        <v>DESPESA DE REPRESENTAÇÃO - -- ()</v>
      </c>
      <c r="B141" s="11">
        <v>46296</v>
      </c>
      <c r="C141" s="4">
        <v>817991</v>
      </c>
      <c r="D141" s="1"/>
      <c r="E141" s="14"/>
      <c r="F141" s="5"/>
      <c r="G141" s="2"/>
      <c r="H141" s="9"/>
      <c r="I141" s="4"/>
      <c r="J141" s="5"/>
      <c r="K141" s="7"/>
      <c r="L141" s="1"/>
      <c r="M141" s="9"/>
      <c r="N141" s="4" t="e">
        <f>VLOOKUP(H141,Clientes!B:D,3,)</f>
        <v>#N/A</v>
      </c>
    </row>
    <row r="142" spans="1:14" x14ac:dyDescent="0.25">
      <c r="A142" s="4" t="str">
        <f t="shared" si="2"/>
        <v>DESPESA DE REPRESENTAÇÃO - -- ()</v>
      </c>
      <c r="B142" s="11">
        <v>46296</v>
      </c>
      <c r="C142" s="4">
        <v>817991</v>
      </c>
      <c r="D142" s="1"/>
      <c r="E142" s="14"/>
      <c r="F142" s="5"/>
      <c r="G142" s="2"/>
      <c r="H142" s="9"/>
      <c r="I142" s="4"/>
      <c r="J142" s="5"/>
      <c r="K142" s="7"/>
      <c r="L142" s="1"/>
      <c r="M142" s="9"/>
      <c r="N142" s="4" t="e">
        <f>VLOOKUP(H142,Clientes!B:D,3,)</f>
        <v>#N/A</v>
      </c>
    </row>
    <row r="143" spans="1:14" x14ac:dyDescent="0.25">
      <c r="A143" s="4" t="str">
        <f t="shared" si="2"/>
        <v>DESPESA DE REPRESENTAÇÃO - -- ()</v>
      </c>
      <c r="B143" s="11">
        <v>46296</v>
      </c>
      <c r="C143" s="4">
        <v>817991</v>
      </c>
      <c r="D143" s="1"/>
      <c r="E143" s="14"/>
      <c r="F143" s="5"/>
      <c r="G143" s="2"/>
      <c r="H143" s="9"/>
      <c r="I143" s="4"/>
      <c r="J143" s="5"/>
      <c r="K143" s="7"/>
      <c r="L143" s="1"/>
      <c r="M143" s="9"/>
      <c r="N143" s="4" t="e">
        <f>VLOOKUP(H143,Clientes!B:D,3,)</f>
        <v>#N/A</v>
      </c>
    </row>
    <row r="144" spans="1:14" x14ac:dyDescent="0.25">
      <c r="A144" s="4" t="str">
        <f t="shared" si="2"/>
        <v>DESPESA DE REPRESENTAÇÃO - -- ()</v>
      </c>
      <c r="B144" s="11">
        <v>46296</v>
      </c>
      <c r="C144" s="4">
        <v>817991</v>
      </c>
      <c r="D144" s="1"/>
      <c r="E144" s="14"/>
      <c r="F144" s="5"/>
      <c r="G144" s="2"/>
      <c r="H144" s="9"/>
      <c r="I144" s="4"/>
      <c r="J144" s="5"/>
      <c r="K144" s="7"/>
      <c r="L144" s="1"/>
      <c r="M144" s="9"/>
      <c r="N144" s="4" t="e">
        <f>VLOOKUP(H144,Clientes!B:D,3,)</f>
        <v>#N/A</v>
      </c>
    </row>
    <row r="145" spans="1:14" x14ac:dyDescent="0.25">
      <c r="A145" s="4" t="str">
        <f t="shared" si="2"/>
        <v>DESPESA DE REPRESENTAÇÃO - -- ()</v>
      </c>
      <c r="B145" s="11">
        <v>46296</v>
      </c>
      <c r="C145" s="4">
        <v>817991</v>
      </c>
      <c r="D145" s="1"/>
      <c r="E145" s="14"/>
      <c r="F145" s="5"/>
      <c r="G145" s="2"/>
      <c r="H145" s="9"/>
      <c r="I145" s="4"/>
      <c r="J145" s="4"/>
      <c r="K145" s="7"/>
      <c r="L145" s="1"/>
      <c r="M145" s="9"/>
      <c r="N145" s="4" t="e">
        <f>VLOOKUP(H145,Clientes!B:D,3,)</f>
        <v>#N/A</v>
      </c>
    </row>
    <row r="146" spans="1:14" x14ac:dyDescent="0.25">
      <c r="A146" s="4" t="str">
        <f t="shared" si="2"/>
        <v>DESPESA DE REPRESENTAÇÃO - -- ()</v>
      </c>
      <c r="B146" s="11">
        <v>46296</v>
      </c>
      <c r="C146" s="4">
        <v>817991</v>
      </c>
      <c r="D146" s="1"/>
      <c r="E146" s="14"/>
      <c r="F146" s="5"/>
      <c r="G146" s="2"/>
      <c r="H146" s="9"/>
      <c r="I146" s="4"/>
      <c r="J146" s="5"/>
      <c r="K146" s="7"/>
      <c r="L146" s="1"/>
      <c r="M146" s="9"/>
      <c r="N146" s="4" t="e">
        <f>VLOOKUP(H146,Clientes!B:D,3,)</f>
        <v>#N/A</v>
      </c>
    </row>
    <row r="147" spans="1:14" x14ac:dyDescent="0.25">
      <c r="A147" s="4" t="str">
        <f t="shared" si="2"/>
        <v>DESPESA DE REPRESENTAÇÃO - -- ()</v>
      </c>
      <c r="B147" s="11">
        <v>46296</v>
      </c>
      <c r="C147" s="4">
        <v>817991</v>
      </c>
      <c r="D147" s="1"/>
      <c r="E147" s="14"/>
      <c r="F147" s="5"/>
      <c r="G147" s="2"/>
      <c r="H147" s="9"/>
      <c r="I147" s="4"/>
      <c r="J147" s="4"/>
      <c r="K147" s="7"/>
      <c r="L147" s="1"/>
      <c r="M147" s="9"/>
      <c r="N147" s="4" t="e">
        <f>VLOOKUP(H147,Clientes!B:D,3,)</f>
        <v>#N/A</v>
      </c>
    </row>
    <row r="148" spans="1:14" x14ac:dyDescent="0.25">
      <c r="A148" s="4" t="str">
        <f t="shared" si="2"/>
        <v>DESPESA DE REPRESENTAÇÃO - -- ()</v>
      </c>
      <c r="B148" s="11">
        <v>46296</v>
      </c>
      <c r="C148" s="4">
        <v>817991</v>
      </c>
      <c r="D148" s="1"/>
      <c r="E148" s="14"/>
      <c r="F148" s="5"/>
      <c r="G148" s="2"/>
      <c r="H148" s="9"/>
      <c r="I148" s="4"/>
      <c r="J148" s="5"/>
      <c r="K148" s="7"/>
      <c r="L148" s="1"/>
      <c r="M148" s="9"/>
      <c r="N148" s="4" t="e">
        <f>VLOOKUP(H148,Clientes!B:D,3,)</f>
        <v>#N/A</v>
      </c>
    </row>
    <row r="149" spans="1:14" x14ac:dyDescent="0.25">
      <c r="A149" s="4" t="str">
        <f t="shared" si="2"/>
        <v>DESPESA DE REPRESENTAÇÃO - -- ()</v>
      </c>
      <c r="B149" s="11">
        <v>46296</v>
      </c>
      <c r="C149" s="4">
        <v>817991</v>
      </c>
      <c r="D149" s="1"/>
      <c r="E149" s="14"/>
      <c r="F149" s="5"/>
      <c r="G149" s="2"/>
      <c r="H149" s="9"/>
      <c r="I149" s="4"/>
      <c r="J149" s="5"/>
      <c r="K149" s="7"/>
      <c r="L149" s="1"/>
      <c r="M149" s="9"/>
      <c r="N149" s="4" t="e">
        <f>VLOOKUP(H149,Clientes!B:D,3,)</f>
        <v>#N/A</v>
      </c>
    </row>
    <row r="150" spans="1:14" x14ac:dyDescent="0.25">
      <c r="A150" s="4" t="str">
        <f t="shared" si="2"/>
        <v>DESPESA DE REPRESENTAÇÃO - -- ()</v>
      </c>
      <c r="B150" s="11">
        <v>46296</v>
      </c>
      <c r="C150" s="4">
        <v>817991</v>
      </c>
      <c r="D150" s="1"/>
      <c r="E150" s="14"/>
      <c r="F150" s="5"/>
      <c r="G150" s="2"/>
      <c r="H150" s="9"/>
      <c r="I150" s="4"/>
      <c r="J150" s="5"/>
      <c r="K150" s="7"/>
      <c r="L150" s="1"/>
      <c r="M150" s="9"/>
      <c r="N150" s="4" t="e">
        <f>VLOOKUP(H150,Clientes!B:D,3,)</f>
        <v>#N/A</v>
      </c>
    </row>
    <row r="151" spans="1:14" x14ac:dyDescent="0.25">
      <c r="A151" s="4" t="str">
        <f t="shared" si="2"/>
        <v>DESPESA DE REPRESENTAÇÃO - -- ()</v>
      </c>
      <c r="B151" s="11">
        <v>46296</v>
      </c>
      <c r="C151" s="4">
        <v>817991</v>
      </c>
      <c r="D151" s="1"/>
      <c r="E151" s="14"/>
      <c r="F151" s="5"/>
      <c r="G151" s="2"/>
      <c r="H151" s="9"/>
      <c r="I151" s="4"/>
      <c r="J151" s="4"/>
      <c r="K151" s="7"/>
      <c r="L151" s="1"/>
      <c r="M151" s="9"/>
      <c r="N151" s="4" t="e">
        <f>VLOOKUP(H151,Clientes!B:D,3,)</f>
        <v>#N/A</v>
      </c>
    </row>
    <row r="152" spans="1:14" x14ac:dyDescent="0.25">
      <c r="A152" s="4" t="str">
        <f t="shared" si="2"/>
        <v>DESPESA DE REPRESENTAÇÃO - -- ()</v>
      </c>
      <c r="B152" s="11">
        <v>46296</v>
      </c>
      <c r="C152" s="4">
        <v>817991</v>
      </c>
      <c r="D152" s="1"/>
      <c r="E152" s="14"/>
      <c r="F152" s="5"/>
      <c r="G152" s="2"/>
      <c r="H152" s="9"/>
      <c r="I152" s="4"/>
      <c r="J152" s="4"/>
      <c r="K152" s="7"/>
      <c r="L152" s="1"/>
      <c r="M152" s="9"/>
      <c r="N152" s="4" t="e">
        <f>VLOOKUP(H152,Clientes!B:D,3,)</f>
        <v>#N/A</v>
      </c>
    </row>
    <row r="153" spans="1:14" x14ac:dyDescent="0.25">
      <c r="A153" s="4" t="str">
        <f t="shared" si="2"/>
        <v>DESPESA DE REPRESENTAÇÃO - -- ()</v>
      </c>
      <c r="B153" s="11">
        <v>46296</v>
      </c>
      <c r="C153" s="4">
        <v>817991</v>
      </c>
      <c r="D153" s="1"/>
      <c r="E153" s="14"/>
      <c r="F153" s="5"/>
      <c r="G153" s="2"/>
      <c r="H153" s="9"/>
      <c r="I153" s="4"/>
      <c r="J153" s="4"/>
      <c r="K153" s="7"/>
      <c r="L153" s="1"/>
      <c r="M153" s="9"/>
      <c r="N153" s="4" t="e">
        <f>VLOOKUP(H153,Clientes!B:D,3,)</f>
        <v>#N/A</v>
      </c>
    </row>
    <row r="154" spans="1:14" x14ac:dyDescent="0.25">
      <c r="A154" s="4" t="str">
        <f t="shared" si="2"/>
        <v>DESPESA DE REPRESENTAÇÃO - -- ()</v>
      </c>
      <c r="B154" s="11">
        <v>46296</v>
      </c>
      <c r="C154" s="4">
        <v>817991</v>
      </c>
      <c r="D154" s="1"/>
      <c r="E154" s="14"/>
      <c r="F154" s="5"/>
      <c r="G154" s="2"/>
      <c r="H154" s="9"/>
      <c r="I154" s="4"/>
      <c r="J154" s="4"/>
      <c r="K154" s="7"/>
      <c r="L154" s="1"/>
      <c r="M154" s="9"/>
      <c r="N154" s="4" t="e">
        <f>VLOOKUP(H154,Clientes!B:D,3,)</f>
        <v>#N/A</v>
      </c>
    </row>
    <row r="155" spans="1:14" x14ac:dyDescent="0.25">
      <c r="A155" s="4" t="str">
        <f t="shared" si="2"/>
        <v>DESPESA DE REPRESENTAÇÃO - -- ()</v>
      </c>
      <c r="B155" s="11">
        <v>46296</v>
      </c>
      <c r="C155" s="4">
        <v>817991</v>
      </c>
      <c r="D155" s="1"/>
      <c r="E155" s="14"/>
      <c r="F155" s="5"/>
      <c r="G155" s="2"/>
      <c r="H155" s="9"/>
      <c r="I155" s="4"/>
      <c r="J155" s="4"/>
      <c r="K155" s="7"/>
      <c r="L155" s="1"/>
      <c r="M155" s="9"/>
      <c r="N155" s="4" t="e">
        <f>VLOOKUP(H155,Clientes!B:D,3,)</f>
        <v>#N/A</v>
      </c>
    </row>
    <row r="156" spans="1:14" x14ac:dyDescent="0.25">
      <c r="A156" s="4" t="str">
        <f t="shared" si="2"/>
        <v>DESPESA DE REPRESENTAÇÃO - -- ()</v>
      </c>
      <c r="B156" s="11">
        <v>46296</v>
      </c>
      <c r="C156" s="4">
        <v>817991</v>
      </c>
      <c r="D156" s="1"/>
      <c r="E156" s="14"/>
      <c r="F156" s="5"/>
      <c r="G156" s="2"/>
      <c r="H156" s="9"/>
      <c r="I156" s="4"/>
      <c r="J156" s="4"/>
      <c r="K156" s="7"/>
      <c r="L156" s="1"/>
      <c r="M156" s="9"/>
      <c r="N156" s="4" t="e">
        <f>VLOOKUP(H156,Clientes!B:D,3,)</f>
        <v>#N/A</v>
      </c>
    </row>
    <row r="157" spans="1:14" x14ac:dyDescent="0.25">
      <c r="A157" s="4" t="str">
        <f t="shared" si="2"/>
        <v>DESPESA DE REPRESENTAÇÃO - -- ()</v>
      </c>
      <c r="B157" s="11">
        <v>46296</v>
      </c>
      <c r="C157" s="4">
        <v>817991</v>
      </c>
      <c r="D157" s="1"/>
      <c r="E157" s="14"/>
      <c r="F157" s="5"/>
      <c r="G157" s="2"/>
      <c r="H157" s="9"/>
      <c r="I157" s="4"/>
      <c r="J157" s="4"/>
      <c r="K157" s="7"/>
      <c r="L157" s="1"/>
      <c r="M157" s="9"/>
      <c r="N157" s="4" t="e">
        <f>VLOOKUP(H157,Clientes!B:D,3,)</f>
        <v>#N/A</v>
      </c>
    </row>
    <row r="158" spans="1:14" x14ac:dyDescent="0.25">
      <c r="A158" s="4" t="str">
        <f t="shared" si="2"/>
        <v>DESPESA DE REPRESENTAÇÃO - -- ()</v>
      </c>
      <c r="B158" s="11">
        <v>46296</v>
      </c>
      <c r="C158" s="4">
        <v>817991</v>
      </c>
      <c r="D158" s="1"/>
      <c r="E158" s="14"/>
      <c r="F158" s="5"/>
      <c r="G158" s="2"/>
      <c r="H158" s="9"/>
      <c r="I158" s="4"/>
      <c r="J158" s="4"/>
      <c r="K158" s="7"/>
      <c r="L158" s="1"/>
      <c r="M158" s="9"/>
      <c r="N158" s="4" t="e">
        <f>VLOOKUP(H158,Clientes!B:D,3,)</f>
        <v>#N/A</v>
      </c>
    </row>
    <row r="159" spans="1:14" x14ac:dyDescent="0.25">
      <c r="A159" s="4" t="str">
        <f t="shared" si="2"/>
        <v>DESPESA DE REPRESENTAÇÃO - -- ()</v>
      </c>
      <c r="B159" s="11">
        <v>46296</v>
      </c>
      <c r="C159" s="4">
        <v>817991</v>
      </c>
      <c r="D159" s="1"/>
      <c r="E159" s="14"/>
      <c r="F159" s="5"/>
      <c r="G159" s="2"/>
      <c r="H159" s="9"/>
      <c r="I159" s="4"/>
      <c r="J159" s="4"/>
      <c r="K159" s="7"/>
      <c r="L159" s="1"/>
      <c r="M159" s="9"/>
      <c r="N159" s="4" t="e">
        <f>VLOOKUP(H159,Clientes!B:D,3,)</f>
        <v>#N/A</v>
      </c>
    </row>
    <row r="160" spans="1:14" x14ac:dyDescent="0.25">
      <c r="A160" s="4" t="str">
        <f t="shared" si="2"/>
        <v>DESPESA DE REPRESENTAÇÃO - -- ()</v>
      </c>
      <c r="B160" s="11">
        <v>46296</v>
      </c>
      <c r="C160" s="4">
        <v>817991</v>
      </c>
      <c r="D160" s="1"/>
      <c r="E160" s="14"/>
      <c r="F160" s="5"/>
      <c r="G160" s="2"/>
      <c r="H160" s="9"/>
      <c r="I160" s="4"/>
      <c r="J160" s="4"/>
      <c r="K160" s="7"/>
      <c r="L160" s="1"/>
      <c r="M160" s="9"/>
      <c r="N160" s="4" t="e">
        <f>VLOOKUP(H160,Clientes!B:D,3,)</f>
        <v>#N/A</v>
      </c>
    </row>
    <row r="161" spans="1:14" x14ac:dyDescent="0.25">
      <c r="A161" s="4" t="str">
        <f t="shared" si="2"/>
        <v>DESPESA DE REPRESENTAÇÃO - -- ()</v>
      </c>
      <c r="B161" s="11">
        <v>46296</v>
      </c>
      <c r="C161" s="4">
        <v>817991</v>
      </c>
      <c r="D161" s="1"/>
      <c r="E161" s="14"/>
      <c r="F161" s="5"/>
      <c r="G161" s="2"/>
      <c r="H161" s="9"/>
      <c r="I161" s="4"/>
      <c r="J161" s="4"/>
      <c r="K161" s="7"/>
      <c r="L161" s="1"/>
      <c r="M161" s="9"/>
      <c r="N161" s="4" t="e">
        <f>VLOOKUP(H161,Clientes!B:D,3,)</f>
        <v>#N/A</v>
      </c>
    </row>
    <row r="162" spans="1:14" x14ac:dyDescent="0.25">
      <c r="A162" s="4" t="str">
        <f t="shared" si="2"/>
        <v>DESPESA DE REPRESENTAÇÃO - -- ()</v>
      </c>
      <c r="B162" s="11">
        <v>46296</v>
      </c>
      <c r="C162" s="4">
        <v>817991</v>
      </c>
      <c r="D162" s="1"/>
      <c r="E162" s="14"/>
      <c r="F162" s="5"/>
      <c r="G162" s="2"/>
      <c r="H162" s="9"/>
      <c r="I162" s="4"/>
      <c r="J162" s="4"/>
      <c r="K162" s="7"/>
      <c r="L162" s="1"/>
      <c r="M162" s="9"/>
      <c r="N162" s="4" t="e">
        <f>VLOOKUP(H162,Clientes!B:D,3,)</f>
        <v>#N/A</v>
      </c>
    </row>
    <row r="163" spans="1:14" x14ac:dyDescent="0.25">
      <c r="A163" s="4" t="str">
        <f t="shared" si="2"/>
        <v>DESPESA DE REPRESENTAÇÃO - -- ()</v>
      </c>
      <c r="B163" s="11">
        <v>46296</v>
      </c>
      <c r="C163" s="4">
        <v>817991</v>
      </c>
      <c r="D163" s="1"/>
      <c r="E163" s="14"/>
      <c r="F163" s="5"/>
      <c r="G163" s="2"/>
      <c r="H163" s="9"/>
      <c r="I163" s="4"/>
      <c r="J163" s="4"/>
      <c r="K163" s="7"/>
      <c r="L163" s="1"/>
      <c r="M163" s="9"/>
      <c r="N163" s="4" t="e">
        <f>VLOOKUP(H163,Clientes!B:D,3,)</f>
        <v>#N/A</v>
      </c>
    </row>
    <row r="164" spans="1:14" x14ac:dyDescent="0.25">
      <c r="A164" s="4" t="str">
        <f t="shared" si="2"/>
        <v>DESPESA DE REPRESENTAÇÃO - -- ()</v>
      </c>
      <c r="B164" s="11">
        <v>46296</v>
      </c>
      <c r="C164" s="4">
        <v>817991</v>
      </c>
      <c r="D164" s="1"/>
      <c r="E164" s="14"/>
      <c r="F164" s="5"/>
      <c r="G164" s="2"/>
      <c r="H164" s="9"/>
      <c r="I164" s="4"/>
      <c r="J164" s="4"/>
      <c r="K164" s="7"/>
      <c r="L164" s="1"/>
      <c r="M164" s="9"/>
      <c r="N164" s="4" t="e">
        <f>VLOOKUP(H164,Clientes!B:D,3,)</f>
        <v>#N/A</v>
      </c>
    </row>
    <row r="165" spans="1:14" x14ac:dyDescent="0.25">
      <c r="A165" s="4" t="str">
        <f t="shared" si="2"/>
        <v>DESPESA DE REPRESENTAÇÃO - -- ()</v>
      </c>
      <c r="B165" s="11">
        <v>46296</v>
      </c>
      <c r="C165" s="4">
        <v>817991</v>
      </c>
      <c r="D165" s="1"/>
      <c r="E165" s="14"/>
      <c r="F165" s="5"/>
      <c r="G165" s="2"/>
      <c r="H165" s="9"/>
      <c r="I165" s="4"/>
      <c r="J165" s="4"/>
      <c r="K165" s="7"/>
      <c r="L165" s="1"/>
      <c r="M165" s="9"/>
      <c r="N165" s="4" t="e">
        <f>VLOOKUP(H165,Clientes!B:D,3,)</f>
        <v>#N/A</v>
      </c>
    </row>
    <row r="166" spans="1:14" x14ac:dyDescent="0.25">
      <c r="A166" s="4" t="str">
        <f t="shared" si="2"/>
        <v>DESPESA DE REPRESENTAÇÃO - -- ()</v>
      </c>
      <c r="B166" s="11">
        <v>46296</v>
      </c>
      <c r="C166" s="4">
        <v>817991</v>
      </c>
      <c r="D166" s="1"/>
      <c r="E166" s="14"/>
      <c r="F166" s="5"/>
      <c r="G166" s="2"/>
      <c r="H166" s="9"/>
      <c r="I166" s="4"/>
      <c r="J166" s="4"/>
      <c r="K166" s="7"/>
      <c r="L166" s="1"/>
      <c r="M166" s="9"/>
      <c r="N166" s="4" t="e">
        <f>VLOOKUP(H166,Clientes!B:D,3,)</f>
        <v>#N/A</v>
      </c>
    </row>
    <row r="167" spans="1:14" x14ac:dyDescent="0.25">
      <c r="A167" s="4" t="str">
        <f t="shared" si="2"/>
        <v>DESPESA DE REPRESENTAÇÃO - -- ()</v>
      </c>
      <c r="B167" s="11">
        <v>46296</v>
      </c>
      <c r="C167" s="4">
        <v>817991</v>
      </c>
      <c r="D167" s="1"/>
      <c r="E167" s="14"/>
      <c r="F167" s="5"/>
      <c r="G167" s="2"/>
      <c r="H167" s="9"/>
      <c r="I167" s="4"/>
      <c r="J167" s="4"/>
      <c r="K167" s="7"/>
      <c r="L167" s="1"/>
      <c r="M167" s="9"/>
      <c r="N167" s="4" t="e">
        <f>VLOOKUP(H167,Clientes!B:D,3,)</f>
        <v>#N/A</v>
      </c>
    </row>
    <row r="168" spans="1:14" x14ac:dyDescent="0.25">
      <c r="A168" s="4" t="str">
        <f t="shared" si="2"/>
        <v>DESPESA DE REPRESENTAÇÃO - -- ()</v>
      </c>
      <c r="B168" s="11">
        <v>46296</v>
      </c>
      <c r="C168" s="4">
        <v>817991</v>
      </c>
      <c r="D168" s="1"/>
      <c r="E168" s="14"/>
      <c r="F168" s="5"/>
      <c r="G168" s="2"/>
      <c r="H168" s="9"/>
      <c r="I168" s="4"/>
      <c r="J168" s="4"/>
      <c r="K168" s="7"/>
      <c r="L168" s="1"/>
      <c r="M168" s="9"/>
      <c r="N168" s="4" t="e">
        <f>VLOOKUP(H168,Clientes!B:D,3,)</f>
        <v>#N/A</v>
      </c>
    </row>
    <row r="169" spans="1:14" x14ac:dyDescent="0.25">
      <c r="A169" s="4" t="str">
        <f t="shared" si="2"/>
        <v>DESPESA DE REPRESENTAÇÃO - -- ()</v>
      </c>
      <c r="B169" s="11">
        <v>46296</v>
      </c>
      <c r="C169" s="4">
        <v>817991</v>
      </c>
      <c r="D169" s="1"/>
      <c r="E169" s="14"/>
      <c r="F169" s="5"/>
      <c r="G169" s="2"/>
      <c r="H169" s="9"/>
      <c r="I169" s="4"/>
      <c r="J169" s="4"/>
      <c r="K169" s="7"/>
      <c r="L169" s="1"/>
      <c r="M169" s="9"/>
      <c r="N169" s="4" t="e">
        <f>VLOOKUP(H169,Clientes!B:D,3,)</f>
        <v>#N/A</v>
      </c>
    </row>
    <row r="170" spans="1:14" x14ac:dyDescent="0.25">
      <c r="A170" s="4" t="str">
        <f t="shared" si="2"/>
        <v>DESPESA DE REPRESENTAÇÃO - -- ()</v>
      </c>
      <c r="B170" s="11">
        <v>46296</v>
      </c>
      <c r="C170" s="4">
        <v>817991</v>
      </c>
      <c r="D170" s="1"/>
      <c r="E170" s="14"/>
      <c r="F170" s="5"/>
      <c r="G170" s="2"/>
      <c r="H170" s="9"/>
      <c r="I170" s="4"/>
      <c r="J170" s="4"/>
      <c r="K170" s="7"/>
      <c r="L170" s="1"/>
      <c r="M170" s="9"/>
      <c r="N170" s="4" t="e">
        <f>VLOOKUP(H170,Clientes!B:D,3,)</f>
        <v>#N/A</v>
      </c>
    </row>
    <row r="171" spans="1:14" x14ac:dyDescent="0.25">
      <c r="A171" s="4" t="str">
        <f t="shared" si="2"/>
        <v>DESPESA DE REPRESENTAÇÃO - -- ()</v>
      </c>
      <c r="B171" s="11">
        <v>46296</v>
      </c>
      <c r="C171" s="4">
        <v>817991</v>
      </c>
      <c r="D171" s="1"/>
      <c r="E171" s="14"/>
      <c r="F171" s="5"/>
      <c r="G171" s="2"/>
      <c r="H171" s="9"/>
      <c r="I171" s="4"/>
      <c r="J171" s="4"/>
      <c r="K171" s="7"/>
      <c r="L171" s="1"/>
      <c r="M171" s="9"/>
      <c r="N171" s="4" t="e">
        <f>VLOOKUP(H171,Clientes!B:D,3,)</f>
        <v>#N/A</v>
      </c>
    </row>
    <row r="172" spans="1:14" x14ac:dyDescent="0.25">
      <c r="A172" s="4" t="str">
        <f t="shared" si="2"/>
        <v>DESPESA DE REPRESENTAÇÃO - -- ()</v>
      </c>
      <c r="B172" s="11">
        <v>46296</v>
      </c>
      <c r="C172" s="4">
        <v>817991</v>
      </c>
      <c r="D172" s="1"/>
      <c r="E172" s="14"/>
      <c r="F172" s="5"/>
      <c r="G172" s="2"/>
      <c r="H172" s="9"/>
      <c r="I172" s="4"/>
      <c r="J172" s="4"/>
      <c r="K172" s="7"/>
      <c r="L172" s="1"/>
      <c r="M172" s="9"/>
      <c r="N172" s="4" t="e">
        <f>VLOOKUP(H172,Clientes!B:D,3,)</f>
        <v>#N/A</v>
      </c>
    </row>
    <row r="173" spans="1:14" x14ac:dyDescent="0.25">
      <c r="A173" s="4" t="str">
        <f t="shared" si="2"/>
        <v>DESPESA DE REPRESENTAÇÃO - -- ()</v>
      </c>
      <c r="B173" s="11">
        <v>46296</v>
      </c>
      <c r="C173" s="4">
        <v>817991</v>
      </c>
      <c r="D173" s="1"/>
      <c r="E173" s="14"/>
      <c r="F173" s="5"/>
      <c r="G173" s="2"/>
      <c r="H173" s="9"/>
      <c r="I173" s="4"/>
      <c r="J173" s="4"/>
      <c r="K173" s="7"/>
      <c r="L173" s="1"/>
      <c r="M173" s="9"/>
      <c r="N173" s="4" t="e">
        <f>VLOOKUP(H173,Clientes!B:D,3,)</f>
        <v>#N/A</v>
      </c>
    </row>
    <row r="174" spans="1:14" x14ac:dyDescent="0.25">
      <c r="A174" s="4" t="str">
        <f t="shared" si="2"/>
        <v>DESPESA DE REPRESENTAÇÃO - -- ()</v>
      </c>
      <c r="B174" s="11">
        <v>46296</v>
      </c>
      <c r="C174" s="4">
        <v>817991</v>
      </c>
      <c r="D174" s="1"/>
      <c r="E174" s="14"/>
      <c r="F174" s="5"/>
      <c r="G174" s="2"/>
      <c r="H174" s="9"/>
      <c r="I174" s="4"/>
      <c r="J174" s="4"/>
      <c r="K174" s="7"/>
      <c r="L174" s="1"/>
      <c r="M174" s="9"/>
      <c r="N174" s="4" t="e">
        <f>VLOOKUP(H174,Clientes!B:D,3,)</f>
        <v>#N/A</v>
      </c>
    </row>
    <row r="175" spans="1:14" x14ac:dyDescent="0.25">
      <c r="A175" s="4" t="str">
        <f t="shared" si="2"/>
        <v>DESPESA DE REPRESENTAÇÃO - -- ()</v>
      </c>
      <c r="B175" s="11">
        <v>46296</v>
      </c>
      <c r="C175" s="4">
        <v>817991</v>
      </c>
      <c r="D175" s="1"/>
      <c r="E175" s="14"/>
      <c r="F175" s="5"/>
      <c r="G175" s="2"/>
      <c r="H175" s="9"/>
      <c r="I175" s="4"/>
      <c r="J175" s="4"/>
      <c r="K175" s="7"/>
      <c r="L175" s="1"/>
      <c r="M175" s="9"/>
      <c r="N175" s="4" t="e">
        <f>VLOOKUP(H175,Clientes!B:D,3,)</f>
        <v>#N/A</v>
      </c>
    </row>
    <row r="176" spans="1:14" x14ac:dyDescent="0.25">
      <c r="A176" s="4" t="str">
        <f t="shared" si="2"/>
        <v>DESPESA DE REPRESENTAÇÃO - -- ()</v>
      </c>
      <c r="B176" s="11">
        <v>46296</v>
      </c>
      <c r="C176" s="4">
        <v>817991</v>
      </c>
      <c r="D176" s="1"/>
      <c r="E176" s="14"/>
      <c r="F176" s="5"/>
      <c r="G176" s="2"/>
      <c r="H176" s="9"/>
      <c r="I176" s="4"/>
      <c r="J176" s="4"/>
      <c r="K176" s="7"/>
      <c r="L176" s="1"/>
      <c r="M176" s="9"/>
      <c r="N176" s="4" t="e">
        <f>VLOOKUP(H176,Clientes!B:D,3,)</f>
        <v>#N/A</v>
      </c>
    </row>
    <row r="177" spans="1:14" x14ac:dyDescent="0.25">
      <c r="A177" s="4" t="str">
        <f t="shared" si="2"/>
        <v>DESPESA DE REPRESENTAÇÃO - -- ()</v>
      </c>
      <c r="B177" s="11">
        <v>46296</v>
      </c>
      <c r="C177" s="4">
        <v>817991</v>
      </c>
      <c r="D177" s="1"/>
      <c r="E177" s="14"/>
      <c r="F177" s="5"/>
      <c r="G177" s="2"/>
      <c r="H177" s="9"/>
      <c r="I177" s="4"/>
      <c r="J177" s="5"/>
      <c r="K177" s="7"/>
      <c r="L177" s="1"/>
      <c r="M177" s="9"/>
      <c r="N177" s="4" t="e">
        <f>VLOOKUP(H177,Clientes!B:D,3,)</f>
        <v>#N/A</v>
      </c>
    </row>
    <row r="178" spans="1:14" x14ac:dyDescent="0.25">
      <c r="A178" s="4" t="str">
        <f t="shared" si="2"/>
        <v>DESPESA DE REPRESENTAÇÃO - -- ()</v>
      </c>
      <c r="B178" s="11">
        <v>46296</v>
      </c>
      <c r="C178" s="4">
        <v>817991</v>
      </c>
      <c r="D178" s="1"/>
      <c r="E178" s="14"/>
      <c r="F178" s="5"/>
      <c r="G178" s="2"/>
      <c r="H178" s="9"/>
      <c r="I178" s="4"/>
      <c r="J178" s="5"/>
      <c r="K178" s="7"/>
      <c r="L178" s="1"/>
      <c r="M178" s="9"/>
      <c r="N178" s="4" t="e">
        <f>VLOOKUP(H178,Clientes!B:D,3,)</f>
        <v>#N/A</v>
      </c>
    </row>
    <row r="179" spans="1:14" x14ac:dyDescent="0.25">
      <c r="A179" s="4" t="str">
        <f t="shared" si="2"/>
        <v>DESPESA DE REPRESENTAÇÃO - -- ()</v>
      </c>
      <c r="B179" s="11">
        <v>46296</v>
      </c>
      <c r="C179" s="4">
        <v>817991</v>
      </c>
      <c r="D179" s="1"/>
      <c r="E179" s="14"/>
      <c r="F179" s="5"/>
      <c r="G179" s="2"/>
      <c r="H179" s="9"/>
      <c r="I179" s="4"/>
      <c r="J179" s="5"/>
      <c r="K179" s="7"/>
      <c r="L179" s="1"/>
      <c r="M179" s="9"/>
      <c r="N179" s="4" t="e">
        <f>VLOOKUP(H179,Clientes!B:D,3,)</f>
        <v>#N/A</v>
      </c>
    </row>
    <row r="180" spans="1:14" x14ac:dyDescent="0.25">
      <c r="A180" s="4" t="str">
        <f t="shared" si="2"/>
        <v>DESPESA DE REPRESENTAÇÃO - -- ()</v>
      </c>
      <c r="B180" s="11">
        <v>46296</v>
      </c>
      <c r="C180" s="4">
        <v>817991</v>
      </c>
      <c r="D180" s="1"/>
      <c r="E180" s="14"/>
      <c r="F180" s="5"/>
      <c r="G180" s="2"/>
      <c r="H180" s="9"/>
      <c r="I180" s="4"/>
      <c r="J180" s="5"/>
      <c r="K180" s="7"/>
      <c r="L180" s="1"/>
      <c r="M180" s="9"/>
      <c r="N180" s="4" t="e">
        <f>VLOOKUP(H180,Clientes!B:D,3,)</f>
        <v>#N/A</v>
      </c>
    </row>
    <row r="181" spans="1:14" x14ac:dyDescent="0.25">
      <c r="A181" s="4" t="str">
        <f t="shared" si="2"/>
        <v>DESPESA DE REPRESENTAÇÃO - -- ()</v>
      </c>
      <c r="B181" s="11">
        <v>46296</v>
      </c>
      <c r="C181" s="4">
        <v>817991</v>
      </c>
      <c r="D181" s="1"/>
      <c r="E181" s="14"/>
      <c r="F181" s="5"/>
      <c r="G181" s="2"/>
      <c r="H181" s="9"/>
      <c r="I181" s="4"/>
      <c r="J181" s="5"/>
      <c r="K181" s="7"/>
      <c r="L181" s="1"/>
      <c r="M181" s="9"/>
      <c r="N181" s="4" t="e">
        <f>VLOOKUP(H181,Clientes!B:D,3,)</f>
        <v>#N/A</v>
      </c>
    </row>
    <row r="182" spans="1:14" x14ac:dyDescent="0.25">
      <c r="A182" s="4" t="str">
        <f t="shared" si="2"/>
        <v>DESPESA DE REPRESENTAÇÃO - -- ()</v>
      </c>
      <c r="B182" s="11">
        <v>46296</v>
      </c>
      <c r="C182" s="4">
        <v>817991</v>
      </c>
      <c r="D182" s="1"/>
      <c r="E182" s="14"/>
      <c r="F182" s="5"/>
      <c r="G182" s="2"/>
      <c r="H182" s="9"/>
      <c r="I182" s="4"/>
      <c r="J182" s="5"/>
      <c r="K182" s="7"/>
      <c r="L182" s="1"/>
      <c r="M182" s="9"/>
      <c r="N182" s="4" t="e">
        <f>VLOOKUP(H182,Clientes!B:D,3,)</f>
        <v>#N/A</v>
      </c>
    </row>
    <row r="183" spans="1:14" x14ac:dyDescent="0.25">
      <c r="A183" s="4" t="str">
        <f t="shared" si="2"/>
        <v>DESPESA DE REPRESENTAÇÃO - -- ()</v>
      </c>
      <c r="B183" s="11">
        <v>46296</v>
      </c>
      <c r="C183" s="4">
        <v>817991</v>
      </c>
      <c r="D183" s="1"/>
      <c r="E183" s="14"/>
      <c r="F183" s="5"/>
      <c r="G183" s="2"/>
      <c r="H183" s="9"/>
      <c r="I183" s="4"/>
      <c r="J183" s="5"/>
      <c r="K183" s="7"/>
      <c r="L183" s="1"/>
      <c r="M183" s="9"/>
      <c r="N183" s="4" t="e">
        <f>VLOOKUP(H183,Clientes!B:D,3,)</f>
        <v>#N/A</v>
      </c>
    </row>
    <row r="184" spans="1:14" x14ac:dyDescent="0.25">
      <c r="A184" s="4" t="str">
        <f t="shared" si="2"/>
        <v>DESPESA DE REPRESENTAÇÃO - -- ()</v>
      </c>
      <c r="B184" s="11">
        <v>46296</v>
      </c>
      <c r="C184" s="4">
        <v>817991</v>
      </c>
      <c r="D184" s="1"/>
      <c r="E184" s="14"/>
      <c r="F184" s="5"/>
      <c r="G184" s="2"/>
      <c r="H184" s="9"/>
      <c r="I184" s="4"/>
      <c r="J184" s="5"/>
      <c r="K184" s="7"/>
      <c r="L184" s="1"/>
      <c r="M184" s="9"/>
      <c r="N184" s="4" t="e">
        <f>VLOOKUP(H184,Clientes!B:D,3,)</f>
        <v>#N/A</v>
      </c>
    </row>
    <row r="185" spans="1:14" x14ac:dyDescent="0.25">
      <c r="A185" s="4" t="str">
        <f t="shared" si="2"/>
        <v>DESPESA DE REPRESENTAÇÃO - -- ()</v>
      </c>
      <c r="B185" s="11">
        <v>46296</v>
      </c>
      <c r="C185" s="4">
        <v>817991</v>
      </c>
      <c r="D185" s="1"/>
      <c r="E185" s="14"/>
      <c r="F185" s="5"/>
      <c r="G185" s="2"/>
      <c r="H185" s="9"/>
      <c r="I185" s="4"/>
      <c r="J185" s="5"/>
      <c r="K185" s="7"/>
      <c r="L185" s="1"/>
      <c r="M185" s="9"/>
      <c r="N185" s="4" t="e">
        <f>VLOOKUP(H185,Clientes!B:D,3,)</f>
        <v>#N/A</v>
      </c>
    </row>
    <row r="186" spans="1:14" x14ac:dyDescent="0.25">
      <c r="A186" s="4" t="str">
        <f t="shared" si="2"/>
        <v>DESPESA DE REPRESENTAÇÃO - -- ()</v>
      </c>
      <c r="B186" s="11">
        <v>46296</v>
      </c>
      <c r="C186" s="4">
        <v>817991</v>
      </c>
      <c r="D186" s="1"/>
      <c r="E186" s="14"/>
      <c r="F186" s="36"/>
      <c r="G186" s="2"/>
      <c r="H186" s="9"/>
      <c r="I186" s="4"/>
      <c r="J186" s="4"/>
      <c r="K186" s="7"/>
      <c r="L186" s="1"/>
      <c r="M186" s="9"/>
      <c r="N186" s="4" t="e">
        <f>VLOOKUP(H186,Clientes!B:D,3,)</f>
        <v>#N/A</v>
      </c>
    </row>
    <row r="187" spans="1:14" x14ac:dyDescent="0.25">
      <c r="A187" s="4" t="str">
        <f t="shared" si="2"/>
        <v>DESPESA DE REPRESENTAÇÃO - -- ()</v>
      </c>
      <c r="B187" s="11">
        <v>46296</v>
      </c>
      <c r="C187" s="4">
        <v>817991</v>
      </c>
      <c r="D187" s="1"/>
      <c r="E187" s="14"/>
      <c r="F187" s="36"/>
      <c r="G187" s="2"/>
      <c r="H187" s="9"/>
      <c r="I187" s="4"/>
      <c r="J187" s="4"/>
      <c r="K187" s="7"/>
      <c r="L187" s="1"/>
      <c r="M187" s="9"/>
      <c r="N187" s="4" t="e">
        <f>VLOOKUP(H187,Clientes!B:D,3,)</f>
        <v>#N/A</v>
      </c>
    </row>
    <row r="188" spans="1:14" x14ac:dyDescent="0.25">
      <c r="A188" s="4" t="str">
        <f t="shared" si="2"/>
        <v>DESPESA DE REPRESENTAÇÃO - -- ()</v>
      </c>
      <c r="B188" s="11">
        <v>46296</v>
      </c>
      <c r="C188" s="4">
        <v>817991</v>
      </c>
      <c r="D188" s="1"/>
      <c r="E188" s="14"/>
      <c r="F188" s="36"/>
      <c r="G188" s="2"/>
      <c r="H188" s="9"/>
      <c r="I188" s="4"/>
      <c r="J188" s="4"/>
      <c r="K188" s="7"/>
      <c r="L188" s="1"/>
      <c r="M188" s="9"/>
      <c r="N188" s="4" t="e">
        <f>VLOOKUP(H188,Clientes!B:D,3,)</f>
        <v>#N/A</v>
      </c>
    </row>
    <row r="189" spans="1:14" x14ac:dyDescent="0.25">
      <c r="A189" s="4" t="str">
        <f t="shared" si="2"/>
        <v>DESPESA DE REPRESENTAÇÃO - -- ()</v>
      </c>
      <c r="B189" s="11">
        <v>46296</v>
      </c>
      <c r="C189" s="4">
        <v>817991</v>
      </c>
      <c r="D189" s="1"/>
      <c r="E189" s="14"/>
      <c r="F189" s="36"/>
      <c r="G189" s="2"/>
      <c r="H189" s="9"/>
      <c r="I189" s="4"/>
      <c r="J189" s="4"/>
      <c r="K189" s="7"/>
      <c r="L189" s="1"/>
      <c r="M189" s="9"/>
      <c r="N189" s="4" t="e">
        <f>VLOOKUP(H189,Clientes!B:D,3,)</f>
        <v>#N/A</v>
      </c>
    </row>
    <row r="190" spans="1:14" x14ac:dyDescent="0.25">
      <c r="A190" s="4" t="str">
        <f t="shared" si="2"/>
        <v>DESPESA DE REPRESENTAÇÃO - -- ()</v>
      </c>
      <c r="B190" s="11">
        <v>46296</v>
      </c>
      <c r="C190" s="4">
        <v>817991</v>
      </c>
      <c r="D190" s="1"/>
      <c r="E190" s="14"/>
      <c r="F190" s="36"/>
      <c r="G190" s="2"/>
      <c r="H190" s="9"/>
      <c r="I190" s="4"/>
      <c r="J190" s="4"/>
      <c r="K190" s="7"/>
      <c r="L190" s="1"/>
      <c r="M190" s="9"/>
      <c r="N190" s="4" t="e">
        <f>VLOOKUP(H190,Clientes!B:D,3,)</f>
        <v>#N/A</v>
      </c>
    </row>
    <row r="191" spans="1:14" x14ac:dyDescent="0.25">
      <c r="A191" s="4" t="str">
        <f t="shared" si="2"/>
        <v>DESPESA DE REPRESENTAÇÃO - -- ()</v>
      </c>
      <c r="B191" s="11">
        <v>46296</v>
      </c>
      <c r="C191" s="4">
        <v>817991</v>
      </c>
      <c r="D191" s="1"/>
      <c r="E191" s="14"/>
      <c r="F191" s="36"/>
      <c r="G191" s="2"/>
      <c r="H191" s="9"/>
      <c r="I191" s="4"/>
      <c r="J191" s="4"/>
      <c r="K191" s="7"/>
      <c r="L191" s="1"/>
      <c r="M191" s="9"/>
      <c r="N191" s="4" t="e">
        <f>VLOOKUP(H191,Clientes!B:D,3,)</f>
        <v>#N/A</v>
      </c>
    </row>
    <row r="192" spans="1:14" x14ac:dyDescent="0.25">
      <c r="A192" s="4" t="str">
        <f t="shared" si="2"/>
        <v>DESPESA DE REPRESENTAÇÃO - -- ()</v>
      </c>
      <c r="B192" s="11">
        <v>46296</v>
      </c>
      <c r="C192" s="4">
        <v>817991</v>
      </c>
      <c r="D192" s="1"/>
      <c r="E192" s="14"/>
      <c r="F192" s="36"/>
      <c r="G192" s="2"/>
      <c r="H192" s="9"/>
      <c r="I192" s="4"/>
      <c r="J192" s="4"/>
      <c r="K192" s="7"/>
      <c r="L192" s="1"/>
      <c r="M192" s="9"/>
      <c r="N192" s="4" t="e">
        <f>VLOOKUP(H192,Clientes!B:D,3,)</f>
        <v>#N/A</v>
      </c>
    </row>
    <row r="193" spans="1:14" x14ac:dyDescent="0.25">
      <c r="A193" s="4" t="str">
        <f t="shared" si="2"/>
        <v>DESPESA DE REPRESENTAÇÃO - -- ()</v>
      </c>
      <c r="B193" s="11">
        <v>46296</v>
      </c>
      <c r="C193" s="4">
        <v>817991</v>
      </c>
      <c r="D193" s="1"/>
      <c r="E193" s="14"/>
      <c r="F193" s="36"/>
      <c r="G193" s="2"/>
      <c r="H193" s="9"/>
      <c r="I193" s="4"/>
      <c r="J193" s="4"/>
      <c r="K193" s="7"/>
      <c r="L193" s="1"/>
      <c r="M193" s="9"/>
      <c r="N193" s="4" t="e">
        <f>VLOOKUP(H193,Clientes!B:D,3,)</f>
        <v>#N/A</v>
      </c>
    </row>
    <row r="194" spans="1:14" x14ac:dyDescent="0.25">
      <c r="A194" s="4" t="str">
        <f t="shared" si="2"/>
        <v>DESPESA DE REPRESENTAÇÃO - -- ()</v>
      </c>
      <c r="B194" s="11">
        <v>46296</v>
      </c>
      <c r="C194" s="4">
        <v>817991</v>
      </c>
      <c r="D194" s="1"/>
      <c r="E194" s="14"/>
      <c r="F194" s="36"/>
      <c r="G194" s="2"/>
      <c r="H194" s="9"/>
      <c r="I194" s="4"/>
      <c r="J194" s="4"/>
      <c r="K194" s="7"/>
      <c r="L194" s="1"/>
      <c r="M194" s="9"/>
      <c r="N194" s="4" t="e">
        <f>VLOOKUP(H194,Clientes!B:D,3,)</f>
        <v>#N/A</v>
      </c>
    </row>
    <row r="195" spans="1:14" x14ac:dyDescent="0.25">
      <c r="A195" s="4" t="str">
        <f t="shared" ref="A195:A200" si="3">CONCATENATE($J$1,J195,$I$3,M195,$I$3,L195,$I$1,K195,$I$2)</f>
        <v>DESPESA DE REPRESENTAÇÃO - -- ()</v>
      </c>
      <c r="B195" s="11">
        <v>46296</v>
      </c>
      <c r="C195" s="4">
        <v>817991</v>
      </c>
      <c r="D195" s="1"/>
      <c r="E195" s="14"/>
      <c r="F195" s="36"/>
      <c r="G195" s="2"/>
      <c r="H195" s="9"/>
      <c r="I195" s="4"/>
      <c r="J195" s="4"/>
      <c r="K195" s="7"/>
      <c r="L195" s="1"/>
      <c r="M195" s="9"/>
      <c r="N195" s="4" t="e">
        <f>VLOOKUP(H195,Clientes!B:D,3,)</f>
        <v>#N/A</v>
      </c>
    </row>
    <row r="196" spans="1:14" x14ac:dyDescent="0.25">
      <c r="A196" s="4" t="str">
        <f t="shared" si="3"/>
        <v>DESPESA DE REPRESENTAÇÃO - -- ()</v>
      </c>
      <c r="B196" s="11">
        <v>46296</v>
      </c>
      <c r="C196" s="4">
        <v>817991</v>
      </c>
      <c r="D196" s="1"/>
      <c r="E196" s="14"/>
      <c r="F196" s="36"/>
      <c r="G196" s="2"/>
      <c r="H196" s="9"/>
      <c r="I196" s="4"/>
      <c r="J196" s="4"/>
      <c r="K196" s="7"/>
      <c r="L196" s="1"/>
      <c r="M196" s="9"/>
      <c r="N196" s="4" t="e">
        <f>VLOOKUP(H196,Clientes!B:D,3,)</f>
        <v>#N/A</v>
      </c>
    </row>
    <row r="197" spans="1:14" x14ac:dyDescent="0.25">
      <c r="A197" s="4" t="str">
        <f t="shared" si="3"/>
        <v>DESPESA DE REPRESENTAÇÃO - -- ()</v>
      </c>
      <c r="B197" s="11">
        <v>46296</v>
      </c>
      <c r="C197" s="4">
        <v>817991</v>
      </c>
      <c r="D197" s="1"/>
      <c r="E197" s="14"/>
      <c r="F197" s="36"/>
      <c r="G197" s="2"/>
      <c r="H197" s="9"/>
      <c r="I197" s="4"/>
      <c r="J197" s="4"/>
      <c r="K197" s="7"/>
      <c r="L197" s="1"/>
      <c r="M197" s="9"/>
      <c r="N197" s="4" t="e">
        <f>VLOOKUP(H197,Clientes!B:D,3,)</f>
        <v>#N/A</v>
      </c>
    </row>
    <row r="198" spans="1:14" x14ac:dyDescent="0.25">
      <c r="A198" s="4" t="str">
        <f t="shared" si="3"/>
        <v>DESPESA DE REPRESENTAÇÃO - -- ()</v>
      </c>
      <c r="B198" s="11">
        <v>46296</v>
      </c>
      <c r="C198" s="4">
        <v>817991</v>
      </c>
      <c r="D198" s="1"/>
      <c r="E198" s="14"/>
      <c r="F198" s="36"/>
      <c r="G198" s="2"/>
      <c r="H198" s="9"/>
      <c r="I198" s="4"/>
      <c r="J198" s="4"/>
      <c r="K198" s="7"/>
      <c r="L198" s="1"/>
      <c r="M198" s="9"/>
      <c r="N198" s="4" t="e">
        <f>VLOOKUP(H198,Clientes!B:D,3,)</f>
        <v>#N/A</v>
      </c>
    </row>
    <row r="199" spans="1:14" x14ac:dyDescent="0.25">
      <c r="A199" s="4" t="str">
        <f t="shared" si="3"/>
        <v>DESPESA DE REPRESENTAÇÃO - -- ()</v>
      </c>
      <c r="B199" s="11">
        <v>46296</v>
      </c>
      <c r="C199" s="4">
        <v>817991</v>
      </c>
      <c r="D199" s="1"/>
      <c r="E199" s="14"/>
      <c r="F199" s="36"/>
      <c r="G199" s="2"/>
      <c r="H199" s="9"/>
      <c r="J199" s="4"/>
      <c r="K199" s="7"/>
      <c r="L199" s="1"/>
      <c r="M199" s="9"/>
      <c r="N199" s="4" t="e">
        <f>VLOOKUP(H199,Clientes!B:D,3,)</f>
        <v>#N/A</v>
      </c>
    </row>
    <row r="200" spans="1:14" x14ac:dyDescent="0.25">
      <c r="A200" s="4" t="str">
        <f t="shared" si="3"/>
        <v>DESPESA DE REPRESENTAÇÃO - -- ()</v>
      </c>
      <c r="B200" s="11">
        <v>46296</v>
      </c>
      <c r="C200" s="4">
        <v>817991</v>
      </c>
      <c r="D200" s="1"/>
      <c r="E200" s="14"/>
      <c r="F200" s="36"/>
      <c r="G200" s="2"/>
      <c r="H200" s="9"/>
      <c r="J200" s="4"/>
      <c r="K200" s="7"/>
      <c r="L200" s="1"/>
      <c r="M200" s="9"/>
      <c r="N200" s="4" t="e">
        <f>VLOOKUP(H200,Clientes!B:D,3,)</f>
        <v>#N/A</v>
      </c>
    </row>
    <row r="201" spans="1:14" x14ac:dyDescent="0.25">
      <c r="A201" s="4"/>
      <c r="B201" s="11"/>
      <c r="C201" s="4"/>
      <c r="N201" s="4"/>
    </row>
    <row r="202" spans="1:14" x14ac:dyDescent="0.25">
      <c r="A202" s="4"/>
      <c r="B202" s="11"/>
      <c r="C202" s="4"/>
      <c r="N202" s="4"/>
    </row>
    <row r="203" spans="1:14" x14ac:dyDescent="0.25">
      <c r="A203" s="4"/>
      <c r="B203" s="11"/>
      <c r="C203" s="4"/>
      <c r="N203" s="4"/>
    </row>
    <row r="1048572" spans="7:13" x14ac:dyDescent="0.25">
      <c r="G1048572" s="2"/>
      <c r="M1048572" s="9"/>
    </row>
  </sheetData>
  <autoFilter ref="A1:P203" xr:uid="{722680DA-B733-4F54-850B-B1907ECFC407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95FE78-D57F-4636-88FE-F21484D17961}">
          <x14:formula1>
            <xm:f>Clientes!$G:$G</xm:f>
          </x14:formula1>
          <xm:sqref>L57:L58 L53:L54 D45:D200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187C-DA41-4CA4-B9A4-430C25E07BA3}">
  <sheetPr codeName="Planilha13" filterMode="1"/>
  <dimension ref="A1:H3050"/>
  <sheetViews>
    <sheetView topLeftCell="B1" workbookViewId="0">
      <selection activeCell="B1114" sqref="B1114"/>
    </sheetView>
  </sheetViews>
  <sheetFormatPr defaultRowHeight="15" x14ac:dyDescent="0.25"/>
  <cols>
    <col min="1" max="1" width="8.140625" customWidth="1"/>
    <col min="2" max="2" width="13.28515625" bestFit="1" customWidth="1"/>
    <col min="3" max="3" width="49.28515625" bestFit="1" customWidth="1"/>
    <col min="4" max="4" width="51" customWidth="1"/>
    <col min="5" max="5" width="51.5703125" bestFit="1" customWidth="1"/>
    <col min="6" max="6" width="16.140625" bestFit="1" customWidth="1"/>
    <col min="7" max="7" width="43.7109375" bestFit="1" customWidth="1"/>
    <col min="8" max="8" width="38.5703125" bestFit="1" customWidth="1"/>
    <col min="9" max="9" width="12.42578125" bestFit="1" customWidth="1"/>
    <col min="10" max="10" width="14.5703125" bestFit="1" customWidth="1"/>
    <col min="14" max="14" width="24.42578125" bestFit="1" customWidth="1"/>
  </cols>
  <sheetData>
    <row r="1" spans="1:8" x14ac:dyDescent="0.25">
      <c r="A1" s="12" t="s">
        <v>394</v>
      </c>
      <c r="B1" s="12" t="s">
        <v>20</v>
      </c>
      <c r="C1" s="12" t="s">
        <v>395</v>
      </c>
      <c r="D1" s="12" t="s">
        <v>262</v>
      </c>
      <c r="E1" s="12" t="s">
        <v>263</v>
      </c>
      <c r="F1" s="12" t="s">
        <v>3072</v>
      </c>
      <c r="G1" s="12" t="s">
        <v>3027</v>
      </c>
    </row>
    <row r="2" spans="1:8" hidden="1" x14ac:dyDescent="0.25">
      <c r="A2" s="13" t="s">
        <v>78</v>
      </c>
      <c r="B2" s="13">
        <v>80958</v>
      </c>
      <c r="C2" s="13" t="s">
        <v>1856</v>
      </c>
      <c r="D2" s="13" t="s">
        <v>1977</v>
      </c>
      <c r="E2" s="13">
        <v>525</v>
      </c>
      <c r="F2" s="13" t="s">
        <v>335</v>
      </c>
      <c r="G2" s="13" t="s">
        <v>449</v>
      </c>
      <c r="H2" s="13" t="s">
        <v>3052</v>
      </c>
    </row>
    <row r="3" spans="1:8" hidden="1" x14ac:dyDescent="0.25">
      <c r="A3" s="13" t="s">
        <v>78</v>
      </c>
      <c r="B3" s="13">
        <v>83024</v>
      </c>
      <c r="C3" s="13" t="s">
        <v>1856</v>
      </c>
      <c r="D3" s="13" t="s">
        <v>1856</v>
      </c>
      <c r="E3" s="13">
        <v>525</v>
      </c>
      <c r="F3" s="13" t="s">
        <v>335</v>
      </c>
      <c r="G3" s="13" t="s">
        <v>624</v>
      </c>
      <c r="H3" s="13" t="s">
        <v>3053</v>
      </c>
    </row>
    <row r="4" spans="1:8" hidden="1" x14ac:dyDescent="0.25">
      <c r="A4" s="13" t="s">
        <v>78</v>
      </c>
      <c r="B4" s="13">
        <v>16705</v>
      </c>
      <c r="C4" s="13" t="s">
        <v>36</v>
      </c>
      <c r="D4" s="13" t="s">
        <v>36</v>
      </c>
      <c r="E4" s="13">
        <v>616</v>
      </c>
      <c r="F4" s="13" t="s">
        <v>335</v>
      </c>
      <c r="G4" s="13" t="s">
        <v>2998</v>
      </c>
      <c r="H4" s="13" t="s">
        <v>3054</v>
      </c>
    </row>
    <row r="5" spans="1:8" hidden="1" x14ac:dyDescent="0.25">
      <c r="A5" s="13" t="s">
        <v>78</v>
      </c>
      <c r="B5" s="13">
        <v>81693</v>
      </c>
      <c r="C5" s="13" t="s">
        <v>75</v>
      </c>
      <c r="D5" s="13" t="s">
        <v>75</v>
      </c>
      <c r="E5" s="13">
        <v>628</v>
      </c>
      <c r="F5" s="13" t="s">
        <v>335</v>
      </c>
      <c r="G5" s="13" t="s">
        <v>3071</v>
      </c>
      <c r="H5" s="13" t="s">
        <v>3055</v>
      </c>
    </row>
    <row r="6" spans="1:8" hidden="1" x14ac:dyDescent="0.25">
      <c r="A6" s="13" t="s">
        <v>21</v>
      </c>
      <c r="B6" s="13">
        <v>80996</v>
      </c>
      <c r="C6" s="13" t="s">
        <v>139</v>
      </c>
      <c r="D6" s="13" t="s">
        <v>71</v>
      </c>
      <c r="E6" s="13">
        <v>633</v>
      </c>
      <c r="F6" s="13" t="s">
        <v>335</v>
      </c>
      <c r="G6" s="13" t="s">
        <v>393</v>
      </c>
      <c r="H6" s="13" t="s">
        <v>3054</v>
      </c>
    </row>
    <row r="7" spans="1:8" hidden="1" x14ac:dyDescent="0.25">
      <c r="A7" s="13" t="s">
        <v>78</v>
      </c>
      <c r="B7" s="13">
        <v>81380</v>
      </c>
      <c r="C7" s="13" t="s">
        <v>327</v>
      </c>
      <c r="D7" s="13" t="s">
        <v>327</v>
      </c>
      <c r="E7" s="13">
        <v>635</v>
      </c>
      <c r="F7" s="13" t="s">
        <v>335</v>
      </c>
      <c r="G7" s="13" t="s">
        <v>1784</v>
      </c>
      <c r="H7" s="13" t="s">
        <v>3052</v>
      </c>
    </row>
    <row r="8" spans="1:8" hidden="1" x14ac:dyDescent="0.25">
      <c r="A8" s="13" t="s">
        <v>78</v>
      </c>
      <c r="B8" s="13">
        <v>80343</v>
      </c>
      <c r="C8" s="13" t="s">
        <v>1824</v>
      </c>
      <c r="D8" s="13" t="s">
        <v>105</v>
      </c>
      <c r="E8" s="13">
        <v>643</v>
      </c>
      <c r="F8" s="13" t="s">
        <v>335</v>
      </c>
      <c r="G8" s="13" t="s">
        <v>770</v>
      </c>
      <c r="H8" s="13" t="s">
        <v>3057</v>
      </c>
    </row>
    <row r="9" spans="1:8" hidden="1" x14ac:dyDescent="0.25">
      <c r="A9" s="13" t="s">
        <v>78</v>
      </c>
      <c r="B9" s="13">
        <v>16705</v>
      </c>
      <c r="C9" s="13" t="s">
        <v>36</v>
      </c>
      <c r="D9" s="13" t="s">
        <v>36</v>
      </c>
      <c r="E9" s="13">
        <v>650</v>
      </c>
      <c r="F9" s="13" t="s">
        <v>335</v>
      </c>
      <c r="G9" s="13" t="s">
        <v>742</v>
      </c>
      <c r="H9" s="13" t="s">
        <v>3058</v>
      </c>
    </row>
    <row r="10" spans="1:8" hidden="1" x14ac:dyDescent="0.25">
      <c r="A10" s="13" t="s">
        <v>78</v>
      </c>
      <c r="B10" s="13">
        <v>81693</v>
      </c>
      <c r="C10" s="13" t="s">
        <v>75</v>
      </c>
      <c r="D10" s="13" t="s">
        <v>75</v>
      </c>
      <c r="E10" s="13">
        <v>655</v>
      </c>
      <c r="F10" s="13" t="s">
        <v>335</v>
      </c>
      <c r="G10" s="13" t="s">
        <v>39</v>
      </c>
      <c r="H10" s="13" t="s">
        <v>3055</v>
      </c>
    </row>
    <row r="11" spans="1:8" hidden="1" x14ac:dyDescent="0.25">
      <c r="A11" s="13" t="s">
        <v>78</v>
      </c>
      <c r="B11" s="13">
        <v>83074</v>
      </c>
      <c r="C11" s="13" t="s">
        <v>2426</v>
      </c>
      <c r="D11" s="13" t="s">
        <v>2426</v>
      </c>
      <c r="E11" s="13">
        <v>655</v>
      </c>
      <c r="F11" s="13" t="s">
        <v>335</v>
      </c>
      <c r="G11" s="13" t="s">
        <v>1251</v>
      </c>
      <c r="H11" s="13" t="s">
        <v>3060</v>
      </c>
    </row>
    <row r="12" spans="1:8" hidden="1" x14ac:dyDescent="0.25">
      <c r="A12" s="13" t="s">
        <v>78</v>
      </c>
      <c r="B12" s="13">
        <v>18857</v>
      </c>
      <c r="C12" s="13" t="s">
        <v>110</v>
      </c>
      <c r="D12" s="13" t="s">
        <v>110</v>
      </c>
      <c r="E12" s="13">
        <v>660</v>
      </c>
      <c r="F12" s="13" t="s">
        <v>335</v>
      </c>
      <c r="G12" s="13" t="s">
        <v>379</v>
      </c>
      <c r="H12" s="13" t="s">
        <v>3055</v>
      </c>
    </row>
    <row r="13" spans="1:8" hidden="1" x14ac:dyDescent="0.25">
      <c r="A13" s="13" t="s">
        <v>78</v>
      </c>
      <c r="B13" s="13">
        <v>80343</v>
      </c>
      <c r="C13" s="13" t="s">
        <v>1824</v>
      </c>
      <c r="D13" s="13" t="s">
        <v>105</v>
      </c>
      <c r="E13" s="13">
        <v>672</v>
      </c>
      <c r="F13" s="13" t="s">
        <v>335</v>
      </c>
      <c r="G13" s="13" t="s">
        <v>331</v>
      </c>
      <c r="H13" s="13" t="s">
        <v>3055</v>
      </c>
    </row>
    <row r="14" spans="1:8" hidden="1" x14ac:dyDescent="0.25">
      <c r="A14" s="13" t="s">
        <v>78</v>
      </c>
      <c r="B14" s="13">
        <v>79852</v>
      </c>
      <c r="C14" s="13" t="s">
        <v>18</v>
      </c>
      <c r="D14" s="13" t="s">
        <v>18</v>
      </c>
      <c r="E14" s="13">
        <v>676</v>
      </c>
      <c r="F14" s="13" t="s">
        <v>335</v>
      </c>
      <c r="G14" s="13" t="s">
        <v>626</v>
      </c>
      <c r="H14" s="13" t="s">
        <v>3061</v>
      </c>
    </row>
    <row r="15" spans="1:8" hidden="1" x14ac:dyDescent="0.25">
      <c r="A15" s="13" t="s">
        <v>78</v>
      </c>
      <c r="B15" s="13">
        <v>81595</v>
      </c>
      <c r="C15" s="13" t="s">
        <v>1873</v>
      </c>
      <c r="D15" s="13" t="s">
        <v>1874</v>
      </c>
      <c r="E15" s="13">
        <v>710</v>
      </c>
      <c r="F15" s="13" t="s">
        <v>335</v>
      </c>
      <c r="G15" s="13" t="s">
        <v>993</v>
      </c>
      <c r="H15" s="13" t="s">
        <v>3061</v>
      </c>
    </row>
    <row r="16" spans="1:8" hidden="1" x14ac:dyDescent="0.25">
      <c r="A16" s="13" t="s">
        <v>21</v>
      </c>
      <c r="B16" s="13">
        <v>80360</v>
      </c>
      <c r="C16" s="13" t="s">
        <v>342</v>
      </c>
      <c r="D16" s="13" t="s">
        <v>2106</v>
      </c>
      <c r="E16" s="13">
        <v>713</v>
      </c>
      <c r="F16" s="13" t="s">
        <v>335</v>
      </c>
      <c r="G16" s="13" t="s">
        <v>1397</v>
      </c>
      <c r="H16" s="13" t="s">
        <v>3055</v>
      </c>
    </row>
    <row r="17" spans="1:8" hidden="1" x14ac:dyDescent="0.25">
      <c r="A17" s="13" t="s">
        <v>21</v>
      </c>
      <c r="B17" s="13">
        <v>83079</v>
      </c>
      <c r="C17" s="13" t="s">
        <v>342</v>
      </c>
      <c r="D17" s="13" t="s">
        <v>342</v>
      </c>
      <c r="E17" s="13">
        <v>713</v>
      </c>
      <c r="F17" s="13" t="s">
        <v>335</v>
      </c>
      <c r="G17" s="13" t="s">
        <v>3002</v>
      </c>
      <c r="H17" s="13" t="s">
        <v>3063</v>
      </c>
    </row>
    <row r="18" spans="1:8" hidden="1" x14ac:dyDescent="0.25">
      <c r="A18" s="13" t="s">
        <v>78</v>
      </c>
      <c r="B18" s="13">
        <v>83079</v>
      </c>
      <c r="C18" s="13" t="s">
        <v>342</v>
      </c>
      <c r="D18" s="13" t="s">
        <v>342</v>
      </c>
      <c r="E18" s="13">
        <v>713</v>
      </c>
      <c r="F18" s="13" t="s">
        <v>335</v>
      </c>
      <c r="G18" s="13" t="s">
        <v>132</v>
      </c>
      <c r="H18" s="13" t="s">
        <v>3054</v>
      </c>
    </row>
    <row r="19" spans="1:8" hidden="1" x14ac:dyDescent="0.25">
      <c r="A19" s="13" t="s">
        <v>78</v>
      </c>
      <c r="B19" s="13">
        <v>81665</v>
      </c>
      <c r="C19" s="13" t="s">
        <v>93</v>
      </c>
      <c r="D19" s="13" t="s">
        <v>1903</v>
      </c>
      <c r="E19" s="13">
        <v>721</v>
      </c>
      <c r="F19" s="13" t="s">
        <v>335</v>
      </c>
      <c r="G19" s="13" t="s">
        <v>649</v>
      </c>
      <c r="H19" s="13" t="s">
        <v>3064</v>
      </c>
    </row>
    <row r="20" spans="1:8" hidden="1" x14ac:dyDescent="0.25">
      <c r="A20" s="13" t="s">
        <v>78</v>
      </c>
      <c r="B20" s="13">
        <v>80576</v>
      </c>
      <c r="C20" s="13" t="s">
        <v>128</v>
      </c>
      <c r="D20" s="13" t="s">
        <v>128</v>
      </c>
      <c r="E20" s="13">
        <v>732</v>
      </c>
      <c r="F20" s="13" t="s">
        <v>335</v>
      </c>
      <c r="G20" s="13" t="s">
        <v>1012</v>
      </c>
      <c r="H20" s="13" t="s">
        <v>3065</v>
      </c>
    </row>
    <row r="21" spans="1:8" hidden="1" x14ac:dyDescent="0.25">
      <c r="A21" s="13" t="s">
        <v>21</v>
      </c>
      <c r="B21" s="13">
        <v>80576</v>
      </c>
      <c r="C21" s="13" t="s">
        <v>128</v>
      </c>
      <c r="D21" s="13" t="s">
        <v>128</v>
      </c>
      <c r="E21" s="13">
        <v>732</v>
      </c>
      <c r="F21" s="13" t="s">
        <v>335</v>
      </c>
      <c r="G21" s="13" t="s">
        <v>621</v>
      </c>
      <c r="H21" s="13" t="s">
        <v>3057</v>
      </c>
    </row>
    <row r="22" spans="1:8" hidden="1" x14ac:dyDescent="0.25">
      <c r="A22" s="13" t="s">
        <v>78</v>
      </c>
      <c r="B22" s="13">
        <v>82639</v>
      </c>
      <c r="C22" s="13" t="s">
        <v>1921</v>
      </c>
      <c r="D22" s="13" t="s">
        <v>1921</v>
      </c>
      <c r="E22" s="13">
        <v>745</v>
      </c>
      <c r="F22" s="13" t="s">
        <v>335</v>
      </c>
      <c r="G22" s="13" t="s">
        <v>60</v>
      </c>
      <c r="H22" s="13" t="s">
        <v>3066</v>
      </c>
    </row>
    <row r="23" spans="1:8" hidden="1" x14ac:dyDescent="0.25">
      <c r="A23" s="13" t="s">
        <v>78</v>
      </c>
      <c r="B23" s="13">
        <v>81794</v>
      </c>
      <c r="C23" s="13" t="s">
        <v>351</v>
      </c>
      <c r="D23" s="13" t="s">
        <v>351</v>
      </c>
      <c r="E23" s="13">
        <v>754</v>
      </c>
      <c r="F23" s="13" t="s">
        <v>335</v>
      </c>
      <c r="G23" s="13" t="s">
        <v>648</v>
      </c>
      <c r="H23" s="13" t="s">
        <v>3056</v>
      </c>
    </row>
    <row r="24" spans="1:8" hidden="1" x14ac:dyDescent="0.25">
      <c r="A24" s="13" t="s">
        <v>78</v>
      </c>
      <c r="B24" s="13">
        <v>144310</v>
      </c>
      <c r="C24" s="13" t="s">
        <v>58</v>
      </c>
      <c r="D24" s="13" t="s">
        <v>58</v>
      </c>
      <c r="E24" s="13">
        <v>760</v>
      </c>
      <c r="F24" s="13" t="s">
        <v>335</v>
      </c>
      <c r="G24" s="13" t="s">
        <v>452</v>
      </c>
      <c r="H24" s="13" t="s">
        <v>3064</v>
      </c>
    </row>
    <row r="25" spans="1:8" hidden="1" x14ac:dyDescent="0.25">
      <c r="A25" s="13" t="s">
        <v>78</v>
      </c>
      <c r="B25" s="13">
        <v>80834</v>
      </c>
      <c r="C25" s="13" t="s">
        <v>1925</v>
      </c>
      <c r="D25" s="13" t="s">
        <v>1925</v>
      </c>
      <c r="E25" s="13">
        <v>768</v>
      </c>
      <c r="F25" s="13" t="s">
        <v>335</v>
      </c>
      <c r="G25" s="13" t="s">
        <v>516</v>
      </c>
      <c r="H25" s="13" t="s">
        <v>3057</v>
      </c>
    </row>
    <row r="26" spans="1:8" hidden="1" x14ac:dyDescent="0.25">
      <c r="A26" s="13" t="s">
        <v>78</v>
      </c>
      <c r="B26" s="13">
        <v>82808</v>
      </c>
      <c r="C26" s="13" t="s">
        <v>1865</v>
      </c>
      <c r="D26" s="13" t="s">
        <v>47</v>
      </c>
      <c r="E26" s="13">
        <v>769</v>
      </c>
      <c r="F26" s="13" t="s">
        <v>335</v>
      </c>
      <c r="G26" s="13" t="s">
        <v>653</v>
      </c>
      <c r="H26" s="13" t="s">
        <v>3061</v>
      </c>
    </row>
    <row r="27" spans="1:8" hidden="1" x14ac:dyDescent="0.25">
      <c r="A27" s="13" t="s">
        <v>21</v>
      </c>
      <c r="B27" s="13">
        <v>81502</v>
      </c>
      <c r="C27" s="13" t="s">
        <v>36</v>
      </c>
      <c r="D27" s="13" t="s">
        <v>36</v>
      </c>
      <c r="E27" s="13">
        <v>774</v>
      </c>
      <c r="F27" s="13" t="s">
        <v>335</v>
      </c>
      <c r="G27" s="13" t="s">
        <v>378</v>
      </c>
      <c r="H27" s="13" t="s">
        <v>3055</v>
      </c>
    </row>
    <row r="28" spans="1:8" hidden="1" x14ac:dyDescent="0.25">
      <c r="A28" s="13" t="s">
        <v>21</v>
      </c>
      <c r="B28" s="13">
        <v>80386</v>
      </c>
      <c r="C28" s="13" t="s">
        <v>77</v>
      </c>
      <c r="D28" s="13" t="s">
        <v>77</v>
      </c>
      <c r="E28" s="13">
        <v>774</v>
      </c>
      <c r="F28" s="13" t="s">
        <v>335</v>
      </c>
      <c r="G28" s="13" t="s">
        <v>647</v>
      </c>
      <c r="H28" s="13" t="s">
        <v>3062</v>
      </c>
    </row>
    <row r="29" spans="1:8" hidden="1" x14ac:dyDescent="0.25">
      <c r="A29" s="13" t="s">
        <v>78</v>
      </c>
      <c r="B29" s="13">
        <v>80386</v>
      </c>
      <c r="C29" s="13" t="s">
        <v>77</v>
      </c>
      <c r="D29" s="13" t="s">
        <v>77</v>
      </c>
      <c r="E29" s="13">
        <v>776</v>
      </c>
      <c r="F29" s="13" t="s">
        <v>335</v>
      </c>
      <c r="G29" s="13" t="s">
        <v>650</v>
      </c>
      <c r="H29" s="13" t="s">
        <v>3060</v>
      </c>
    </row>
    <row r="30" spans="1:8" hidden="1" x14ac:dyDescent="0.25">
      <c r="A30" s="13" t="s">
        <v>78</v>
      </c>
      <c r="B30" s="13">
        <v>80576</v>
      </c>
      <c r="C30" s="13" t="s">
        <v>128</v>
      </c>
      <c r="D30" s="13" t="s">
        <v>128</v>
      </c>
      <c r="E30" s="13">
        <v>777</v>
      </c>
      <c r="F30" s="13" t="s">
        <v>335</v>
      </c>
      <c r="G30" s="13" t="s">
        <v>503</v>
      </c>
      <c r="H30" s="13" t="s">
        <v>3061</v>
      </c>
    </row>
    <row r="31" spans="1:8" hidden="1" x14ac:dyDescent="0.25">
      <c r="A31" s="13" t="s">
        <v>21</v>
      </c>
      <c r="B31" s="13">
        <v>80576</v>
      </c>
      <c r="C31" s="13" t="s">
        <v>128</v>
      </c>
      <c r="D31" s="13" t="s">
        <v>128</v>
      </c>
      <c r="E31" s="13">
        <v>777</v>
      </c>
      <c r="F31" s="13" t="s">
        <v>335</v>
      </c>
      <c r="G31" s="13" t="s">
        <v>768</v>
      </c>
      <c r="H31" s="13" t="s">
        <v>3065</v>
      </c>
    </row>
    <row r="32" spans="1:8" hidden="1" x14ac:dyDescent="0.25">
      <c r="A32" s="13" t="s">
        <v>78</v>
      </c>
      <c r="B32" s="13">
        <v>80386</v>
      </c>
      <c r="C32" s="13" t="s">
        <v>77</v>
      </c>
      <c r="D32" s="13" t="s">
        <v>77</v>
      </c>
      <c r="E32" s="13">
        <v>780</v>
      </c>
      <c r="F32" s="13" t="s">
        <v>335</v>
      </c>
      <c r="G32" s="13" t="s">
        <v>2699</v>
      </c>
      <c r="H32" s="13" t="s">
        <v>3053</v>
      </c>
    </row>
    <row r="33" spans="1:8" hidden="1" x14ac:dyDescent="0.25">
      <c r="A33" s="13" t="s">
        <v>21</v>
      </c>
      <c r="B33" s="13">
        <v>80386</v>
      </c>
      <c r="C33" s="13" t="s">
        <v>77</v>
      </c>
      <c r="D33" s="13" t="s">
        <v>77</v>
      </c>
      <c r="E33" s="13">
        <v>781</v>
      </c>
      <c r="F33" s="13" t="s">
        <v>335</v>
      </c>
      <c r="G33" s="13" t="s">
        <v>632</v>
      </c>
      <c r="H33" s="13" t="s">
        <v>3057</v>
      </c>
    </row>
    <row r="34" spans="1:8" hidden="1" x14ac:dyDescent="0.25">
      <c r="A34" s="13" t="s">
        <v>78</v>
      </c>
      <c r="B34" s="13">
        <v>82053</v>
      </c>
      <c r="C34" s="13" t="s">
        <v>1856</v>
      </c>
      <c r="D34" s="13" t="s">
        <v>2145</v>
      </c>
      <c r="E34" s="13">
        <v>783</v>
      </c>
      <c r="F34" s="13" t="s">
        <v>335</v>
      </c>
      <c r="G34" s="13" t="s">
        <v>475</v>
      </c>
      <c r="H34" s="13" t="s">
        <v>3064</v>
      </c>
    </row>
    <row r="35" spans="1:8" hidden="1" x14ac:dyDescent="0.25">
      <c r="A35" s="13" t="s">
        <v>21</v>
      </c>
      <c r="B35" s="13">
        <v>80337</v>
      </c>
      <c r="C35" s="13" t="s">
        <v>54</v>
      </c>
      <c r="D35" s="13" t="s">
        <v>14</v>
      </c>
      <c r="E35" s="13">
        <v>784</v>
      </c>
      <c r="F35" s="13" t="s">
        <v>335</v>
      </c>
      <c r="G35" s="13" t="s">
        <v>3005</v>
      </c>
      <c r="H35" s="13" t="s">
        <v>3061</v>
      </c>
    </row>
    <row r="36" spans="1:8" hidden="1" x14ac:dyDescent="0.25">
      <c r="A36" s="13" t="s">
        <v>78</v>
      </c>
      <c r="B36" s="13">
        <v>82010</v>
      </c>
      <c r="C36" s="13" t="s">
        <v>1856</v>
      </c>
      <c r="D36" s="13" t="s">
        <v>1857</v>
      </c>
      <c r="E36" s="13">
        <v>790</v>
      </c>
      <c r="F36" s="13" t="s">
        <v>335</v>
      </c>
      <c r="G36" s="13" t="s">
        <v>480</v>
      </c>
      <c r="H36" s="13" t="s">
        <v>3052</v>
      </c>
    </row>
    <row r="37" spans="1:8" hidden="1" x14ac:dyDescent="0.25">
      <c r="A37" s="13" t="s">
        <v>78</v>
      </c>
      <c r="B37" s="13">
        <v>144548</v>
      </c>
      <c r="C37" s="13" t="s">
        <v>338</v>
      </c>
      <c r="D37" s="13" t="s">
        <v>338</v>
      </c>
      <c r="E37" s="13">
        <v>791</v>
      </c>
      <c r="F37" s="13" t="s">
        <v>335</v>
      </c>
      <c r="G37" s="13" t="s">
        <v>615</v>
      </c>
      <c r="H37" s="13" t="s">
        <v>3061</v>
      </c>
    </row>
    <row r="38" spans="1:8" hidden="1" x14ac:dyDescent="0.25">
      <c r="A38" s="13" t="s">
        <v>21</v>
      </c>
      <c r="B38" s="13">
        <v>144548</v>
      </c>
      <c r="C38" s="13" t="s">
        <v>338</v>
      </c>
      <c r="D38" s="13" t="s">
        <v>338</v>
      </c>
      <c r="E38" s="13">
        <v>791</v>
      </c>
      <c r="F38" s="13" t="s">
        <v>335</v>
      </c>
      <c r="G38" s="13" t="s">
        <v>3008</v>
      </c>
      <c r="H38" s="13" t="s">
        <v>3053</v>
      </c>
    </row>
    <row r="39" spans="1:8" hidden="1" x14ac:dyDescent="0.25">
      <c r="A39" s="13" t="s">
        <v>78</v>
      </c>
      <c r="B39" s="13">
        <v>81648</v>
      </c>
      <c r="C39" s="13" t="s">
        <v>297</v>
      </c>
      <c r="D39" s="13" t="s">
        <v>297</v>
      </c>
      <c r="E39" s="13">
        <v>792</v>
      </c>
      <c r="F39" s="13" t="s">
        <v>335</v>
      </c>
      <c r="G39" s="13" t="s">
        <v>1053</v>
      </c>
      <c r="H39" s="13" t="s">
        <v>3053</v>
      </c>
    </row>
    <row r="40" spans="1:8" hidden="1" x14ac:dyDescent="0.25">
      <c r="A40" s="13" t="s">
        <v>21</v>
      </c>
      <c r="B40" s="13">
        <v>81648</v>
      </c>
      <c r="C40" s="13" t="s">
        <v>297</v>
      </c>
      <c r="D40" s="13" t="s">
        <v>297</v>
      </c>
      <c r="E40" s="13">
        <v>792</v>
      </c>
      <c r="F40" s="13" t="s">
        <v>335</v>
      </c>
      <c r="G40" s="13" t="s">
        <v>3009</v>
      </c>
      <c r="H40" s="13" t="s">
        <v>3068</v>
      </c>
    </row>
    <row r="41" spans="1:8" hidden="1" x14ac:dyDescent="0.25">
      <c r="A41" s="13" t="s">
        <v>21</v>
      </c>
      <c r="B41" s="13">
        <v>80576</v>
      </c>
      <c r="C41" s="13" t="s">
        <v>128</v>
      </c>
      <c r="D41" s="13" t="s">
        <v>128</v>
      </c>
      <c r="E41" s="13">
        <v>794</v>
      </c>
      <c r="F41" s="13" t="s">
        <v>335</v>
      </c>
      <c r="G41" s="13" t="s">
        <v>428</v>
      </c>
      <c r="H41" s="13" t="s">
        <v>3069</v>
      </c>
    </row>
    <row r="42" spans="1:8" hidden="1" x14ac:dyDescent="0.25">
      <c r="A42" s="13" t="s">
        <v>78</v>
      </c>
      <c r="B42" s="13">
        <v>80576</v>
      </c>
      <c r="C42" s="13" t="s">
        <v>128</v>
      </c>
      <c r="D42" s="13" t="s">
        <v>128</v>
      </c>
      <c r="E42" s="13">
        <v>794</v>
      </c>
      <c r="F42" s="13" t="s">
        <v>335</v>
      </c>
      <c r="G42" s="13" t="s">
        <v>23</v>
      </c>
      <c r="H42" s="13" t="s">
        <v>3059</v>
      </c>
    </row>
    <row r="43" spans="1:8" hidden="1" x14ac:dyDescent="0.25">
      <c r="A43" s="13" t="s">
        <v>78</v>
      </c>
      <c r="B43" s="13">
        <v>14479</v>
      </c>
      <c r="C43" s="13" t="s">
        <v>24</v>
      </c>
      <c r="D43" s="13" t="s">
        <v>24</v>
      </c>
      <c r="E43" s="13">
        <v>795</v>
      </c>
      <c r="F43" s="13" t="s">
        <v>335</v>
      </c>
      <c r="G43" s="13" t="s">
        <v>459</v>
      </c>
      <c r="H43" s="13" t="s">
        <v>3055</v>
      </c>
    </row>
    <row r="44" spans="1:8" hidden="1" x14ac:dyDescent="0.25">
      <c r="A44" s="13" t="s">
        <v>78</v>
      </c>
      <c r="B44" s="13">
        <v>125119</v>
      </c>
      <c r="C44" s="13" t="s">
        <v>126</v>
      </c>
      <c r="D44" s="13" t="s">
        <v>126</v>
      </c>
      <c r="E44" s="13">
        <v>811</v>
      </c>
      <c r="F44" s="13" t="s">
        <v>335</v>
      </c>
      <c r="G44" s="13" t="s">
        <v>614</v>
      </c>
      <c r="H44" s="13" t="s">
        <v>3061</v>
      </c>
    </row>
    <row r="45" spans="1:8" hidden="1" x14ac:dyDescent="0.25">
      <c r="A45" s="13" t="s">
        <v>78</v>
      </c>
      <c r="B45" s="13">
        <v>12284</v>
      </c>
      <c r="C45" s="13" t="s">
        <v>37</v>
      </c>
      <c r="D45" s="13" t="s">
        <v>37</v>
      </c>
      <c r="E45" s="13">
        <v>828</v>
      </c>
      <c r="F45" s="13" t="s">
        <v>335</v>
      </c>
      <c r="G45" s="13" t="s">
        <v>3012</v>
      </c>
      <c r="H45" s="13" t="s">
        <v>3054</v>
      </c>
    </row>
    <row r="46" spans="1:8" hidden="1" x14ac:dyDescent="0.25">
      <c r="A46" s="13" t="s">
        <v>78</v>
      </c>
      <c r="B46" s="13">
        <v>83000</v>
      </c>
      <c r="C46" s="13" t="s">
        <v>2167</v>
      </c>
      <c r="D46" s="13" t="s">
        <v>2167</v>
      </c>
      <c r="E46" s="13">
        <v>837</v>
      </c>
      <c r="F46" s="13" t="s">
        <v>335</v>
      </c>
      <c r="G46" s="13" t="s">
        <v>3013</v>
      </c>
      <c r="H46" s="13" t="s">
        <v>3053</v>
      </c>
    </row>
    <row r="47" spans="1:8" hidden="1" x14ac:dyDescent="0.25">
      <c r="A47" s="13" t="s">
        <v>21</v>
      </c>
      <c r="B47" s="13">
        <v>80347</v>
      </c>
      <c r="C47" s="13" t="s">
        <v>75</v>
      </c>
      <c r="D47" s="13" t="s">
        <v>75</v>
      </c>
      <c r="E47" s="13">
        <v>838</v>
      </c>
      <c r="F47" s="13" t="s">
        <v>335</v>
      </c>
      <c r="G47" s="13" t="s">
        <v>423</v>
      </c>
      <c r="H47" s="13" t="s">
        <v>423</v>
      </c>
    </row>
    <row r="48" spans="1:8" hidden="1" x14ac:dyDescent="0.25">
      <c r="A48" s="13" t="s">
        <v>21</v>
      </c>
      <c r="B48" s="13">
        <v>83073</v>
      </c>
      <c r="C48" s="13" t="s">
        <v>2426</v>
      </c>
      <c r="D48" s="13" t="s">
        <v>2426</v>
      </c>
      <c r="E48" s="13">
        <v>838</v>
      </c>
      <c r="F48" s="13" t="s">
        <v>335</v>
      </c>
      <c r="G48" s="13" t="s">
        <v>477</v>
      </c>
      <c r="H48" s="13" t="s">
        <v>3067</v>
      </c>
    </row>
    <row r="49" spans="1:8" hidden="1" x14ac:dyDescent="0.25">
      <c r="A49" s="13" t="s">
        <v>78</v>
      </c>
      <c r="B49" s="13">
        <v>83073</v>
      </c>
      <c r="C49" s="13" t="s">
        <v>2426</v>
      </c>
      <c r="D49" s="13" t="s">
        <v>2426</v>
      </c>
      <c r="E49" s="13">
        <v>838</v>
      </c>
      <c r="F49" s="13" t="s">
        <v>335</v>
      </c>
      <c r="G49" s="13" t="s">
        <v>3015</v>
      </c>
      <c r="H49" s="13" t="s">
        <v>3057</v>
      </c>
    </row>
    <row r="50" spans="1:8" hidden="1" x14ac:dyDescent="0.25">
      <c r="A50" s="13" t="s">
        <v>21</v>
      </c>
      <c r="B50" s="13">
        <v>81344</v>
      </c>
      <c r="C50" s="13" t="s">
        <v>365</v>
      </c>
      <c r="D50" s="13" t="s">
        <v>365</v>
      </c>
      <c r="E50" s="13">
        <v>840</v>
      </c>
      <c r="F50" s="13" t="s">
        <v>335</v>
      </c>
      <c r="G50" s="13" t="s">
        <v>665</v>
      </c>
      <c r="H50" s="13" t="s">
        <v>3064</v>
      </c>
    </row>
    <row r="51" spans="1:8" hidden="1" x14ac:dyDescent="0.25">
      <c r="A51" s="13" t="s">
        <v>21</v>
      </c>
      <c r="B51" s="13">
        <v>80347</v>
      </c>
      <c r="C51" s="13" t="s">
        <v>75</v>
      </c>
      <c r="D51" s="13" t="s">
        <v>75</v>
      </c>
      <c r="E51" s="13">
        <v>845</v>
      </c>
      <c r="F51" s="13" t="s">
        <v>335</v>
      </c>
      <c r="G51" s="13" t="s">
        <v>574</v>
      </c>
      <c r="H51" s="13" t="s">
        <v>3054</v>
      </c>
    </row>
    <row r="52" spans="1:8" hidden="1" x14ac:dyDescent="0.25">
      <c r="A52" s="13" t="s">
        <v>78</v>
      </c>
      <c r="B52" s="13">
        <v>80347</v>
      </c>
      <c r="C52" s="13" t="s">
        <v>75</v>
      </c>
      <c r="D52" s="13" t="s">
        <v>75</v>
      </c>
      <c r="E52" s="13">
        <v>845</v>
      </c>
      <c r="F52" s="13" t="s">
        <v>335</v>
      </c>
      <c r="G52" s="13" t="s">
        <v>3016</v>
      </c>
      <c r="H52" s="13" t="s">
        <v>3065</v>
      </c>
    </row>
    <row r="53" spans="1:8" hidden="1" x14ac:dyDescent="0.25">
      <c r="A53" s="13" t="s">
        <v>21</v>
      </c>
      <c r="B53" s="13">
        <v>83073</v>
      </c>
      <c r="C53" s="13" t="s">
        <v>2426</v>
      </c>
      <c r="D53" s="13" t="s">
        <v>2426</v>
      </c>
      <c r="E53" s="13">
        <v>845</v>
      </c>
      <c r="F53" s="13" t="s">
        <v>335</v>
      </c>
      <c r="G53" s="13" t="s">
        <v>3017</v>
      </c>
      <c r="H53" s="13" t="s">
        <v>3063</v>
      </c>
    </row>
    <row r="54" spans="1:8" hidden="1" x14ac:dyDescent="0.25">
      <c r="A54" s="13" t="s">
        <v>78</v>
      </c>
      <c r="B54" s="13">
        <v>83073</v>
      </c>
      <c r="C54" s="13" t="s">
        <v>2426</v>
      </c>
      <c r="D54" s="13" t="s">
        <v>2426</v>
      </c>
      <c r="E54" s="13">
        <v>845</v>
      </c>
      <c r="F54" s="13" t="s">
        <v>335</v>
      </c>
      <c r="G54" s="13" t="s">
        <v>772</v>
      </c>
      <c r="H54" s="13" t="s">
        <v>3068</v>
      </c>
    </row>
    <row r="55" spans="1:8" hidden="1" x14ac:dyDescent="0.25">
      <c r="A55" s="13" t="s">
        <v>78</v>
      </c>
      <c r="B55" s="13">
        <v>79746</v>
      </c>
      <c r="C55" s="13" t="s">
        <v>90</v>
      </c>
      <c r="D55" s="13" t="s">
        <v>90</v>
      </c>
      <c r="E55" s="13">
        <v>847</v>
      </c>
      <c r="F55" s="13" t="s">
        <v>335</v>
      </c>
      <c r="G55" s="13" t="s">
        <v>424</v>
      </c>
      <c r="H55" s="13" t="s">
        <v>3064</v>
      </c>
    </row>
    <row r="56" spans="1:8" hidden="1" x14ac:dyDescent="0.25">
      <c r="A56" s="13" t="s">
        <v>21</v>
      </c>
      <c r="B56" s="13">
        <v>80417</v>
      </c>
      <c r="C56" s="13" t="s">
        <v>1856</v>
      </c>
      <c r="D56" s="13" t="s">
        <v>2060</v>
      </c>
      <c r="E56" s="13">
        <v>848</v>
      </c>
      <c r="F56" s="13" t="s">
        <v>335</v>
      </c>
      <c r="G56" s="13" t="s">
        <v>3020</v>
      </c>
      <c r="H56" s="13" t="s">
        <v>3054</v>
      </c>
    </row>
    <row r="57" spans="1:8" hidden="1" x14ac:dyDescent="0.25">
      <c r="A57" s="13" t="s">
        <v>21</v>
      </c>
      <c r="B57" s="13">
        <v>81648</v>
      </c>
      <c r="C57" s="13" t="s">
        <v>297</v>
      </c>
      <c r="D57" s="13" t="s">
        <v>297</v>
      </c>
      <c r="E57" s="13">
        <v>865</v>
      </c>
      <c r="F57" s="13" t="s">
        <v>335</v>
      </c>
      <c r="G57" s="13" t="s">
        <v>3021</v>
      </c>
      <c r="H57" s="13" t="s">
        <v>3064</v>
      </c>
    </row>
    <row r="58" spans="1:8" hidden="1" x14ac:dyDescent="0.25">
      <c r="A58" s="13" t="s">
        <v>21</v>
      </c>
      <c r="B58" s="13">
        <v>81765</v>
      </c>
      <c r="C58" s="13" t="s">
        <v>1930</v>
      </c>
      <c r="D58" s="13" t="s">
        <v>1930</v>
      </c>
      <c r="E58" s="13">
        <v>866</v>
      </c>
      <c r="F58" s="13" t="s">
        <v>335</v>
      </c>
      <c r="G58" s="13" t="s">
        <v>2582</v>
      </c>
      <c r="H58" s="13" t="s">
        <v>3054</v>
      </c>
    </row>
    <row r="59" spans="1:8" hidden="1" x14ac:dyDescent="0.25">
      <c r="A59" s="13" t="s">
        <v>21</v>
      </c>
      <c r="B59" s="13">
        <v>82801</v>
      </c>
      <c r="C59" s="13" t="s">
        <v>2033</v>
      </c>
      <c r="D59" s="13" t="s">
        <v>2033</v>
      </c>
      <c r="E59" s="13">
        <v>868</v>
      </c>
      <c r="F59" s="13" t="s">
        <v>335</v>
      </c>
      <c r="G59" s="13" t="s">
        <v>651</v>
      </c>
      <c r="H59" s="13" t="s">
        <v>3065</v>
      </c>
    </row>
    <row r="60" spans="1:8" hidden="1" x14ac:dyDescent="0.25">
      <c r="A60" s="13" t="s">
        <v>78</v>
      </c>
      <c r="B60" s="13">
        <v>82968</v>
      </c>
      <c r="C60" s="13" t="s">
        <v>50</v>
      </c>
      <c r="D60" s="13" t="s">
        <v>297</v>
      </c>
      <c r="E60" s="13">
        <v>873</v>
      </c>
      <c r="F60" s="13" t="s">
        <v>335</v>
      </c>
      <c r="G60" s="13" t="s">
        <v>646</v>
      </c>
      <c r="H60" s="13" t="s">
        <v>3068</v>
      </c>
    </row>
    <row r="61" spans="1:8" hidden="1" x14ac:dyDescent="0.25">
      <c r="A61" s="13" t="s">
        <v>21</v>
      </c>
      <c r="B61" s="13">
        <v>82968</v>
      </c>
      <c r="C61" s="13" t="s">
        <v>50</v>
      </c>
      <c r="D61" s="13" t="s">
        <v>297</v>
      </c>
      <c r="E61" s="13">
        <v>873</v>
      </c>
      <c r="F61" s="13" t="s">
        <v>335</v>
      </c>
      <c r="G61" s="13" t="s">
        <v>3023</v>
      </c>
      <c r="H61" s="13" t="s">
        <v>3052</v>
      </c>
    </row>
    <row r="62" spans="1:8" hidden="1" x14ac:dyDescent="0.25">
      <c r="A62" s="13" t="s">
        <v>78</v>
      </c>
      <c r="B62" s="13">
        <v>80480</v>
      </c>
      <c r="C62" s="13" t="s">
        <v>38</v>
      </c>
      <c r="D62" s="13" t="s">
        <v>38</v>
      </c>
      <c r="E62" s="13">
        <v>874</v>
      </c>
      <c r="F62" s="13" t="s">
        <v>335</v>
      </c>
      <c r="G62" s="13" t="s">
        <v>652</v>
      </c>
      <c r="H62" s="13" t="s">
        <v>3064</v>
      </c>
    </row>
    <row r="63" spans="1:8" hidden="1" x14ac:dyDescent="0.25">
      <c r="A63" s="13" t="s">
        <v>78</v>
      </c>
      <c r="B63" s="13">
        <v>81380</v>
      </c>
      <c r="C63" s="13" t="s">
        <v>327</v>
      </c>
      <c r="D63" s="13" t="s">
        <v>327</v>
      </c>
      <c r="E63" s="13">
        <v>875</v>
      </c>
      <c r="F63" s="13" t="s">
        <v>335</v>
      </c>
      <c r="G63" s="13" t="s">
        <v>604</v>
      </c>
      <c r="H63" s="13" t="s">
        <v>3061</v>
      </c>
    </row>
    <row r="64" spans="1:8" hidden="1" x14ac:dyDescent="0.25">
      <c r="A64" s="13" t="s">
        <v>21</v>
      </c>
      <c r="B64" s="13">
        <v>82847</v>
      </c>
      <c r="C64" s="13" t="s">
        <v>36</v>
      </c>
      <c r="D64" s="13" t="s">
        <v>36</v>
      </c>
      <c r="E64" s="13">
        <v>881</v>
      </c>
      <c r="F64" s="13" t="s">
        <v>335</v>
      </c>
      <c r="G64" s="13" t="s">
        <v>31</v>
      </c>
      <c r="H64" s="13" t="s">
        <v>3055</v>
      </c>
    </row>
    <row r="65" spans="1:8" hidden="1" x14ac:dyDescent="0.25">
      <c r="A65" s="13" t="s">
        <v>78</v>
      </c>
      <c r="B65" s="13">
        <v>80375</v>
      </c>
      <c r="C65" s="13" t="s">
        <v>398</v>
      </c>
      <c r="D65" s="13" t="s">
        <v>14</v>
      </c>
      <c r="E65" s="13">
        <v>883</v>
      </c>
      <c r="F65" s="13" t="s">
        <v>335</v>
      </c>
      <c r="G65" s="13" t="s">
        <v>769</v>
      </c>
      <c r="H65" s="13" t="s">
        <v>3070</v>
      </c>
    </row>
    <row r="66" spans="1:8" hidden="1" x14ac:dyDescent="0.25">
      <c r="A66" s="13" t="s">
        <v>78</v>
      </c>
      <c r="B66" s="13">
        <v>80480</v>
      </c>
      <c r="C66" s="13" t="s">
        <v>38</v>
      </c>
      <c r="D66" s="13" t="s">
        <v>38</v>
      </c>
      <c r="E66" s="13">
        <v>887</v>
      </c>
      <c r="F66" s="13" t="s">
        <v>335</v>
      </c>
      <c r="G66" s="13" t="s">
        <v>668</v>
      </c>
      <c r="H66" s="13" t="s">
        <v>3054</v>
      </c>
    </row>
    <row r="67" spans="1:8" hidden="1" x14ac:dyDescent="0.25">
      <c r="A67" s="13" t="s">
        <v>78</v>
      </c>
      <c r="B67" s="13">
        <v>80375</v>
      </c>
      <c r="C67" s="13" t="s">
        <v>398</v>
      </c>
      <c r="D67" s="13" t="s">
        <v>14</v>
      </c>
      <c r="E67" s="13">
        <v>890</v>
      </c>
      <c r="F67" s="13" t="s">
        <v>335</v>
      </c>
      <c r="G67" s="13" t="s">
        <v>666</v>
      </c>
      <c r="H67" s="13" t="s">
        <v>3064</v>
      </c>
    </row>
    <row r="68" spans="1:8" hidden="1" x14ac:dyDescent="0.25">
      <c r="A68" s="13" t="s">
        <v>21</v>
      </c>
      <c r="B68" s="13">
        <v>83079</v>
      </c>
      <c r="C68" s="13" t="s">
        <v>342</v>
      </c>
      <c r="D68" s="13" t="s">
        <v>342</v>
      </c>
      <c r="E68" s="13">
        <v>891</v>
      </c>
      <c r="F68" s="13" t="s">
        <v>335</v>
      </c>
      <c r="G68" s="13" t="s">
        <v>482</v>
      </c>
      <c r="H68" s="13" t="s">
        <v>3053</v>
      </c>
    </row>
    <row r="69" spans="1:8" hidden="1" x14ac:dyDescent="0.25">
      <c r="A69" s="13" t="s">
        <v>78</v>
      </c>
      <c r="B69" s="13">
        <v>80654</v>
      </c>
      <c r="C69" s="13" t="s">
        <v>131</v>
      </c>
      <c r="D69" s="13" t="s">
        <v>131</v>
      </c>
      <c r="E69" s="13">
        <v>894</v>
      </c>
      <c r="F69" s="13" t="s">
        <v>335</v>
      </c>
      <c r="G69" s="13" t="s">
        <v>3026</v>
      </c>
      <c r="H69" s="13" t="s">
        <v>3053</v>
      </c>
    </row>
    <row r="70" spans="1:8" hidden="1" x14ac:dyDescent="0.25">
      <c r="A70" s="13" t="s">
        <v>78</v>
      </c>
      <c r="B70" s="13">
        <v>80386</v>
      </c>
      <c r="C70" s="13" t="s">
        <v>77</v>
      </c>
      <c r="D70" s="13" t="s">
        <v>77</v>
      </c>
      <c r="E70" s="13">
        <v>895</v>
      </c>
      <c r="F70" s="13" t="s">
        <v>335</v>
      </c>
      <c r="G70" s="13" t="s">
        <v>1310</v>
      </c>
      <c r="H70" s="13" t="s">
        <v>3061</v>
      </c>
    </row>
    <row r="71" spans="1:8" hidden="1" x14ac:dyDescent="0.25">
      <c r="A71" s="13" t="s">
        <v>21</v>
      </c>
      <c r="B71" s="13">
        <v>123956</v>
      </c>
      <c r="C71" s="13" t="s">
        <v>2131</v>
      </c>
      <c r="D71" s="13" t="s">
        <v>104</v>
      </c>
      <c r="E71" s="13">
        <v>950</v>
      </c>
      <c r="F71" s="13" t="s">
        <v>335</v>
      </c>
      <c r="G71" s="1" t="s">
        <v>539</v>
      </c>
    </row>
    <row r="72" spans="1:8" hidden="1" x14ac:dyDescent="0.25">
      <c r="A72" s="13" t="s">
        <v>78</v>
      </c>
      <c r="B72" s="13">
        <v>81702</v>
      </c>
      <c r="C72" s="13" t="s">
        <v>1844</v>
      </c>
      <c r="D72" s="13" t="s">
        <v>104</v>
      </c>
      <c r="E72" s="13">
        <v>950</v>
      </c>
      <c r="F72" s="13" t="s">
        <v>335</v>
      </c>
    </row>
    <row r="73" spans="1:8" hidden="1" x14ac:dyDescent="0.25">
      <c r="A73" s="13" t="s">
        <v>21</v>
      </c>
      <c r="B73" s="13">
        <v>123839</v>
      </c>
      <c r="C73" s="13" t="s">
        <v>1844</v>
      </c>
      <c r="D73" s="13" t="s">
        <v>104</v>
      </c>
      <c r="E73" s="13">
        <v>950</v>
      </c>
      <c r="F73" s="13" t="s">
        <v>335</v>
      </c>
    </row>
    <row r="74" spans="1:8" hidden="1" x14ac:dyDescent="0.25">
      <c r="A74" s="13" t="s">
        <v>21</v>
      </c>
      <c r="B74" s="13">
        <v>123839</v>
      </c>
      <c r="C74" s="13" t="s">
        <v>1844</v>
      </c>
      <c r="D74" s="13" t="s">
        <v>104</v>
      </c>
      <c r="E74" s="13">
        <v>951</v>
      </c>
      <c r="F74" s="13" t="s">
        <v>335</v>
      </c>
    </row>
    <row r="75" spans="1:8" hidden="1" x14ac:dyDescent="0.25">
      <c r="A75" s="13" t="s">
        <v>21</v>
      </c>
      <c r="B75" s="13">
        <v>82869</v>
      </c>
      <c r="C75" s="13" t="s">
        <v>63</v>
      </c>
      <c r="D75" s="13" t="s">
        <v>85</v>
      </c>
      <c r="E75" s="13">
        <v>982</v>
      </c>
      <c r="F75" s="13" t="s">
        <v>335</v>
      </c>
    </row>
    <row r="76" spans="1:8" hidden="1" x14ac:dyDescent="0.25">
      <c r="A76" s="13" t="s">
        <v>21</v>
      </c>
      <c r="B76" s="13">
        <v>82869</v>
      </c>
      <c r="C76" s="13" t="s">
        <v>63</v>
      </c>
      <c r="D76" s="13" t="s">
        <v>85</v>
      </c>
      <c r="E76" s="13">
        <v>983</v>
      </c>
      <c r="F76" s="13" t="s">
        <v>335</v>
      </c>
    </row>
    <row r="77" spans="1:8" hidden="1" x14ac:dyDescent="0.25">
      <c r="A77" s="13" t="s">
        <v>78</v>
      </c>
      <c r="B77" s="13">
        <v>80386</v>
      </c>
      <c r="C77" s="13" t="s">
        <v>77</v>
      </c>
      <c r="D77" s="13" t="s">
        <v>77</v>
      </c>
      <c r="E77" s="13">
        <v>1001</v>
      </c>
      <c r="F77" s="13" t="s">
        <v>335</v>
      </c>
    </row>
    <row r="78" spans="1:8" hidden="1" x14ac:dyDescent="0.25">
      <c r="A78" s="13" t="s">
        <v>78</v>
      </c>
      <c r="B78" s="13">
        <v>144548</v>
      </c>
      <c r="C78" s="13" t="s">
        <v>338</v>
      </c>
      <c r="D78" s="13" t="s">
        <v>338</v>
      </c>
      <c r="E78" s="13">
        <v>1002</v>
      </c>
      <c r="F78" s="13" t="s">
        <v>335</v>
      </c>
    </row>
    <row r="79" spans="1:8" hidden="1" x14ac:dyDescent="0.25">
      <c r="A79" s="13" t="s">
        <v>21</v>
      </c>
      <c r="B79" s="13">
        <v>144548</v>
      </c>
      <c r="C79" s="13" t="s">
        <v>338</v>
      </c>
      <c r="D79" s="13" t="s">
        <v>338</v>
      </c>
      <c r="E79" s="13">
        <v>1002</v>
      </c>
      <c r="F79" s="13" t="s">
        <v>335</v>
      </c>
    </row>
    <row r="80" spans="1:8" hidden="1" x14ac:dyDescent="0.25">
      <c r="A80" s="13" t="s">
        <v>78</v>
      </c>
      <c r="B80" s="13">
        <v>18857</v>
      </c>
      <c r="C80" s="13" t="s">
        <v>110</v>
      </c>
      <c r="D80" s="13" t="s">
        <v>110</v>
      </c>
      <c r="E80" s="13">
        <v>1015</v>
      </c>
      <c r="F80" s="13" t="s">
        <v>335</v>
      </c>
    </row>
    <row r="81" spans="1:6" hidden="1" x14ac:dyDescent="0.25">
      <c r="A81" s="13" t="s">
        <v>78</v>
      </c>
      <c r="B81" s="13">
        <v>82968</v>
      </c>
      <c r="C81" s="13" t="s">
        <v>50</v>
      </c>
      <c r="D81" s="13" t="s">
        <v>297</v>
      </c>
      <c r="E81" s="13">
        <v>1018</v>
      </c>
      <c r="F81" s="13" t="s">
        <v>335</v>
      </c>
    </row>
    <row r="82" spans="1:6" hidden="1" x14ac:dyDescent="0.25">
      <c r="A82" s="13" t="s">
        <v>21</v>
      </c>
      <c r="B82" s="13">
        <v>82968</v>
      </c>
      <c r="C82" s="13" t="s">
        <v>50</v>
      </c>
      <c r="D82" s="13" t="s">
        <v>297</v>
      </c>
      <c r="E82" s="13">
        <v>1018</v>
      </c>
      <c r="F82" s="13" t="s">
        <v>335</v>
      </c>
    </row>
    <row r="83" spans="1:6" hidden="1" x14ac:dyDescent="0.25">
      <c r="A83" s="13" t="s">
        <v>78</v>
      </c>
      <c r="B83" s="13">
        <v>82639</v>
      </c>
      <c r="C83" s="13" t="s">
        <v>1921</v>
      </c>
      <c r="D83" s="13" t="s">
        <v>1921</v>
      </c>
      <c r="E83" s="13">
        <v>1025</v>
      </c>
      <c r="F83" s="13" t="s">
        <v>335</v>
      </c>
    </row>
    <row r="84" spans="1:6" hidden="1" x14ac:dyDescent="0.25">
      <c r="A84" s="13" t="s">
        <v>21</v>
      </c>
      <c r="B84" s="13">
        <v>82632</v>
      </c>
      <c r="C84" s="13" t="s">
        <v>1921</v>
      </c>
      <c r="D84" s="13" t="s">
        <v>1921</v>
      </c>
      <c r="E84" s="13">
        <v>1025</v>
      </c>
      <c r="F84" s="13" t="s">
        <v>335</v>
      </c>
    </row>
    <row r="85" spans="1:6" hidden="1" x14ac:dyDescent="0.25">
      <c r="A85" s="13" t="s">
        <v>21</v>
      </c>
      <c r="B85" s="13">
        <v>80386</v>
      </c>
      <c r="C85" s="13" t="s">
        <v>77</v>
      </c>
      <c r="D85" s="13" t="s">
        <v>77</v>
      </c>
      <c r="E85" s="13">
        <v>1029</v>
      </c>
      <c r="F85" s="13" t="s">
        <v>335</v>
      </c>
    </row>
    <row r="86" spans="1:6" hidden="1" x14ac:dyDescent="0.25">
      <c r="A86" s="13" t="s">
        <v>78</v>
      </c>
      <c r="B86" s="13">
        <v>80386</v>
      </c>
      <c r="C86" s="13" t="s">
        <v>77</v>
      </c>
      <c r="D86" s="13" t="s">
        <v>77</v>
      </c>
      <c r="E86" s="13">
        <v>1029</v>
      </c>
      <c r="F86" s="13" t="s">
        <v>335</v>
      </c>
    </row>
    <row r="87" spans="1:6" hidden="1" x14ac:dyDescent="0.25">
      <c r="A87" s="13" t="s">
        <v>78</v>
      </c>
      <c r="B87" s="13">
        <v>82963</v>
      </c>
      <c r="C87" s="13" t="s">
        <v>82</v>
      </c>
      <c r="D87" s="13" t="s">
        <v>82</v>
      </c>
      <c r="E87" s="13">
        <v>1033</v>
      </c>
      <c r="F87" s="13" t="s">
        <v>335</v>
      </c>
    </row>
    <row r="88" spans="1:6" hidden="1" x14ac:dyDescent="0.25">
      <c r="A88" s="13" t="s">
        <v>21</v>
      </c>
      <c r="B88" s="13">
        <v>81565</v>
      </c>
      <c r="C88" s="13" t="s">
        <v>67</v>
      </c>
      <c r="D88" s="13" t="s">
        <v>67</v>
      </c>
      <c r="E88" s="13">
        <v>1036</v>
      </c>
      <c r="F88" s="13" t="s">
        <v>335</v>
      </c>
    </row>
    <row r="89" spans="1:6" hidden="1" x14ac:dyDescent="0.25">
      <c r="A89" s="13" t="s">
        <v>78</v>
      </c>
      <c r="B89" s="13">
        <v>81565</v>
      </c>
      <c r="C89" s="13" t="s">
        <v>67</v>
      </c>
      <c r="D89" s="13" t="s">
        <v>67</v>
      </c>
      <c r="E89" s="13">
        <v>1036</v>
      </c>
      <c r="F89" s="13" t="s">
        <v>335</v>
      </c>
    </row>
    <row r="90" spans="1:6" hidden="1" x14ac:dyDescent="0.25">
      <c r="A90" s="13" t="s">
        <v>78</v>
      </c>
      <c r="B90" s="13">
        <v>81380</v>
      </c>
      <c r="C90" s="13" t="s">
        <v>327</v>
      </c>
      <c r="D90" s="13" t="s">
        <v>327</v>
      </c>
      <c r="E90" s="13">
        <v>1039</v>
      </c>
      <c r="F90" s="13" t="s">
        <v>335</v>
      </c>
    </row>
    <row r="91" spans="1:6" hidden="1" x14ac:dyDescent="0.25">
      <c r="A91" s="13" t="s">
        <v>78</v>
      </c>
      <c r="B91" s="13">
        <v>81565</v>
      </c>
      <c r="C91" s="13" t="s">
        <v>67</v>
      </c>
      <c r="D91" s="13" t="s">
        <v>67</v>
      </c>
      <c r="E91" s="13">
        <v>1045</v>
      </c>
      <c r="F91" s="13" t="s">
        <v>335</v>
      </c>
    </row>
    <row r="92" spans="1:6" hidden="1" x14ac:dyDescent="0.25">
      <c r="A92" s="13" t="s">
        <v>21</v>
      </c>
      <c r="B92" s="13">
        <v>80386</v>
      </c>
      <c r="C92" s="13" t="s">
        <v>77</v>
      </c>
      <c r="D92" s="13" t="s">
        <v>77</v>
      </c>
      <c r="E92" s="13">
        <v>1050</v>
      </c>
      <c r="F92" s="13" t="s">
        <v>335</v>
      </c>
    </row>
    <row r="93" spans="1:6" hidden="1" x14ac:dyDescent="0.25">
      <c r="A93" s="13" t="s">
        <v>78</v>
      </c>
      <c r="B93" s="13">
        <v>80386</v>
      </c>
      <c r="C93" s="13" t="s">
        <v>77</v>
      </c>
      <c r="D93" s="13" t="s">
        <v>77</v>
      </c>
      <c r="E93" s="13">
        <v>1050</v>
      </c>
      <c r="F93" s="13" t="s">
        <v>335</v>
      </c>
    </row>
    <row r="94" spans="1:6" hidden="1" x14ac:dyDescent="0.25">
      <c r="A94" s="13" t="s">
        <v>78</v>
      </c>
      <c r="B94" s="13">
        <v>82207</v>
      </c>
      <c r="C94" s="13" t="s">
        <v>411</v>
      </c>
      <c r="D94" s="13" t="s">
        <v>85</v>
      </c>
      <c r="E94" s="13">
        <v>1054</v>
      </c>
      <c r="F94" s="13" t="s">
        <v>335</v>
      </c>
    </row>
    <row r="95" spans="1:6" hidden="1" x14ac:dyDescent="0.25">
      <c r="A95" s="13" t="s">
        <v>21</v>
      </c>
      <c r="B95" s="13">
        <v>83079</v>
      </c>
      <c r="C95" s="13" t="s">
        <v>342</v>
      </c>
      <c r="D95" s="13" t="s">
        <v>342</v>
      </c>
      <c r="E95" s="13">
        <v>1061</v>
      </c>
      <c r="F95" s="13" t="s">
        <v>335</v>
      </c>
    </row>
    <row r="96" spans="1:6" hidden="1" x14ac:dyDescent="0.25">
      <c r="A96" s="13" t="s">
        <v>78</v>
      </c>
      <c r="B96" s="13">
        <v>81693</v>
      </c>
      <c r="C96" s="13" t="s">
        <v>75</v>
      </c>
      <c r="D96" s="13" t="s">
        <v>75</v>
      </c>
      <c r="E96" s="13">
        <v>1063</v>
      </c>
      <c r="F96" s="13" t="s">
        <v>335</v>
      </c>
    </row>
    <row r="97" spans="1:6" hidden="1" x14ac:dyDescent="0.25">
      <c r="A97" s="13" t="s">
        <v>78</v>
      </c>
      <c r="B97" s="13">
        <v>83074</v>
      </c>
      <c r="C97" s="13" t="s">
        <v>2426</v>
      </c>
      <c r="D97" s="13" t="s">
        <v>2426</v>
      </c>
      <c r="E97" s="13">
        <v>1063</v>
      </c>
      <c r="F97" s="13" t="s">
        <v>335</v>
      </c>
    </row>
    <row r="98" spans="1:6" hidden="1" x14ac:dyDescent="0.25">
      <c r="A98" s="13" t="s">
        <v>21</v>
      </c>
      <c r="B98" s="13">
        <v>82831</v>
      </c>
      <c r="C98" s="13" t="s">
        <v>2260</v>
      </c>
      <c r="D98" s="13" t="s">
        <v>1899</v>
      </c>
      <c r="E98" s="13">
        <v>1064</v>
      </c>
      <c r="F98" s="13" t="s">
        <v>335</v>
      </c>
    </row>
    <row r="99" spans="1:6" hidden="1" x14ac:dyDescent="0.25">
      <c r="A99" s="13" t="s">
        <v>21</v>
      </c>
      <c r="B99" s="13">
        <v>82830</v>
      </c>
      <c r="C99" s="13" t="s">
        <v>1899</v>
      </c>
      <c r="D99" s="13" t="s">
        <v>1899</v>
      </c>
      <c r="E99" s="13">
        <v>1064</v>
      </c>
      <c r="F99" s="13" t="s">
        <v>335</v>
      </c>
    </row>
    <row r="100" spans="1:6" hidden="1" x14ac:dyDescent="0.25">
      <c r="A100" s="13" t="s">
        <v>21</v>
      </c>
      <c r="B100" s="13">
        <v>81718</v>
      </c>
      <c r="C100" s="13" t="s">
        <v>334</v>
      </c>
      <c r="D100" s="13" t="s">
        <v>334</v>
      </c>
      <c r="E100" s="13">
        <v>1072</v>
      </c>
      <c r="F100" s="13" t="s">
        <v>335</v>
      </c>
    </row>
    <row r="101" spans="1:6" hidden="1" x14ac:dyDescent="0.25">
      <c r="A101" s="13" t="s">
        <v>21</v>
      </c>
      <c r="B101" s="13">
        <v>80347</v>
      </c>
      <c r="C101" s="13" t="s">
        <v>75</v>
      </c>
      <c r="D101" s="13" t="s">
        <v>75</v>
      </c>
      <c r="E101" s="13">
        <v>1074</v>
      </c>
      <c r="F101" s="13" t="s">
        <v>335</v>
      </c>
    </row>
    <row r="102" spans="1:6" hidden="1" x14ac:dyDescent="0.25">
      <c r="A102" s="13" t="s">
        <v>78</v>
      </c>
      <c r="B102" s="13">
        <v>80347</v>
      </c>
      <c r="C102" s="13" t="s">
        <v>75</v>
      </c>
      <c r="D102" s="13" t="s">
        <v>75</v>
      </c>
      <c r="E102" s="13">
        <v>1074</v>
      </c>
      <c r="F102" s="13" t="s">
        <v>335</v>
      </c>
    </row>
    <row r="103" spans="1:6" hidden="1" x14ac:dyDescent="0.25">
      <c r="A103" s="13" t="s">
        <v>78</v>
      </c>
      <c r="B103" s="13">
        <v>82847</v>
      </c>
      <c r="C103" s="13" t="s">
        <v>36</v>
      </c>
      <c r="D103" s="13" t="s">
        <v>36</v>
      </c>
      <c r="E103" s="13">
        <v>1081</v>
      </c>
      <c r="F103" s="13" t="s">
        <v>335</v>
      </c>
    </row>
    <row r="104" spans="1:6" hidden="1" x14ac:dyDescent="0.25">
      <c r="A104" s="13" t="s">
        <v>21</v>
      </c>
      <c r="B104" s="13">
        <v>82847</v>
      </c>
      <c r="C104" s="13" t="s">
        <v>36</v>
      </c>
      <c r="D104" s="13" t="s">
        <v>36</v>
      </c>
      <c r="E104" s="13">
        <v>1081</v>
      </c>
      <c r="F104" s="13" t="s">
        <v>335</v>
      </c>
    </row>
    <row r="105" spans="1:6" hidden="1" x14ac:dyDescent="0.25">
      <c r="A105" s="13" t="s">
        <v>78</v>
      </c>
      <c r="B105" s="13">
        <v>81643</v>
      </c>
      <c r="C105" s="13" t="s">
        <v>93</v>
      </c>
      <c r="D105" s="13" t="s">
        <v>1903</v>
      </c>
      <c r="E105" s="13">
        <v>1082</v>
      </c>
      <c r="F105" s="13" t="s">
        <v>335</v>
      </c>
    </row>
    <row r="106" spans="1:6" hidden="1" x14ac:dyDescent="0.25">
      <c r="A106" s="13" t="s">
        <v>78</v>
      </c>
      <c r="B106" s="13">
        <v>80386</v>
      </c>
      <c r="C106" s="13" t="s">
        <v>77</v>
      </c>
      <c r="D106" s="13" t="s">
        <v>77</v>
      </c>
      <c r="E106" s="13">
        <v>1083</v>
      </c>
      <c r="F106" s="13" t="s">
        <v>335</v>
      </c>
    </row>
    <row r="107" spans="1:6" hidden="1" x14ac:dyDescent="0.25">
      <c r="A107" s="13" t="s">
        <v>78</v>
      </c>
      <c r="B107" s="13">
        <v>81718</v>
      </c>
      <c r="C107" s="13" t="s">
        <v>334</v>
      </c>
      <c r="D107" s="13" t="s">
        <v>334</v>
      </c>
      <c r="E107" s="13">
        <v>1086</v>
      </c>
      <c r="F107" s="13" t="s">
        <v>335</v>
      </c>
    </row>
    <row r="108" spans="1:6" hidden="1" x14ac:dyDescent="0.25">
      <c r="A108" s="13" t="s">
        <v>21</v>
      </c>
      <c r="B108" s="13">
        <v>81718</v>
      </c>
      <c r="C108" s="13" t="s">
        <v>334</v>
      </c>
      <c r="D108" s="13" t="s">
        <v>334</v>
      </c>
      <c r="E108" s="13">
        <v>1086</v>
      </c>
      <c r="F108" s="13" t="s">
        <v>335</v>
      </c>
    </row>
    <row r="109" spans="1:6" hidden="1" x14ac:dyDescent="0.25">
      <c r="A109" s="13" t="s">
        <v>78</v>
      </c>
      <c r="B109" s="13">
        <v>18857</v>
      </c>
      <c r="C109" s="13" t="s">
        <v>110</v>
      </c>
      <c r="D109" s="13" t="s">
        <v>110</v>
      </c>
      <c r="E109" s="13">
        <v>1089</v>
      </c>
      <c r="F109" s="13" t="s">
        <v>335</v>
      </c>
    </row>
    <row r="110" spans="1:6" hidden="1" x14ac:dyDescent="0.25">
      <c r="A110" s="13" t="s">
        <v>78</v>
      </c>
      <c r="B110" s="13">
        <v>83000</v>
      </c>
      <c r="C110" s="13" t="s">
        <v>2167</v>
      </c>
      <c r="D110" s="13" t="s">
        <v>2167</v>
      </c>
      <c r="E110" s="13">
        <v>1094</v>
      </c>
      <c r="F110" s="13" t="s">
        <v>335</v>
      </c>
    </row>
    <row r="111" spans="1:6" hidden="1" x14ac:dyDescent="0.25">
      <c r="A111" s="13" t="s">
        <v>21</v>
      </c>
      <c r="B111" s="13">
        <v>81693</v>
      </c>
      <c r="C111" s="13" t="s">
        <v>75</v>
      </c>
      <c r="D111" s="13" t="s">
        <v>75</v>
      </c>
      <c r="E111" s="13">
        <v>1096</v>
      </c>
      <c r="F111" s="13" t="s">
        <v>335</v>
      </c>
    </row>
    <row r="112" spans="1:6" hidden="1" x14ac:dyDescent="0.25">
      <c r="A112" s="13" t="s">
        <v>78</v>
      </c>
      <c r="B112" s="13">
        <v>81693</v>
      </c>
      <c r="C112" s="13" t="s">
        <v>75</v>
      </c>
      <c r="D112" s="13" t="s">
        <v>75</v>
      </c>
      <c r="E112" s="13">
        <v>1096</v>
      </c>
      <c r="F112" s="13" t="s">
        <v>335</v>
      </c>
    </row>
    <row r="113" spans="1:6" hidden="1" x14ac:dyDescent="0.25">
      <c r="A113" s="13" t="s">
        <v>21</v>
      </c>
      <c r="B113" s="13">
        <v>83074</v>
      </c>
      <c r="C113" s="13" t="s">
        <v>2426</v>
      </c>
      <c r="D113" s="13" t="s">
        <v>2426</v>
      </c>
      <c r="E113" s="13">
        <v>1096</v>
      </c>
      <c r="F113" s="13" t="s">
        <v>335</v>
      </c>
    </row>
    <row r="114" spans="1:6" hidden="1" x14ac:dyDescent="0.25">
      <c r="A114" s="13" t="s">
        <v>78</v>
      </c>
      <c r="B114" s="13">
        <v>83074</v>
      </c>
      <c r="C114" s="13" t="s">
        <v>2426</v>
      </c>
      <c r="D114" s="13" t="s">
        <v>2426</v>
      </c>
      <c r="E114" s="13">
        <v>1096</v>
      </c>
      <c r="F114" s="13" t="s">
        <v>335</v>
      </c>
    </row>
    <row r="115" spans="1:6" hidden="1" x14ac:dyDescent="0.25">
      <c r="A115" s="13" t="s">
        <v>21</v>
      </c>
      <c r="B115" s="13">
        <v>81693</v>
      </c>
      <c r="C115" s="13" t="s">
        <v>75</v>
      </c>
      <c r="D115" s="13" t="s">
        <v>75</v>
      </c>
      <c r="E115" s="13">
        <v>1097</v>
      </c>
      <c r="F115" s="13" t="s">
        <v>335</v>
      </c>
    </row>
    <row r="116" spans="1:6" hidden="1" x14ac:dyDescent="0.25">
      <c r="A116" s="13" t="s">
        <v>78</v>
      </c>
      <c r="B116" s="13">
        <v>81693</v>
      </c>
      <c r="C116" s="13" t="s">
        <v>75</v>
      </c>
      <c r="D116" s="13" t="s">
        <v>75</v>
      </c>
      <c r="E116" s="13">
        <v>1097</v>
      </c>
      <c r="F116" s="13" t="s">
        <v>335</v>
      </c>
    </row>
    <row r="117" spans="1:6" hidden="1" x14ac:dyDescent="0.25">
      <c r="A117" s="13" t="s">
        <v>78</v>
      </c>
      <c r="B117" s="13">
        <v>18857</v>
      </c>
      <c r="C117" s="13" t="s">
        <v>110</v>
      </c>
      <c r="D117" s="13" t="s">
        <v>110</v>
      </c>
      <c r="E117" s="13">
        <v>1104</v>
      </c>
      <c r="F117" s="13" t="s">
        <v>335</v>
      </c>
    </row>
    <row r="118" spans="1:6" hidden="1" x14ac:dyDescent="0.25">
      <c r="A118" s="13" t="s">
        <v>78</v>
      </c>
      <c r="B118" s="13">
        <v>18857</v>
      </c>
      <c r="C118" s="13" t="s">
        <v>110</v>
      </c>
      <c r="D118" s="13" t="s">
        <v>110</v>
      </c>
      <c r="E118" s="13">
        <v>1105</v>
      </c>
      <c r="F118" s="13" t="s">
        <v>335</v>
      </c>
    </row>
    <row r="119" spans="1:6" hidden="1" x14ac:dyDescent="0.25">
      <c r="A119" s="13" t="s">
        <v>78</v>
      </c>
      <c r="B119" s="13">
        <v>79852</v>
      </c>
      <c r="C119" s="13" t="s">
        <v>18</v>
      </c>
      <c r="D119" s="13" t="s">
        <v>18</v>
      </c>
      <c r="E119" s="13">
        <v>1106</v>
      </c>
      <c r="F119" s="13" t="s">
        <v>335</v>
      </c>
    </row>
    <row r="120" spans="1:6" hidden="1" x14ac:dyDescent="0.25">
      <c r="A120" s="13" t="s">
        <v>78</v>
      </c>
      <c r="B120" s="13">
        <v>18857</v>
      </c>
      <c r="C120" s="13" t="s">
        <v>110</v>
      </c>
      <c r="D120" s="13" t="s">
        <v>110</v>
      </c>
      <c r="E120" s="13">
        <v>1108</v>
      </c>
      <c r="F120" s="13" t="s">
        <v>335</v>
      </c>
    </row>
    <row r="121" spans="1:6" hidden="1" x14ac:dyDescent="0.25">
      <c r="A121" s="13" t="s">
        <v>78</v>
      </c>
      <c r="B121" s="13">
        <v>18857</v>
      </c>
      <c r="C121" s="13" t="s">
        <v>110</v>
      </c>
      <c r="D121" s="13" t="s">
        <v>110</v>
      </c>
      <c r="E121" s="13">
        <v>1109</v>
      </c>
      <c r="F121" s="13" t="s">
        <v>335</v>
      </c>
    </row>
    <row r="122" spans="1:6" hidden="1" x14ac:dyDescent="0.25">
      <c r="A122" s="13" t="s">
        <v>78</v>
      </c>
      <c r="B122" s="13">
        <v>80320</v>
      </c>
      <c r="C122" s="13" t="s">
        <v>1807</v>
      </c>
      <c r="D122" s="13" t="s">
        <v>1808</v>
      </c>
      <c r="E122" s="13">
        <v>1113</v>
      </c>
      <c r="F122" s="13" t="s">
        <v>335</v>
      </c>
    </row>
    <row r="123" spans="1:6" hidden="1" x14ac:dyDescent="0.25">
      <c r="A123" s="13" t="s">
        <v>78</v>
      </c>
      <c r="B123" s="13">
        <v>80322</v>
      </c>
      <c r="C123" s="13" t="s">
        <v>1807</v>
      </c>
      <c r="D123" s="13" t="s">
        <v>1808</v>
      </c>
      <c r="E123" s="13">
        <v>1113</v>
      </c>
      <c r="F123" s="13" t="s">
        <v>335</v>
      </c>
    </row>
    <row r="124" spans="1:6" hidden="1" x14ac:dyDescent="0.25">
      <c r="A124" s="13" t="s">
        <v>78</v>
      </c>
      <c r="B124" s="13">
        <v>80111</v>
      </c>
      <c r="C124" s="13" t="s">
        <v>2009</v>
      </c>
      <c r="D124" s="13" t="s">
        <v>152</v>
      </c>
      <c r="E124" s="13">
        <v>1114</v>
      </c>
      <c r="F124" s="13" t="s">
        <v>335</v>
      </c>
    </row>
    <row r="125" spans="1:6" hidden="1" x14ac:dyDescent="0.25">
      <c r="A125" s="13" t="s">
        <v>78</v>
      </c>
      <c r="B125" s="13">
        <v>18857</v>
      </c>
      <c r="C125" s="13" t="s">
        <v>110</v>
      </c>
      <c r="D125" s="13" t="s">
        <v>110</v>
      </c>
      <c r="E125" s="13">
        <v>1118</v>
      </c>
      <c r="F125" s="13" t="s">
        <v>335</v>
      </c>
    </row>
    <row r="126" spans="1:6" hidden="1" x14ac:dyDescent="0.25">
      <c r="A126" s="13" t="s">
        <v>78</v>
      </c>
      <c r="B126" s="13">
        <v>82968</v>
      </c>
      <c r="C126" s="13" t="s">
        <v>50</v>
      </c>
      <c r="D126" s="13" t="s">
        <v>297</v>
      </c>
      <c r="E126" s="13">
        <v>1119</v>
      </c>
      <c r="F126" s="13" t="s">
        <v>335</v>
      </c>
    </row>
    <row r="127" spans="1:6" hidden="1" x14ac:dyDescent="0.25">
      <c r="A127" s="13" t="s">
        <v>21</v>
      </c>
      <c r="B127" s="13">
        <v>82841</v>
      </c>
      <c r="C127" s="13" t="s">
        <v>2114</v>
      </c>
      <c r="D127" s="13" t="s">
        <v>2114</v>
      </c>
      <c r="E127" s="13">
        <v>1121</v>
      </c>
      <c r="F127" s="13" t="s">
        <v>335</v>
      </c>
    </row>
    <row r="128" spans="1:6" hidden="1" x14ac:dyDescent="0.25">
      <c r="A128" s="13" t="s">
        <v>78</v>
      </c>
      <c r="B128" s="13">
        <v>80359</v>
      </c>
      <c r="C128" s="13" t="s">
        <v>76</v>
      </c>
      <c r="D128" s="13" t="s">
        <v>76</v>
      </c>
      <c r="E128" s="13">
        <v>1123</v>
      </c>
      <c r="F128" s="13" t="s">
        <v>335</v>
      </c>
    </row>
    <row r="129" spans="1:6" hidden="1" x14ac:dyDescent="0.25">
      <c r="A129" s="13" t="s">
        <v>21</v>
      </c>
      <c r="B129" s="13">
        <v>80360</v>
      </c>
      <c r="C129" s="13" t="s">
        <v>342</v>
      </c>
      <c r="D129" s="13" t="s">
        <v>2106</v>
      </c>
      <c r="E129" s="13">
        <v>1124</v>
      </c>
      <c r="F129" s="13" t="s">
        <v>335</v>
      </c>
    </row>
    <row r="130" spans="1:6" hidden="1" x14ac:dyDescent="0.25">
      <c r="A130" s="13" t="s">
        <v>78</v>
      </c>
      <c r="B130" s="13">
        <v>80360</v>
      </c>
      <c r="C130" s="13" t="s">
        <v>342</v>
      </c>
      <c r="D130" s="13" t="s">
        <v>2106</v>
      </c>
      <c r="E130" s="13">
        <v>1124</v>
      </c>
      <c r="F130" s="13" t="s">
        <v>335</v>
      </c>
    </row>
    <row r="131" spans="1:6" hidden="1" x14ac:dyDescent="0.25">
      <c r="A131" s="13" t="s">
        <v>78</v>
      </c>
      <c r="B131" s="13">
        <v>18857</v>
      </c>
      <c r="C131" s="13" t="s">
        <v>110</v>
      </c>
      <c r="D131" s="13" t="s">
        <v>110</v>
      </c>
      <c r="E131" s="13">
        <v>1125</v>
      </c>
      <c r="F131" s="13" t="s">
        <v>335</v>
      </c>
    </row>
    <row r="132" spans="1:6" hidden="1" x14ac:dyDescent="0.25">
      <c r="A132" s="13" t="s">
        <v>78</v>
      </c>
      <c r="B132" s="13">
        <v>81756</v>
      </c>
      <c r="C132" s="13" t="s">
        <v>121</v>
      </c>
      <c r="D132" s="13" t="s">
        <v>121</v>
      </c>
      <c r="E132" s="13">
        <v>1130</v>
      </c>
      <c r="F132" s="13" t="s">
        <v>335</v>
      </c>
    </row>
    <row r="133" spans="1:6" hidden="1" x14ac:dyDescent="0.25">
      <c r="A133" s="13" t="s">
        <v>78</v>
      </c>
      <c r="B133" s="13">
        <v>18857</v>
      </c>
      <c r="C133" s="13" t="s">
        <v>110</v>
      </c>
      <c r="D133" s="13" t="s">
        <v>110</v>
      </c>
      <c r="E133" s="13">
        <v>10349918</v>
      </c>
      <c r="F133" s="13" t="s">
        <v>335</v>
      </c>
    </row>
    <row r="134" spans="1:6" hidden="1" x14ac:dyDescent="0.25">
      <c r="A134" s="13" t="s">
        <v>78</v>
      </c>
      <c r="B134" s="13">
        <v>15501</v>
      </c>
      <c r="C134" s="13" t="s">
        <v>9</v>
      </c>
      <c r="D134" s="13" t="s">
        <v>9</v>
      </c>
      <c r="E134" s="13" t="s">
        <v>1944</v>
      </c>
      <c r="F134" s="13" t="s">
        <v>335</v>
      </c>
    </row>
    <row r="135" spans="1:6" hidden="1" x14ac:dyDescent="0.25">
      <c r="A135" s="13" t="s">
        <v>78</v>
      </c>
      <c r="B135" s="13">
        <v>12413</v>
      </c>
      <c r="C135" s="13" t="s">
        <v>51</v>
      </c>
      <c r="D135" s="13" t="s">
        <v>51</v>
      </c>
      <c r="E135" s="13" t="s">
        <v>2124</v>
      </c>
      <c r="F135" s="13" t="s">
        <v>335</v>
      </c>
    </row>
    <row r="136" spans="1:6" hidden="1" x14ac:dyDescent="0.25">
      <c r="A136" s="13" t="s">
        <v>78</v>
      </c>
      <c r="B136" s="13">
        <v>81260</v>
      </c>
      <c r="C136" s="13" t="s">
        <v>319</v>
      </c>
      <c r="D136" s="13" t="s">
        <v>2164</v>
      </c>
      <c r="E136" s="13" t="s">
        <v>2253</v>
      </c>
      <c r="F136" s="13" t="s">
        <v>335</v>
      </c>
    </row>
    <row r="137" spans="1:6" hidden="1" x14ac:dyDescent="0.25">
      <c r="A137" s="13" t="s">
        <v>21</v>
      </c>
      <c r="B137" s="13">
        <v>81260</v>
      </c>
      <c r="C137" s="13" t="s">
        <v>319</v>
      </c>
      <c r="D137" s="13" t="s">
        <v>2164</v>
      </c>
      <c r="E137" s="13" t="s">
        <v>2253</v>
      </c>
      <c r="F137" s="13" t="s">
        <v>335</v>
      </c>
    </row>
    <row r="138" spans="1:6" hidden="1" x14ac:dyDescent="0.25">
      <c r="A138" s="13" t="s">
        <v>21</v>
      </c>
      <c r="B138" s="13">
        <v>80217</v>
      </c>
      <c r="C138" s="13" t="s">
        <v>42</v>
      </c>
      <c r="D138" s="13" t="s">
        <v>42</v>
      </c>
      <c r="E138" s="13" t="s">
        <v>1923</v>
      </c>
      <c r="F138" s="13" t="s">
        <v>335</v>
      </c>
    </row>
    <row r="139" spans="1:6" hidden="1" x14ac:dyDescent="0.25">
      <c r="A139" s="13" t="s">
        <v>78</v>
      </c>
      <c r="B139" s="13">
        <v>144548</v>
      </c>
      <c r="C139" s="13" t="s">
        <v>338</v>
      </c>
      <c r="D139" s="13" t="s">
        <v>338</v>
      </c>
      <c r="E139" s="13" t="s">
        <v>2228</v>
      </c>
      <c r="F139" s="13" t="s">
        <v>335</v>
      </c>
    </row>
    <row r="140" spans="1:6" hidden="1" x14ac:dyDescent="0.25">
      <c r="A140" s="13" t="s">
        <v>78</v>
      </c>
      <c r="B140" s="13">
        <v>123746</v>
      </c>
      <c r="C140" s="13" t="s">
        <v>44</v>
      </c>
      <c r="D140" s="13" t="s">
        <v>45</v>
      </c>
      <c r="E140" s="13" t="s">
        <v>222</v>
      </c>
      <c r="F140" s="13" t="s">
        <v>335</v>
      </c>
    </row>
    <row r="141" spans="1:6" hidden="1" x14ac:dyDescent="0.25">
      <c r="A141" s="13" t="s">
        <v>78</v>
      </c>
      <c r="B141" s="13">
        <v>79309</v>
      </c>
      <c r="C141" s="13" t="s">
        <v>108</v>
      </c>
      <c r="D141" s="13" t="s">
        <v>107</v>
      </c>
      <c r="E141" s="13" t="s">
        <v>310</v>
      </c>
      <c r="F141" s="13" t="s">
        <v>335</v>
      </c>
    </row>
    <row r="142" spans="1:6" hidden="1" x14ac:dyDescent="0.25">
      <c r="A142" s="13" t="s">
        <v>78</v>
      </c>
      <c r="B142" s="13">
        <v>82467</v>
      </c>
      <c r="C142" s="13" t="s">
        <v>36</v>
      </c>
      <c r="D142" s="13" t="s">
        <v>1948</v>
      </c>
      <c r="E142" s="13" t="s">
        <v>277</v>
      </c>
      <c r="F142" s="13" t="s">
        <v>335</v>
      </c>
    </row>
    <row r="143" spans="1:6" hidden="1" x14ac:dyDescent="0.25">
      <c r="A143" s="13" t="s">
        <v>78</v>
      </c>
      <c r="B143" s="13">
        <v>18857</v>
      </c>
      <c r="C143" s="13" t="s">
        <v>110</v>
      </c>
      <c r="D143" s="13" t="s">
        <v>110</v>
      </c>
      <c r="E143" s="13" t="s">
        <v>144</v>
      </c>
      <c r="F143" s="13" t="s">
        <v>335</v>
      </c>
    </row>
    <row r="144" spans="1:6" hidden="1" x14ac:dyDescent="0.25">
      <c r="A144" s="13" t="s">
        <v>78</v>
      </c>
      <c r="B144" s="13">
        <v>18857</v>
      </c>
      <c r="C144" s="13" t="s">
        <v>110</v>
      </c>
      <c r="D144" s="13" t="s">
        <v>110</v>
      </c>
      <c r="E144" s="13" t="s">
        <v>2042</v>
      </c>
      <c r="F144" s="13" t="s">
        <v>335</v>
      </c>
    </row>
    <row r="145" spans="1:6" hidden="1" x14ac:dyDescent="0.25">
      <c r="A145" s="13" t="s">
        <v>78</v>
      </c>
      <c r="B145" s="13">
        <v>79258</v>
      </c>
      <c r="C145" s="13" t="s">
        <v>398</v>
      </c>
      <c r="D145" s="13" t="s">
        <v>14</v>
      </c>
      <c r="E145" s="13" t="s">
        <v>147</v>
      </c>
      <c r="F145" s="13" t="s">
        <v>335</v>
      </c>
    </row>
    <row r="146" spans="1:6" hidden="1" x14ac:dyDescent="0.25">
      <c r="A146" s="13" t="s">
        <v>78</v>
      </c>
      <c r="B146" s="13">
        <v>80418</v>
      </c>
      <c r="C146" s="13" t="s">
        <v>398</v>
      </c>
      <c r="D146" s="13" t="s">
        <v>14</v>
      </c>
      <c r="E146" s="13" t="s">
        <v>147</v>
      </c>
      <c r="F146" s="13" t="s">
        <v>335</v>
      </c>
    </row>
    <row r="147" spans="1:6" hidden="1" x14ac:dyDescent="0.25">
      <c r="A147" s="13" t="s">
        <v>21</v>
      </c>
      <c r="B147" s="13">
        <v>81110</v>
      </c>
      <c r="C147" s="13" t="s">
        <v>398</v>
      </c>
      <c r="D147" s="13" t="s">
        <v>14</v>
      </c>
      <c r="E147" s="13" t="s">
        <v>147</v>
      </c>
      <c r="F147" s="13" t="s">
        <v>335</v>
      </c>
    </row>
    <row r="148" spans="1:6" hidden="1" x14ac:dyDescent="0.25">
      <c r="A148" s="13" t="s">
        <v>21</v>
      </c>
      <c r="B148" s="13">
        <v>80327</v>
      </c>
      <c r="C148" s="13" t="s">
        <v>398</v>
      </c>
      <c r="D148" s="13" t="s">
        <v>14</v>
      </c>
      <c r="E148" s="13" t="s">
        <v>147</v>
      </c>
      <c r="F148" s="13" t="s">
        <v>335</v>
      </c>
    </row>
    <row r="149" spans="1:6" hidden="1" x14ac:dyDescent="0.25">
      <c r="A149" s="13" t="s">
        <v>78</v>
      </c>
      <c r="B149" s="13">
        <v>80227</v>
      </c>
      <c r="C149" s="13" t="s">
        <v>398</v>
      </c>
      <c r="D149" s="13" t="s">
        <v>14</v>
      </c>
      <c r="E149" s="13" t="s">
        <v>147</v>
      </c>
      <c r="F149" s="13" t="s">
        <v>335</v>
      </c>
    </row>
    <row r="150" spans="1:6" hidden="1" x14ac:dyDescent="0.25">
      <c r="A150" s="13" t="s">
        <v>78</v>
      </c>
      <c r="B150" s="13">
        <v>80375</v>
      </c>
      <c r="C150" s="13" t="s">
        <v>398</v>
      </c>
      <c r="D150" s="13" t="s">
        <v>14</v>
      </c>
      <c r="E150" s="13" t="s">
        <v>147</v>
      </c>
      <c r="F150" s="13" t="s">
        <v>335</v>
      </c>
    </row>
    <row r="151" spans="1:6" hidden="1" x14ac:dyDescent="0.25">
      <c r="A151" s="13" t="s">
        <v>78</v>
      </c>
      <c r="B151" s="13">
        <v>79459</v>
      </c>
      <c r="C151" s="13" t="s">
        <v>398</v>
      </c>
      <c r="D151" s="13" t="s">
        <v>14</v>
      </c>
      <c r="E151" s="13" t="s">
        <v>147</v>
      </c>
      <c r="F151" s="13" t="s">
        <v>335</v>
      </c>
    </row>
    <row r="152" spans="1:6" hidden="1" x14ac:dyDescent="0.25">
      <c r="A152" s="13" t="s">
        <v>78</v>
      </c>
      <c r="B152" s="13">
        <v>79463</v>
      </c>
      <c r="C152" s="13" t="s">
        <v>398</v>
      </c>
      <c r="D152" s="13" t="s">
        <v>14</v>
      </c>
      <c r="E152" s="13" t="s">
        <v>147</v>
      </c>
      <c r="F152" s="13" t="s">
        <v>335</v>
      </c>
    </row>
    <row r="153" spans="1:6" hidden="1" x14ac:dyDescent="0.25">
      <c r="A153" s="13" t="s">
        <v>78</v>
      </c>
      <c r="B153" s="13">
        <v>79806</v>
      </c>
      <c r="C153" s="13" t="s">
        <v>54</v>
      </c>
      <c r="D153" s="13" t="s">
        <v>14</v>
      </c>
      <c r="E153" s="13" t="s">
        <v>147</v>
      </c>
      <c r="F153" s="13" t="s">
        <v>335</v>
      </c>
    </row>
    <row r="154" spans="1:6" hidden="1" x14ac:dyDescent="0.25">
      <c r="A154" s="13" t="s">
        <v>78</v>
      </c>
      <c r="B154" s="13">
        <v>80377</v>
      </c>
      <c r="C154" s="13" t="s">
        <v>54</v>
      </c>
      <c r="D154" s="13" t="s">
        <v>14</v>
      </c>
      <c r="E154" s="13" t="s">
        <v>147</v>
      </c>
      <c r="F154" s="13" t="s">
        <v>335</v>
      </c>
    </row>
    <row r="155" spans="1:6" hidden="1" x14ac:dyDescent="0.25">
      <c r="A155" s="13" t="s">
        <v>21</v>
      </c>
      <c r="B155" s="13">
        <v>80337</v>
      </c>
      <c r="C155" s="13" t="s">
        <v>54</v>
      </c>
      <c r="D155" s="13" t="s">
        <v>14</v>
      </c>
      <c r="E155" s="13" t="s">
        <v>147</v>
      </c>
      <c r="F155" s="13" t="s">
        <v>335</v>
      </c>
    </row>
    <row r="156" spans="1:6" hidden="1" x14ac:dyDescent="0.25">
      <c r="A156" s="13" t="s">
        <v>78</v>
      </c>
      <c r="B156" s="13">
        <v>79804</v>
      </c>
      <c r="C156" s="13" t="s">
        <v>54</v>
      </c>
      <c r="D156" s="13" t="s">
        <v>14</v>
      </c>
      <c r="E156" s="13" t="s">
        <v>147</v>
      </c>
      <c r="F156" s="13" t="s">
        <v>335</v>
      </c>
    </row>
    <row r="157" spans="1:6" hidden="1" x14ac:dyDescent="0.25">
      <c r="A157" s="13" t="s">
        <v>21</v>
      </c>
      <c r="B157" s="13">
        <v>80637</v>
      </c>
      <c r="C157" s="13" t="s">
        <v>54</v>
      </c>
      <c r="D157" s="13" t="s">
        <v>14</v>
      </c>
      <c r="E157" s="13" t="s">
        <v>147</v>
      </c>
      <c r="F157" s="13" t="s">
        <v>335</v>
      </c>
    </row>
    <row r="158" spans="1:6" hidden="1" x14ac:dyDescent="0.25">
      <c r="A158" s="13" t="s">
        <v>78</v>
      </c>
      <c r="B158" s="13">
        <v>79801</v>
      </c>
      <c r="C158" s="13" t="s">
        <v>54</v>
      </c>
      <c r="D158" s="13" t="s">
        <v>14</v>
      </c>
      <c r="E158" s="13" t="s">
        <v>147</v>
      </c>
      <c r="F158" s="13" t="s">
        <v>335</v>
      </c>
    </row>
    <row r="159" spans="1:6" hidden="1" x14ac:dyDescent="0.25">
      <c r="A159" s="13" t="s">
        <v>78</v>
      </c>
      <c r="B159" s="13">
        <v>83066</v>
      </c>
      <c r="C159" s="13" t="s">
        <v>2622</v>
      </c>
      <c r="D159" s="13" t="s">
        <v>2622</v>
      </c>
      <c r="E159" s="13" t="s">
        <v>1894</v>
      </c>
      <c r="F159" s="13" t="s">
        <v>335</v>
      </c>
    </row>
    <row r="160" spans="1:6" hidden="1" x14ac:dyDescent="0.25">
      <c r="A160" s="13" t="s">
        <v>78</v>
      </c>
      <c r="B160" s="13">
        <v>82865</v>
      </c>
      <c r="C160" s="13" t="s">
        <v>1893</v>
      </c>
      <c r="D160" s="13" t="s">
        <v>1893</v>
      </c>
      <c r="E160" s="13" t="s">
        <v>1894</v>
      </c>
      <c r="F160" s="13" t="s">
        <v>335</v>
      </c>
    </row>
    <row r="161" spans="1:6" hidden="1" x14ac:dyDescent="0.25">
      <c r="A161" s="13" t="s">
        <v>78</v>
      </c>
      <c r="B161" s="13">
        <v>83108</v>
      </c>
      <c r="C161" s="13" t="s">
        <v>1893</v>
      </c>
      <c r="D161" s="13" t="s">
        <v>1893</v>
      </c>
      <c r="E161" s="13" t="s">
        <v>1894</v>
      </c>
      <c r="F161" s="13" t="s">
        <v>335</v>
      </c>
    </row>
    <row r="162" spans="1:6" hidden="1" x14ac:dyDescent="0.25">
      <c r="A162" s="13" t="s">
        <v>78</v>
      </c>
      <c r="B162" s="13">
        <v>82808</v>
      </c>
      <c r="C162" s="13" t="s">
        <v>1865</v>
      </c>
      <c r="D162" s="13" t="s">
        <v>47</v>
      </c>
      <c r="E162" s="13" t="s">
        <v>1866</v>
      </c>
      <c r="F162" s="13" t="s">
        <v>335</v>
      </c>
    </row>
    <row r="163" spans="1:6" hidden="1" x14ac:dyDescent="0.25">
      <c r="A163" s="13" t="s">
        <v>78</v>
      </c>
      <c r="B163" s="13">
        <v>82808</v>
      </c>
      <c r="C163" s="13" t="s">
        <v>1865</v>
      </c>
      <c r="D163" s="13" t="s">
        <v>47</v>
      </c>
      <c r="E163" s="13" t="s">
        <v>1869</v>
      </c>
      <c r="F163" s="13" t="s">
        <v>335</v>
      </c>
    </row>
    <row r="164" spans="1:6" hidden="1" x14ac:dyDescent="0.25">
      <c r="A164" s="13" t="s">
        <v>78</v>
      </c>
      <c r="B164" s="13">
        <v>82808</v>
      </c>
      <c r="C164" s="13" t="s">
        <v>1865</v>
      </c>
      <c r="D164" s="13" t="s">
        <v>47</v>
      </c>
      <c r="E164" s="13" t="s">
        <v>2021</v>
      </c>
      <c r="F164" s="13" t="s">
        <v>335</v>
      </c>
    </row>
    <row r="165" spans="1:6" hidden="1" x14ac:dyDescent="0.25">
      <c r="A165" s="13" t="s">
        <v>78</v>
      </c>
      <c r="B165" s="13">
        <v>14479</v>
      </c>
      <c r="C165" s="13" t="s">
        <v>24</v>
      </c>
      <c r="D165" s="13" t="s">
        <v>24</v>
      </c>
      <c r="E165" s="13" t="s">
        <v>1850</v>
      </c>
      <c r="F165" s="13" t="s">
        <v>335</v>
      </c>
    </row>
    <row r="166" spans="1:6" hidden="1" x14ac:dyDescent="0.25">
      <c r="A166" s="13" t="s">
        <v>78</v>
      </c>
      <c r="B166" s="13">
        <v>80493</v>
      </c>
      <c r="C166" s="13" t="s">
        <v>240</v>
      </c>
      <c r="D166" s="13" t="s">
        <v>1854</v>
      </c>
      <c r="E166" s="13" t="s">
        <v>404</v>
      </c>
      <c r="F166" s="13" t="s">
        <v>335</v>
      </c>
    </row>
    <row r="167" spans="1:6" hidden="1" x14ac:dyDescent="0.25">
      <c r="A167" s="13" t="s">
        <v>78</v>
      </c>
      <c r="B167" s="13">
        <v>82486</v>
      </c>
      <c r="C167" s="13" t="s">
        <v>280</v>
      </c>
      <c r="D167" s="13" t="s">
        <v>280</v>
      </c>
      <c r="E167" s="13" t="s">
        <v>2109</v>
      </c>
      <c r="F167" s="13" t="s">
        <v>335</v>
      </c>
    </row>
    <row r="168" spans="1:6" hidden="1" x14ac:dyDescent="0.25">
      <c r="A168" s="13" t="s">
        <v>78</v>
      </c>
      <c r="B168" s="13">
        <v>14479</v>
      </c>
      <c r="C168" s="13" t="s">
        <v>24</v>
      </c>
      <c r="D168" s="13" t="s">
        <v>24</v>
      </c>
      <c r="E168" s="13" t="s">
        <v>159</v>
      </c>
      <c r="F168" s="13" t="s">
        <v>335</v>
      </c>
    </row>
    <row r="169" spans="1:6" hidden="1" x14ac:dyDescent="0.25">
      <c r="A169" s="13" t="s">
        <v>78</v>
      </c>
      <c r="B169" s="13">
        <v>80007</v>
      </c>
      <c r="C169" s="13" t="s">
        <v>24</v>
      </c>
      <c r="D169" s="13" t="s">
        <v>24</v>
      </c>
      <c r="E169" s="13" t="s">
        <v>159</v>
      </c>
      <c r="F169" s="13" t="s">
        <v>335</v>
      </c>
    </row>
    <row r="170" spans="1:6" hidden="1" x14ac:dyDescent="0.25">
      <c r="A170" s="13" t="s">
        <v>78</v>
      </c>
      <c r="B170" s="13">
        <v>79372</v>
      </c>
      <c r="C170" s="13" t="s">
        <v>1810</v>
      </c>
      <c r="D170" s="13" t="s">
        <v>1811</v>
      </c>
      <c r="E170" s="13" t="s">
        <v>185</v>
      </c>
      <c r="F170" s="13" t="s">
        <v>335</v>
      </c>
    </row>
    <row r="171" spans="1:6" hidden="1" x14ac:dyDescent="0.25">
      <c r="A171" s="13" t="s">
        <v>21</v>
      </c>
      <c r="B171" s="13">
        <v>79372</v>
      </c>
      <c r="C171" s="13" t="s">
        <v>1810</v>
      </c>
      <c r="D171" s="13" t="s">
        <v>1811</v>
      </c>
      <c r="E171" s="13" t="s">
        <v>185</v>
      </c>
      <c r="F171" s="13" t="s">
        <v>335</v>
      </c>
    </row>
    <row r="172" spans="1:6" hidden="1" x14ac:dyDescent="0.25">
      <c r="A172" s="13" t="s">
        <v>78</v>
      </c>
      <c r="B172" s="13">
        <v>12413</v>
      </c>
      <c r="C172" s="13" t="s">
        <v>51</v>
      </c>
      <c r="D172" s="13" t="s">
        <v>51</v>
      </c>
      <c r="E172" s="13" t="s">
        <v>169</v>
      </c>
      <c r="F172" s="13" t="s">
        <v>335</v>
      </c>
    </row>
    <row r="173" spans="1:6" hidden="1" x14ac:dyDescent="0.25">
      <c r="A173" s="13" t="s">
        <v>78</v>
      </c>
      <c r="B173" s="13">
        <v>82787</v>
      </c>
      <c r="C173" s="13" t="s">
        <v>51</v>
      </c>
      <c r="D173" s="13" t="s">
        <v>51</v>
      </c>
      <c r="E173" s="13" t="s">
        <v>169</v>
      </c>
      <c r="F173" s="13" t="s">
        <v>335</v>
      </c>
    </row>
    <row r="174" spans="1:6" hidden="1" x14ac:dyDescent="0.25">
      <c r="A174" s="13" t="s">
        <v>21</v>
      </c>
      <c r="B174" s="13">
        <v>82787</v>
      </c>
      <c r="C174" s="13" t="s">
        <v>51</v>
      </c>
      <c r="D174" s="13" t="s">
        <v>51</v>
      </c>
      <c r="E174" s="13" t="s">
        <v>169</v>
      </c>
      <c r="F174" s="13" t="s">
        <v>335</v>
      </c>
    </row>
    <row r="175" spans="1:6" hidden="1" x14ac:dyDescent="0.25">
      <c r="A175" s="13" t="s">
        <v>21</v>
      </c>
      <c r="B175" s="13">
        <v>12413</v>
      </c>
      <c r="C175" s="13" t="s">
        <v>51</v>
      </c>
      <c r="D175" s="13" t="s">
        <v>51</v>
      </c>
      <c r="E175" s="13" t="s">
        <v>169</v>
      </c>
      <c r="F175" s="13" t="s">
        <v>335</v>
      </c>
    </row>
    <row r="176" spans="1:6" hidden="1" x14ac:dyDescent="0.25">
      <c r="A176" s="13" t="s">
        <v>21</v>
      </c>
      <c r="B176" s="13">
        <v>12429</v>
      </c>
      <c r="C176" s="13" t="s">
        <v>51</v>
      </c>
      <c r="D176" s="13" t="s">
        <v>51</v>
      </c>
      <c r="E176" s="13" t="s">
        <v>169</v>
      </c>
      <c r="F176" s="13" t="s">
        <v>335</v>
      </c>
    </row>
    <row r="177" spans="1:6" hidden="1" x14ac:dyDescent="0.25">
      <c r="A177" s="13" t="s">
        <v>78</v>
      </c>
      <c r="B177" s="13">
        <v>81777</v>
      </c>
      <c r="C177" s="13" t="s">
        <v>51</v>
      </c>
      <c r="D177" s="13" t="s">
        <v>51</v>
      </c>
      <c r="E177" s="13" t="s">
        <v>169</v>
      </c>
      <c r="F177" s="13" t="s">
        <v>335</v>
      </c>
    </row>
    <row r="178" spans="1:6" hidden="1" x14ac:dyDescent="0.25">
      <c r="A178" s="13" t="s">
        <v>78</v>
      </c>
      <c r="B178" s="13">
        <v>80314</v>
      </c>
      <c r="C178" s="13" t="s">
        <v>2246</v>
      </c>
      <c r="D178" s="13" t="s">
        <v>2246</v>
      </c>
      <c r="E178" s="13" t="s">
        <v>2386</v>
      </c>
      <c r="F178" s="13" t="s">
        <v>335</v>
      </c>
    </row>
    <row r="179" spans="1:6" hidden="1" x14ac:dyDescent="0.25">
      <c r="A179" s="13" t="s">
        <v>78</v>
      </c>
      <c r="B179" s="13">
        <v>16705</v>
      </c>
      <c r="C179" s="13" t="s">
        <v>36</v>
      </c>
      <c r="D179" s="13" t="s">
        <v>36</v>
      </c>
      <c r="E179" s="13" t="s">
        <v>1826</v>
      </c>
      <c r="F179" s="13" t="s">
        <v>335</v>
      </c>
    </row>
    <row r="180" spans="1:6" hidden="1" x14ac:dyDescent="0.25">
      <c r="A180" s="13" t="s">
        <v>21</v>
      </c>
      <c r="B180" s="13">
        <v>81503</v>
      </c>
      <c r="C180" s="13" t="s">
        <v>36</v>
      </c>
      <c r="D180" s="13" t="s">
        <v>36</v>
      </c>
      <c r="E180" s="13" t="s">
        <v>1826</v>
      </c>
      <c r="F180" s="13" t="s">
        <v>335</v>
      </c>
    </row>
    <row r="181" spans="1:6" hidden="1" x14ac:dyDescent="0.25">
      <c r="A181" s="13" t="s">
        <v>78</v>
      </c>
      <c r="B181" s="13">
        <v>79905</v>
      </c>
      <c r="C181" s="13" t="s">
        <v>36</v>
      </c>
      <c r="D181" s="13" t="s">
        <v>36</v>
      </c>
      <c r="E181" s="13" t="s">
        <v>1826</v>
      </c>
      <c r="F181" s="13" t="s">
        <v>335</v>
      </c>
    </row>
    <row r="182" spans="1:6" hidden="1" x14ac:dyDescent="0.25">
      <c r="A182" s="13" t="s">
        <v>78</v>
      </c>
      <c r="B182" s="13">
        <v>16702</v>
      </c>
      <c r="C182" s="13" t="s">
        <v>36</v>
      </c>
      <c r="D182" s="13" t="s">
        <v>36</v>
      </c>
      <c r="E182" s="13" t="s">
        <v>1826</v>
      </c>
      <c r="F182" s="13" t="s">
        <v>335</v>
      </c>
    </row>
    <row r="183" spans="1:6" hidden="1" x14ac:dyDescent="0.25">
      <c r="A183" s="13" t="s">
        <v>21</v>
      </c>
      <c r="B183" s="13">
        <v>82467</v>
      </c>
      <c r="C183" s="13" t="s">
        <v>36</v>
      </c>
      <c r="D183" s="13" t="s">
        <v>1948</v>
      </c>
      <c r="E183" s="13" t="s">
        <v>1826</v>
      </c>
      <c r="F183" s="13" t="s">
        <v>335</v>
      </c>
    </row>
    <row r="184" spans="1:6" hidden="1" x14ac:dyDescent="0.25">
      <c r="A184" s="13" t="s">
        <v>21</v>
      </c>
      <c r="B184" s="13">
        <v>81502</v>
      </c>
      <c r="C184" s="13" t="s">
        <v>36</v>
      </c>
      <c r="D184" s="13" t="s">
        <v>36</v>
      </c>
      <c r="E184" s="13" t="s">
        <v>1826</v>
      </c>
      <c r="F184" s="13" t="s">
        <v>335</v>
      </c>
    </row>
    <row r="185" spans="1:6" hidden="1" x14ac:dyDescent="0.25">
      <c r="A185" s="13" t="s">
        <v>21</v>
      </c>
      <c r="B185" s="13">
        <v>81507</v>
      </c>
      <c r="C185" s="13" t="s">
        <v>36</v>
      </c>
      <c r="D185" s="13" t="s">
        <v>36</v>
      </c>
      <c r="E185" s="13" t="s">
        <v>1826</v>
      </c>
      <c r="F185" s="13" t="s">
        <v>335</v>
      </c>
    </row>
    <row r="186" spans="1:6" hidden="1" x14ac:dyDescent="0.25">
      <c r="A186" s="13" t="s">
        <v>78</v>
      </c>
      <c r="B186" s="13">
        <v>81503</v>
      </c>
      <c r="C186" s="13" t="s">
        <v>36</v>
      </c>
      <c r="D186" s="13" t="s">
        <v>36</v>
      </c>
      <c r="E186" s="13" t="s">
        <v>1826</v>
      </c>
      <c r="F186" s="13" t="s">
        <v>335</v>
      </c>
    </row>
    <row r="187" spans="1:6" hidden="1" x14ac:dyDescent="0.25">
      <c r="A187" s="13" t="s">
        <v>78</v>
      </c>
      <c r="B187" s="13">
        <v>82467</v>
      </c>
      <c r="C187" s="13" t="s">
        <v>36</v>
      </c>
      <c r="D187" s="13" t="s">
        <v>1948</v>
      </c>
      <c r="E187" s="13" t="s">
        <v>1826</v>
      </c>
      <c r="F187" s="13" t="s">
        <v>335</v>
      </c>
    </row>
    <row r="188" spans="1:6" hidden="1" x14ac:dyDescent="0.25">
      <c r="A188" s="13" t="s">
        <v>21</v>
      </c>
      <c r="B188" s="13">
        <v>82241</v>
      </c>
      <c r="C188" s="13" t="s">
        <v>412</v>
      </c>
      <c r="D188" s="13" t="s">
        <v>2025</v>
      </c>
      <c r="E188" s="13" t="s">
        <v>2177</v>
      </c>
      <c r="F188" s="13" t="s">
        <v>335</v>
      </c>
    </row>
    <row r="189" spans="1:6" hidden="1" x14ac:dyDescent="0.25">
      <c r="A189" s="13" t="s">
        <v>78</v>
      </c>
      <c r="B189" s="13">
        <v>79964</v>
      </c>
      <c r="C189" s="13" t="s">
        <v>95</v>
      </c>
      <c r="D189" s="13" t="s">
        <v>107</v>
      </c>
      <c r="E189" s="13" t="s">
        <v>2275</v>
      </c>
      <c r="F189" s="13" t="s">
        <v>335</v>
      </c>
    </row>
    <row r="190" spans="1:6" hidden="1" x14ac:dyDescent="0.25">
      <c r="A190" s="13" t="s">
        <v>21</v>
      </c>
      <c r="B190" s="13">
        <v>82847</v>
      </c>
      <c r="C190" s="13" t="s">
        <v>36</v>
      </c>
      <c r="D190" s="13" t="s">
        <v>36</v>
      </c>
      <c r="E190" s="13" t="s">
        <v>2103</v>
      </c>
      <c r="F190" s="13" t="s">
        <v>335</v>
      </c>
    </row>
    <row r="191" spans="1:6" hidden="1" x14ac:dyDescent="0.25">
      <c r="A191" s="13" t="s">
        <v>78</v>
      </c>
      <c r="B191" s="13">
        <v>16703</v>
      </c>
      <c r="C191" s="13" t="s">
        <v>2102</v>
      </c>
      <c r="D191" s="13" t="s">
        <v>36</v>
      </c>
      <c r="E191" s="13" t="s">
        <v>2103</v>
      </c>
      <c r="F191" s="13" t="s">
        <v>335</v>
      </c>
    </row>
    <row r="192" spans="1:6" hidden="1" x14ac:dyDescent="0.25">
      <c r="A192" s="13" t="s">
        <v>78</v>
      </c>
      <c r="B192" s="13">
        <v>14479</v>
      </c>
      <c r="C192" s="13" t="s">
        <v>24</v>
      </c>
      <c r="D192" s="13" t="s">
        <v>24</v>
      </c>
      <c r="E192" s="13" t="s">
        <v>160</v>
      </c>
      <c r="F192" s="13" t="s">
        <v>335</v>
      </c>
    </row>
    <row r="193" spans="1:6" hidden="1" x14ac:dyDescent="0.25">
      <c r="A193" s="13" t="s">
        <v>78</v>
      </c>
      <c r="B193" s="13">
        <v>80195</v>
      </c>
      <c r="C193" s="13" t="s">
        <v>114</v>
      </c>
      <c r="D193" s="13" t="s">
        <v>1805</v>
      </c>
      <c r="E193" s="13" t="s">
        <v>160</v>
      </c>
      <c r="F193" s="13" t="s">
        <v>335</v>
      </c>
    </row>
    <row r="194" spans="1:6" hidden="1" x14ac:dyDescent="0.25">
      <c r="A194" s="13" t="s">
        <v>78</v>
      </c>
      <c r="B194" s="13">
        <v>81942</v>
      </c>
      <c r="C194" s="13" t="s">
        <v>74</v>
      </c>
      <c r="D194" s="13" t="s">
        <v>74</v>
      </c>
      <c r="E194" s="13" t="s">
        <v>182</v>
      </c>
      <c r="F194" s="13" t="s">
        <v>335</v>
      </c>
    </row>
    <row r="195" spans="1:6" hidden="1" x14ac:dyDescent="0.25">
      <c r="A195" s="13" t="s">
        <v>78</v>
      </c>
      <c r="B195" s="13">
        <v>80015</v>
      </c>
      <c r="C195" s="13" t="s">
        <v>24</v>
      </c>
      <c r="D195" s="13" t="s">
        <v>24</v>
      </c>
      <c r="E195" s="13" t="s">
        <v>2219</v>
      </c>
      <c r="F195" s="13" t="s">
        <v>335</v>
      </c>
    </row>
    <row r="196" spans="1:6" hidden="1" x14ac:dyDescent="0.25">
      <c r="A196" s="13" t="s">
        <v>21</v>
      </c>
      <c r="B196" s="13">
        <v>82810</v>
      </c>
      <c r="C196" s="13" t="s">
        <v>1927</v>
      </c>
      <c r="D196" s="13" t="s">
        <v>1927</v>
      </c>
      <c r="E196" s="13" t="s">
        <v>1928</v>
      </c>
      <c r="F196" s="13" t="s">
        <v>335</v>
      </c>
    </row>
    <row r="197" spans="1:6" hidden="1" x14ac:dyDescent="0.25">
      <c r="A197" s="13" t="s">
        <v>78</v>
      </c>
      <c r="B197" s="13">
        <v>79475</v>
      </c>
      <c r="C197" s="13" t="s">
        <v>25</v>
      </c>
      <c r="D197" s="13" t="s">
        <v>25</v>
      </c>
      <c r="E197" s="13" t="s">
        <v>1832</v>
      </c>
      <c r="F197" s="13" t="s">
        <v>335</v>
      </c>
    </row>
    <row r="198" spans="1:6" hidden="1" x14ac:dyDescent="0.25">
      <c r="A198" s="13" t="s">
        <v>78</v>
      </c>
      <c r="B198" s="13">
        <v>79476</v>
      </c>
      <c r="C198" s="13" t="s">
        <v>25</v>
      </c>
      <c r="D198" s="13" t="s">
        <v>25</v>
      </c>
      <c r="E198" s="13" t="s">
        <v>1832</v>
      </c>
      <c r="F198" s="13" t="s">
        <v>335</v>
      </c>
    </row>
    <row r="199" spans="1:6" hidden="1" x14ac:dyDescent="0.25">
      <c r="A199" s="13" t="s">
        <v>78</v>
      </c>
      <c r="B199" s="13">
        <v>95005</v>
      </c>
      <c r="C199" s="13" t="s">
        <v>303</v>
      </c>
      <c r="D199" s="13" t="s">
        <v>104</v>
      </c>
      <c r="E199" s="13" t="s">
        <v>2501</v>
      </c>
      <c r="F199" s="13" t="s">
        <v>335</v>
      </c>
    </row>
    <row r="200" spans="1:6" hidden="1" x14ac:dyDescent="0.25">
      <c r="A200" s="13" t="s">
        <v>78</v>
      </c>
      <c r="B200" s="13">
        <v>14479</v>
      </c>
      <c r="C200" s="13" t="s">
        <v>24</v>
      </c>
      <c r="D200" s="13" t="s">
        <v>24</v>
      </c>
      <c r="E200" s="13" t="s">
        <v>1447</v>
      </c>
      <c r="F200" s="13" t="s">
        <v>335</v>
      </c>
    </row>
    <row r="201" spans="1:6" hidden="1" x14ac:dyDescent="0.25">
      <c r="A201" s="13" t="s">
        <v>78</v>
      </c>
      <c r="B201" s="13">
        <v>79931</v>
      </c>
      <c r="C201" s="13" t="s">
        <v>67</v>
      </c>
      <c r="D201" s="13" t="s">
        <v>67</v>
      </c>
      <c r="E201" s="13" t="s">
        <v>1099</v>
      </c>
      <c r="F201" s="13" t="s">
        <v>335</v>
      </c>
    </row>
    <row r="202" spans="1:6" hidden="1" x14ac:dyDescent="0.25">
      <c r="A202" s="13" t="s">
        <v>78</v>
      </c>
      <c r="B202" s="13">
        <v>95007</v>
      </c>
      <c r="C202" s="13" t="s">
        <v>104</v>
      </c>
      <c r="D202" s="13" t="s">
        <v>104</v>
      </c>
      <c r="E202" s="13" t="s">
        <v>965</v>
      </c>
      <c r="F202" s="13" t="s">
        <v>335</v>
      </c>
    </row>
    <row r="203" spans="1:6" hidden="1" x14ac:dyDescent="0.25">
      <c r="A203" s="13" t="s">
        <v>78</v>
      </c>
      <c r="B203" s="13">
        <v>95010</v>
      </c>
      <c r="C203" s="13" t="s">
        <v>104</v>
      </c>
      <c r="D203" s="13" t="s">
        <v>104</v>
      </c>
      <c r="E203" s="13" t="s">
        <v>965</v>
      </c>
      <c r="F203" s="13" t="s">
        <v>335</v>
      </c>
    </row>
    <row r="204" spans="1:6" hidden="1" x14ac:dyDescent="0.25">
      <c r="A204" s="13" t="s">
        <v>78</v>
      </c>
      <c r="B204" s="13">
        <v>95005</v>
      </c>
      <c r="C204" s="13" t="s">
        <v>303</v>
      </c>
      <c r="D204" s="13" t="s">
        <v>104</v>
      </c>
      <c r="E204" s="13" t="s">
        <v>965</v>
      </c>
      <c r="F204" s="13" t="s">
        <v>335</v>
      </c>
    </row>
    <row r="205" spans="1:6" hidden="1" x14ac:dyDescent="0.25">
      <c r="A205" s="13" t="s">
        <v>78</v>
      </c>
      <c r="B205" s="13">
        <v>95014</v>
      </c>
      <c r="C205" s="13" t="s">
        <v>1889</v>
      </c>
      <c r="D205" s="13" t="s">
        <v>104</v>
      </c>
      <c r="E205" s="13" t="s">
        <v>965</v>
      </c>
      <c r="F205" s="13" t="s">
        <v>335</v>
      </c>
    </row>
    <row r="206" spans="1:6" hidden="1" x14ac:dyDescent="0.25">
      <c r="A206" s="13" t="s">
        <v>78</v>
      </c>
      <c r="B206" s="13">
        <v>95007</v>
      </c>
      <c r="C206" s="13" t="s">
        <v>104</v>
      </c>
      <c r="D206" s="13" t="s">
        <v>104</v>
      </c>
      <c r="E206" s="13" t="s">
        <v>2642</v>
      </c>
      <c r="F206" s="13" t="s">
        <v>335</v>
      </c>
    </row>
    <row r="207" spans="1:6" hidden="1" x14ac:dyDescent="0.25">
      <c r="A207" s="13" t="s">
        <v>78</v>
      </c>
      <c r="B207" s="13">
        <v>95005</v>
      </c>
      <c r="C207" s="13" t="s">
        <v>303</v>
      </c>
      <c r="D207" s="13" t="s">
        <v>104</v>
      </c>
      <c r="E207" s="13" t="s">
        <v>2629</v>
      </c>
      <c r="F207" s="13" t="s">
        <v>335</v>
      </c>
    </row>
    <row r="208" spans="1:6" hidden="1" x14ac:dyDescent="0.25">
      <c r="A208" s="13" t="s">
        <v>78</v>
      </c>
      <c r="B208" s="13"/>
      <c r="C208" s="13" t="s">
        <v>1921</v>
      </c>
      <c r="D208" s="13" t="s">
        <v>1921</v>
      </c>
      <c r="E208" s="13" t="s">
        <v>145</v>
      </c>
      <c r="F208" s="13" t="s">
        <v>335</v>
      </c>
    </row>
    <row r="209" spans="1:6" hidden="1" x14ac:dyDescent="0.25">
      <c r="A209" s="13" t="s">
        <v>21</v>
      </c>
      <c r="B209" s="13">
        <v>82639</v>
      </c>
      <c r="C209" s="13" t="s">
        <v>1921</v>
      </c>
      <c r="D209" s="13" t="s">
        <v>1921</v>
      </c>
      <c r="E209" s="13" t="s">
        <v>145</v>
      </c>
      <c r="F209" s="13" t="s">
        <v>335</v>
      </c>
    </row>
    <row r="210" spans="1:6" hidden="1" x14ac:dyDescent="0.25">
      <c r="A210" s="13" t="s">
        <v>21</v>
      </c>
      <c r="B210" s="13">
        <v>82635</v>
      </c>
      <c r="C210" s="13" t="s">
        <v>1921</v>
      </c>
      <c r="D210" s="13" t="s">
        <v>1921</v>
      </c>
      <c r="E210" s="13" t="s">
        <v>145</v>
      </c>
      <c r="F210" s="13" t="s">
        <v>335</v>
      </c>
    </row>
    <row r="211" spans="1:6" hidden="1" x14ac:dyDescent="0.25">
      <c r="A211" s="13" t="s">
        <v>21</v>
      </c>
      <c r="B211" s="13">
        <v>81026</v>
      </c>
      <c r="C211" s="13" t="s">
        <v>18</v>
      </c>
      <c r="D211" s="13" t="s">
        <v>18</v>
      </c>
      <c r="E211" s="13" t="s">
        <v>396</v>
      </c>
      <c r="F211" s="13" t="s">
        <v>335</v>
      </c>
    </row>
    <row r="212" spans="1:6" hidden="1" x14ac:dyDescent="0.25">
      <c r="A212" s="13" t="s">
        <v>78</v>
      </c>
      <c r="B212" s="13">
        <v>79852</v>
      </c>
      <c r="C212" s="13" t="s">
        <v>18</v>
      </c>
      <c r="D212" s="13" t="s">
        <v>18</v>
      </c>
      <c r="E212" s="13" t="s">
        <v>396</v>
      </c>
      <c r="F212" s="13" t="s">
        <v>335</v>
      </c>
    </row>
    <row r="213" spans="1:6" hidden="1" x14ac:dyDescent="0.25">
      <c r="A213" s="13" t="s">
        <v>78</v>
      </c>
      <c r="B213" s="13">
        <v>125262</v>
      </c>
      <c r="C213" s="13" t="s">
        <v>133</v>
      </c>
      <c r="D213" s="13" t="s">
        <v>19</v>
      </c>
      <c r="E213" s="13" t="s">
        <v>2093</v>
      </c>
      <c r="F213" s="13" t="s">
        <v>335</v>
      </c>
    </row>
    <row r="214" spans="1:6" hidden="1" x14ac:dyDescent="0.25">
      <c r="A214" s="13" t="s">
        <v>78</v>
      </c>
      <c r="B214" s="13">
        <v>18857</v>
      </c>
      <c r="C214" s="13" t="s">
        <v>110</v>
      </c>
      <c r="D214" s="13" t="s">
        <v>110</v>
      </c>
      <c r="E214" s="13" t="s">
        <v>216</v>
      </c>
      <c r="F214" s="13" t="s">
        <v>335</v>
      </c>
    </row>
    <row r="215" spans="1:6" hidden="1" x14ac:dyDescent="0.25">
      <c r="A215" s="13" t="s">
        <v>21</v>
      </c>
      <c r="B215" s="13">
        <v>82560</v>
      </c>
      <c r="C215" s="13" t="s">
        <v>2517</v>
      </c>
      <c r="D215" s="13" t="s">
        <v>2518</v>
      </c>
      <c r="E215" s="13" t="s">
        <v>2519</v>
      </c>
      <c r="F215" s="13" t="s">
        <v>335</v>
      </c>
    </row>
    <row r="216" spans="1:6" hidden="1" x14ac:dyDescent="0.25">
      <c r="A216" s="13" t="s">
        <v>78</v>
      </c>
      <c r="B216" s="13">
        <v>18857</v>
      </c>
      <c r="C216" s="13" t="s">
        <v>110</v>
      </c>
      <c r="D216" s="13" t="s">
        <v>110</v>
      </c>
      <c r="E216" s="13" t="s">
        <v>2480</v>
      </c>
      <c r="F216" s="13" t="s">
        <v>335</v>
      </c>
    </row>
    <row r="217" spans="1:6" hidden="1" x14ac:dyDescent="0.25">
      <c r="A217" s="13" t="s">
        <v>21</v>
      </c>
      <c r="B217" s="13">
        <v>80708</v>
      </c>
      <c r="C217" s="13" t="s">
        <v>136</v>
      </c>
      <c r="D217" s="13" t="s">
        <v>136</v>
      </c>
      <c r="E217" s="13" t="s">
        <v>251</v>
      </c>
      <c r="F217" s="13" t="s">
        <v>335</v>
      </c>
    </row>
    <row r="218" spans="1:6" hidden="1" x14ac:dyDescent="0.25">
      <c r="A218" s="13" t="s">
        <v>78</v>
      </c>
      <c r="B218" s="13">
        <v>80708</v>
      </c>
      <c r="C218" s="13" t="s">
        <v>136</v>
      </c>
      <c r="D218" s="13" t="s">
        <v>136</v>
      </c>
      <c r="E218" s="13" t="s">
        <v>251</v>
      </c>
      <c r="F218" s="13" t="s">
        <v>335</v>
      </c>
    </row>
    <row r="219" spans="1:6" hidden="1" x14ac:dyDescent="0.25">
      <c r="A219" s="13" t="s">
        <v>78</v>
      </c>
      <c r="B219" s="13">
        <v>80709</v>
      </c>
      <c r="C219" s="13" t="s">
        <v>136</v>
      </c>
      <c r="D219" s="13" t="s">
        <v>136</v>
      </c>
      <c r="E219" s="13" t="s">
        <v>251</v>
      </c>
      <c r="F219" s="13" t="s">
        <v>335</v>
      </c>
    </row>
    <row r="220" spans="1:6" hidden="1" x14ac:dyDescent="0.25">
      <c r="A220" s="13" t="s">
        <v>78</v>
      </c>
      <c r="B220" s="13">
        <v>80374</v>
      </c>
      <c r="C220" s="13" t="s">
        <v>118</v>
      </c>
      <c r="D220" s="13" t="s">
        <v>118</v>
      </c>
      <c r="E220" s="13" t="s">
        <v>232</v>
      </c>
      <c r="F220" s="13" t="s">
        <v>335</v>
      </c>
    </row>
    <row r="221" spans="1:6" hidden="1" x14ac:dyDescent="0.25">
      <c r="A221" s="13" t="s">
        <v>21</v>
      </c>
      <c r="B221" s="13">
        <v>12402</v>
      </c>
      <c r="C221" s="13" t="s">
        <v>49</v>
      </c>
      <c r="D221" s="13" t="s">
        <v>49</v>
      </c>
      <c r="E221" s="13" t="s">
        <v>168</v>
      </c>
      <c r="F221" s="13" t="s">
        <v>335</v>
      </c>
    </row>
    <row r="222" spans="1:6" hidden="1" x14ac:dyDescent="0.25">
      <c r="A222" s="13" t="s">
        <v>78</v>
      </c>
      <c r="B222" s="13">
        <v>79449</v>
      </c>
      <c r="C222" s="13" t="s">
        <v>83</v>
      </c>
      <c r="D222" s="13" t="s">
        <v>83</v>
      </c>
      <c r="E222" s="13" t="s">
        <v>188</v>
      </c>
      <c r="F222" s="13" t="s">
        <v>335</v>
      </c>
    </row>
    <row r="223" spans="1:6" hidden="1" x14ac:dyDescent="0.25">
      <c r="A223" s="13" t="s">
        <v>78</v>
      </c>
      <c r="B223" s="13">
        <v>79752</v>
      </c>
      <c r="C223" s="13" t="s">
        <v>91</v>
      </c>
      <c r="D223" s="13" t="s">
        <v>83</v>
      </c>
      <c r="E223" s="13" t="s">
        <v>188</v>
      </c>
      <c r="F223" s="13" t="s">
        <v>335</v>
      </c>
    </row>
    <row r="224" spans="1:6" hidden="1" x14ac:dyDescent="0.25">
      <c r="A224" s="13" t="s">
        <v>78</v>
      </c>
      <c r="B224" s="13">
        <v>82963</v>
      </c>
      <c r="C224" s="13" t="s">
        <v>82</v>
      </c>
      <c r="D224" s="13" t="s">
        <v>82</v>
      </c>
      <c r="E224" s="13" t="s">
        <v>913</v>
      </c>
      <c r="F224" s="13" t="s">
        <v>335</v>
      </c>
    </row>
    <row r="225" spans="1:6" hidden="1" x14ac:dyDescent="0.25">
      <c r="A225" s="13" t="s">
        <v>78</v>
      </c>
      <c r="B225" s="13">
        <v>80667</v>
      </c>
      <c r="C225" s="13" t="s">
        <v>141</v>
      </c>
      <c r="D225" s="13" t="s">
        <v>141</v>
      </c>
      <c r="E225" s="13" t="s">
        <v>2567</v>
      </c>
      <c r="F225" s="13" t="s">
        <v>335</v>
      </c>
    </row>
    <row r="226" spans="1:6" hidden="1" x14ac:dyDescent="0.25">
      <c r="A226" s="13" t="s">
        <v>78</v>
      </c>
      <c r="B226" s="13">
        <v>82691</v>
      </c>
      <c r="C226" s="13" t="s">
        <v>2476</v>
      </c>
      <c r="D226" s="13" t="s">
        <v>2476</v>
      </c>
      <c r="E226" s="13" t="s">
        <v>189</v>
      </c>
      <c r="F226" s="13" t="s">
        <v>335</v>
      </c>
    </row>
    <row r="227" spans="1:6" hidden="1" x14ac:dyDescent="0.25">
      <c r="A227" s="13" t="s">
        <v>21</v>
      </c>
      <c r="B227" s="13">
        <v>80416</v>
      </c>
      <c r="C227" s="13" t="s">
        <v>295</v>
      </c>
      <c r="D227" s="13" t="s">
        <v>295</v>
      </c>
      <c r="E227" s="13" t="s">
        <v>236</v>
      </c>
      <c r="F227" s="13" t="s">
        <v>335</v>
      </c>
    </row>
    <row r="228" spans="1:6" hidden="1" x14ac:dyDescent="0.25">
      <c r="A228" s="13" t="s">
        <v>78</v>
      </c>
      <c r="B228" s="13">
        <v>79475</v>
      </c>
      <c r="C228" s="13" t="s">
        <v>25</v>
      </c>
      <c r="D228" s="13" t="s">
        <v>25</v>
      </c>
      <c r="E228" s="13" t="s">
        <v>2452</v>
      </c>
      <c r="F228" s="13" t="s">
        <v>335</v>
      </c>
    </row>
    <row r="229" spans="1:6" hidden="1" x14ac:dyDescent="0.25">
      <c r="A229" s="13" t="s">
        <v>78</v>
      </c>
      <c r="B229" s="13">
        <v>14378</v>
      </c>
      <c r="C229" s="13" t="s">
        <v>96</v>
      </c>
      <c r="D229" s="13" t="s">
        <v>96</v>
      </c>
      <c r="E229" s="13" t="s">
        <v>1599</v>
      </c>
      <c r="F229" s="13" t="s">
        <v>335</v>
      </c>
    </row>
    <row r="230" spans="1:6" hidden="1" x14ac:dyDescent="0.25">
      <c r="A230" s="13" t="s">
        <v>78</v>
      </c>
      <c r="B230" s="13">
        <v>79806</v>
      </c>
      <c r="C230" s="13" t="s">
        <v>54</v>
      </c>
      <c r="D230" s="13" t="s">
        <v>14</v>
      </c>
      <c r="E230" s="13" t="s">
        <v>2263</v>
      </c>
      <c r="F230" s="13" t="s">
        <v>335</v>
      </c>
    </row>
    <row r="231" spans="1:6" hidden="1" x14ac:dyDescent="0.25">
      <c r="A231" s="13" t="s">
        <v>78</v>
      </c>
      <c r="B231" s="13">
        <v>82787</v>
      </c>
      <c r="C231" s="13" t="s">
        <v>51</v>
      </c>
      <c r="D231" s="13" t="s">
        <v>51</v>
      </c>
      <c r="E231" s="13" t="s">
        <v>1870</v>
      </c>
      <c r="F231" s="13" t="s">
        <v>335</v>
      </c>
    </row>
    <row r="232" spans="1:6" hidden="1" x14ac:dyDescent="0.25">
      <c r="A232" s="13" t="s">
        <v>78</v>
      </c>
      <c r="B232" s="13">
        <v>79258</v>
      </c>
      <c r="C232" s="13" t="s">
        <v>398</v>
      </c>
      <c r="D232" s="13" t="s">
        <v>14</v>
      </c>
      <c r="E232" s="13" t="s">
        <v>2212</v>
      </c>
      <c r="F232" s="13" t="s">
        <v>335</v>
      </c>
    </row>
    <row r="233" spans="1:6" hidden="1" x14ac:dyDescent="0.25">
      <c r="A233" s="13" t="s">
        <v>78</v>
      </c>
      <c r="B233" s="13">
        <v>144310</v>
      </c>
      <c r="C233" s="13" t="s">
        <v>58</v>
      </c>
      <c r="D233" s="13" t="s">
        <v>58</v>
      </c>
      <c r="E233" s="13" t="s">
        <v>174</v>
      </c>
      <c r="F233" s="13" t="s">
        <v>335</v>
      </c>
    </row>
    <row r="234" spans="1:6" hidden="1" x14ac:dyDescent="0.25">
      <c r="A234" s="13" t="s">
        <v>78</v>
      </c>
      <c r="B234" s="13">
        <v>15781</v>
      </c>
      <c r="C234" s="13" t="s">
        <v>12</v>
      </c>
      <c r="D234" s="13" t="s">
        <v>12</v>
      </c>
      <c r="E234" s="13" t="s">
        <v>2564</v>
      </c>
      <c r="F234" s="13" t="s">
        <v>335</v>
      </c>
    </row>
    <row r="235" spans="1:6" hidden="1" x14ac:dyDescent="0.25">
      <c r="A235" s="13" t="s">
        <v>78</v>
      </c>
      <c r="B235" s="13">
        <v>79931</v>
      </c>
      <c r="C235" s="13" t="s">
        <v>67</v>
      </c>
      <c r="D235" s="13" t="s">
        <v>67</v>
      </c>
      <c r="E235" s="13" t="s">
        <v>2039</v>
      </c>
      <c r="F235" s="13" t="s">
        <v>335</v>
      </c>
    </row>
    <row r="236" spans="1:6" hidden="1" x14ac:dyDescent="0.25">
      <c r="A236" s="13" t="s">
        <v>21</v>
      </c>
      <c r="B236" s="13">
        <v>80783</v>
      </c>
      <c r="C236" s="13" t="s">
        <v>1879</v>
      </c>
      <c r="D236" s="13" t="s">
        <v>1879</v>
      </c>
      <c r="E236" s="13" t="s">
        <v>1898</v>
      </c>
      <c r="F236" s="13" t="s">
        <v>335</v>
      </c>
    </row>
    <row r="237" spans="1:6" hidden="1" x14ac:dyDescent="0.25">
      <c r="A237" s="13" t="s">
        <v>78</v>
      </c>
      <c r="B237" s="13">
        <v>80654</v>
      </c>
      <c r="C237" s="13" t="s">
        <v>131</v>
      </c>
      <c r="D237" s="13" t="s">
        <v>131</v>
      </c>
      <c r="E237" s="13" t="s">
        <v>2537</v>
      </c>
      <c r="F237" s="13" t="s">
        <v>335</v>
      </c>
    </row>
    <row r="238" spans="1:6" hidden="1" x14ac:dyDescent="0.25">
      <c r="A238" s="13" t="s">
        <v>78</v>
      </c>
      <c r="B238" s="13">
        <v>80828</v>
      </c>
      <c r="C238" s="13" t="s">
        <v>137</v>
      </c>
      <c r="D238" s="13" t="s">
        <v>137</v>
      </c>
      <c r="E238" s="13" t="s">
        <v>2152</v>
      </c>
      <c r="F238" s="13" t="s">
        <v>335</v>
      </c>
    </row>
    <row r="239" spans="1:6" hidden="1" x14ac:dyDescent="0.25">
      <c r="A239" s="13" t="s">
        <v>78</v>
      </c>
      <c r="B239" s="13">
        <v>80828</v>
      </c>
      <c r="C239" s="13" t="s">
        <v>137</v>
      </c>
      <c r="D239" s="13" t="s">
        <v>137</v>
      </c>
      <c r="E239" s="13" t="s">
        <v>2356</v>
      </c>
      <c r="F239" s="13" t="s">
        <v>335</v>
      </c>
    </row>
    <row r="240" spans="1:6" hidden="1" x14ac:dyDescent="0.25">
      <c r="A240" s="13" t="s">
        <v>78</v>
      </c>
      <c r="B240" s="13">
        <v>82814</v>
      </c>
      <c r="C240" s="13" t="s">
        <v>354</v>
      </c>
      <c r="D240" s="13" t="s">
        <v>64</v>
      </c>
      <c r="E240" s="13" t="s">
        <v>2087</v>
      </c>
      <c r="F240" s="13" t="s">
        <v>335</v>
      </c>
    </row>
    <row r="241" spans="1:6" hidden="1" x14ac:dyDescent="0.25">
      <c r="A241" s="13" t="s">
        <v>78</v>
      </c>
      <c r="B241" s="13">
        <v>80754</v>
      </c>
      <c r="C241" s="13" t="s">
        <v>354</v>
      </c>
      <c r="D241" s="13" t="s">
        <v>64</v>
      </c>
      <c r="E241" s="13" t="s">
        <v>2087</v>
      </c>
      <c r="F241" s="13" t="s">
        <v>335</v>
      </c>
    </row>
    <row r="242" spans="1:6" hidden="1" x14ac:dyDescent="0.25">
      <c r="A242" s="13" t="s">
        <v>78</v>
      </c>
      <c r="B242" s="13">
        <v>79329</v>
      </c>
      <c r="C242" s="13" t="s">
        <v>79</v>
      </c>
      <c r="D242" s="13" t="s">
        <v>1829</v>
      </c>
      <c r="E242" s="13" t="s">
        <v>184</v>
      </c>
      <c r="F242" s="13" t="s">
        <v>335</v>
      </c>
    </row>
    <row r="243" spans="1:6" hidden="1" x14ac:dyDescent="0.25">
      <c r="A243" s="13" t="s">
        <v>78</v>
      </c>
      <c r="B243" s="13">
        <v>16705</v>
      </c>
      <c r="C243" s="13" t="s">
        <v>36</v>
      </c>
      <c r="D243" s="13" t="s">
        <v>36</v>
      </c>
      <c r="E243" s="13" t="s">
        <v>2455</v>
      </c>
      <c r="F243" s="13" t="s">
        <v>335</v>
      </c>
    </row>
    <row r="244" spans="1:6" hidden="1" x14ac:dyDescent="0.25">
      <c r="A244" s="13" t="s">
        <v>78</v>
      </c>
      <c r="B244" s="13">
        <v>82808</v>
      </c>
      <c r="C244" s="13" t="s">
        <v>1865</v>
      </c>
      <c r="D244" s="13" t="s">
        <v>47</v>
      </c>
      <c r="E244" s="13" t="s">
        <v>1875</v>
      </c>
      <c r="F244" s="13" t="s">
        <v>335</v>
      </c>
    </row>
    <row r="245" spans="1:6" hidden="1" x14ac:dyDescent="0.25">
      <c r="A245" s="13" t="s">
        <v>78</v>
      </c>
      <c r="B245" s="13">
        <v>80227</v>
      </c>
      <c r="C245" s="13" t="s">
        <v>398</v>
      </c>
      <c r="D245" s="13" t="s">
        <v>14</v>
      </c>
      <c r="E245" s="13" t="s">
        <v>400</v>
      </c>
      <c r="F245" s="13" t="s">
        <v>335</v>
      </c>
    </row>
    <row r="246" spans="1:6" hidden="1" x14ac:dyDescent="0.25">
      <c r="A246" s="13" t="s">
        <v>78</v>
      </c>
      <c r="B246" s="13">
        <v>80375</v>
      </c>
      <c r="C246" s="13" t="s">
        <v>398</v>
      </c>
      <c r="D246" s="13" t="s">
        <v>14</v>
      </c>
      <c r="E246" s="13" t="s">
        <v>400</v>
      </c>
      <c r="F246" s="13" t="s">
        <v>335</v>
      </c>
    </row>
    <row r="247" spans="1:6" hidden="1" x14ac:dyDescent="0.25">
      <c r="A247" s="13" t="s">
        <v>78</v>
      </c>
      <c r="B247" s="13">
        <v>79460</v>
      </c>
      <c r="C247" s="13" t="s">
        <v>398</v>
      </c>
      <c r="D247" s="13" t="s">
        <v>14</v>
      </c>
      <c r="E247" s="13" t="s">
        <v>400</v>
      </c>
      <c r="F247" s="13" t="s">
        <v>335</v>
      </c>
    </row>
    <row r="248" spans="1:6" hidden="1" x14ac:dyDescent="0.25">
      <c r="A248" s="13" t="s">
        <v>78</v>
      </c>
      <c r="B248" s="13">
        <v>79455</v>
      </c>
      <c r="C248" s="13" t="s">
        <v>398</v>
      </c>
      <c r="D248" s="13" t="s">
        <v>14</v>
      </c>
      <c r="E248" s="13" t="s">
        <v>400</v>
      </c>
      <c r="F248" s="13" t="s">
        <v>335</v>
      </c>
    </row>
    <row r="249" spans="1:6" hidden="1" x14ac:dyDescent="0.25">
      <c r="A249" s="13" t="s">
        <v>78</v>
      </c>
      <c r="B249" s="13">
        <v>79459</v>
      </c>
      <c r="C249" s="13" t="s">
        <v>398</v>
      </c>
      <c r="D249" s="13" t="s">
        <v>14</v>
      </c>
      <c r="E249" s="13" t="s">
        <v>400</v>
      </c>
      <c r="F249" s="13" t="s">
        <v>335</v>
      </c>
    </row>
    <row r="250" spans="1:6" hidden="1" x14ac:dyDescent="0.25">
      <c r="A250" s="13" t="s">
        <v>78</v>
      </c>
      <c r="B250" s="13">
        <v>79985</v>
      </c>
      <c r="C250" s="13" t="s">
        <v>398</v>
      </c>
      <c r="D250" s="13" t="s">
        <v>14</v>
      </c>
      <c r="E250" s="13" t="s">
        <v>400</v>
      </c>
      <c r="F250" s="13" t="s">
        <v>335</v>
      </c>
    </row>
    <row r="251" spans="1:6" hidden="1" x14ac:dyDescent="0.25">
      <c r="A251" s="13" t="s">
        <v>78</v>
      </c>
      <c r="B251" s="13">
        <v>80418</v>
      </c>
      <c r="C251" s="13" t="s">
        <v>398</v>
      </c>
      <c r="D251" s="13" t="s">
        <v>14</v>
      </c>
      <c r="E251" s="13" t="s">
        <v>400</v>
      </c>
      <c r="F251" s="13" t="s">
        <v>335</v>
      </c>
    </row>
    <row r="252" spans="1:6" hidden="1" x14ac:dyDescent="0.25">
      <c r="A252" s="13" t="s">
        <v>78</v>
      </c>
      <c r="B252" s="13">
        <v>79453</v>
      </c>
      <c r="C252" s="13" t="s">
        <v>398</v>
      </c>
      <c r="D252" s="13" t="s">
        <v>14</v>
      </c>
      <c r="E252" s="13" t="s">
        <v>400</v>
      </c>
      <c r="F252" s="13" t="s">
        <v>335</v>
      </c>
    </row>
    <row r="253" spans="1:6" hidden="1" x14ac:dyDescent="0.25">
      <c r="A253" s="13" t="s">
        <v>78</v>
      </c>
      <c r="B253" s="13">
        <v>79463</v>
      </c>
      <c r="C253" s="13" t="s">
        <v>398</v>
      </c>
      <c r="D253" s="13" t="s">
        <v>14</v>
      </c>
      <c r="E253" s="13" t="s">
        <v>400</v>
      </c>
      <c r="F253" s="13" t="s">
        <v>335</v>
      </c>
    </row>
    <row r="254" spans="1:6" hidden="1" x14ac:dyDescent="0.25">
      <c r="A254" s="13" t="s">
        <v>78</v>
      </c>
      <c r="B254" s="13">
        <v>80377</v>
      </c>
      <c r="C254" s="13" t="s">
        <v>54</v>
      </c>
      <c r="D254" s="13" t="s">
        <v>14</v>
      </c>
      <c r="E254" s="13" t="s">
        <v>400</v>
      </c>
      <c r="F254" s="13" t="s">
        <v>335</v>
      </c>
    </row>
    <row r="255" spans="1:6" hidden="1" x14ac:dyDescent="0.25">
      <c r="A255" s="13" t="s">
        <v>78</v>
      </c>
      <c r="B255" s="13">
        <v>14479</v>
      </c>
      <c r="C255" s="13" t="s">
        <v>24</v>
      </c>
      <c r="D255" s="13" t="s">
        <v>24</v>
      </c>
      <c r="E255" s="13" t="s">
        <v>358</v>
      </c>
      <c r="F255" s="13" t="s">
        <v>335</v>
      </c>
    </row>
    <row r="256" spans="1:6" hidden="1" x14ac:dyDescent="0.25">
      <c r="A256" s="13" t="s">
        <v>78</v>
      </c>
      <c r="B256" s="13">
        <v>82790</v>
      </c>
      <c r="C256" s="13" t="s">
        <v>2608</v>
      </c>
      <c r="D256" s="13" t="s">
        <v>52</v>
      </c>
      <c r="E256" s="13" t="s">
        <v>2092</v>
      </c>
      <c r="F256" s="13" t="s">
        <v>335</v>
      </c>
    </row>
    <row r="257" spans="1:6" hidden="1" x14ac:dyDescent="0.25">
      <c r="A257" s="13" t="s">
        <v>21</v>
      </c>
      <c r="B257" s="13">
        <v>82790</v>
      </c>
      <c r="C257" s="13" t="s">
        <v>2608</v>
      </c>
      <c r="D257" s="13" t="s">
        <v>52</v>
      </c>
      <c r="E257" s="13" t="s">
        <v>2092</v>
      </c>
      <c r="F257" s="13" t="s">
        <v>335</v>
      </c>
    </row>
    <row r="258" spans="1:6" hidden="1" x14ac:dyDescent="0.25">
      <c r="A258" s="13" t="s">
        <v>21</v>
      </c>
      <c r="B258" s="13">
        <v>83023</v>
      </c>
      <c r="C258" s="13" t="s">
        <v>2288</v>
      </c>
      <c r="D258" s="13" t="s">
        <v>52</v>
      </c>
      <c r="E258" s="13" t="s">
        <v>2092</v>
      </c>
      <c r="F258" s="13" t="s">
        <v>335</v>
      </c>
    </row>
    <row r="259" spans="1:6" hidden="1" x14ac:dyDescent="0.25">
      <c r="A259" s="13" t="s">
        <v>78</v>
      </c>
      <c r="B259" s="13">
        <v>83023</v>
      </c>
      <c r="C259" s="13" t="s">
        <v>2288</v>
      </c>
      <c r="D259" s="13" t="s">
        <v>52</v>
      </c>
      <c r="E259" s="13" t="s">
        <v>2092</v>
      </c>
      <c r="F259" s="13" t="s">
        <v>335</v>
      </c>
    </row>
    <row r="260" spans="1:6" hidden="1" x14ac:dyDescent="0.25">
      <c r="A260" s="13" t="s">
        <v>21</v>
      </c>
      <c r="B260" s="13">
        <v>82980</v>
      </c>
      <c r="C260" s="13" t="s">
        <v>2091</v>
      </c>
      <c r="D260" s="13"/>
      <c r="E260" s="13" t="s">
        <v>2092</v>
      </c>
      <c r="F260" s="13" t="s">
        <v>335</v>
      </c>
    </row>
    <row r="261" spans="1:6" hidden="1" x14ac:dyDescent="0.25">
      <c r="A261" s="13" t="s">
        <v>21</v>
      </c>
      <c r="B261" s="13">
        <v>83006</v>
      </c>
      <c r="C261" s="13" t="s">
        <v>2091</v>
      </c>
      <c r="D261" s="13" t="s">
        <v>52</v>
      </c>
      <c r="E261" s="13" t="s">
        <v>2092</v>
      </c>
      <c r="F261" s="13" t="s">
        <v>335</v>
      </c>
    </row>
    <row r="262" spans="1:6" hidden="1" x14ac:dyDescent="0.25">
      <c r="A262" s="13" t="s">
        <v>78</v>
      </c>
      <c r="B262" s="13">
        <v>12413</v>
      </c>
      <c r="C262" s="13" t="s">
        <v>51</v>
      </c>
      <c r="D262" s="13" t="s">
        <v>51</v>
      </c>
      <c r="E262" s="13" t="s">
        <v>473</v>
      </c>
      <c r="F262" s="13" t="s">
        <v>335</v>
      </c>
    </row>
    <row r="263" spans="1:6" hidden="1" x14ac:dyDescent="0.25">
      <c r="A263" s="13" t="s">
        <v>78</v>
      </c>
      <c r="B263" s="13">
        <v>83074</v>
      </c>
      <c r="C263" s="13" t="s">
        <v>2426</v>
      </c>
      <c r="D263" s="13" t="s">
        <v>2426</v>
      </c>
      <c r="E263" s="13" t="s">
        <v>2427</v>
      </c>
      <c r="F263" s="13" t="s">
        <v>335</v>
      </c>
    </row>
    <row r="264" spans="1:6" hidden="1" x14ac:dyDescent="0.25">
      <c r="A264" s="13" t="s">
        <v>21</v>
      </c>
      <c r="B264" s="13">
        <v>83074</v>
      </c>
      <c r="C264" s="13" t="s">
        <v>2426</v>
      </c>
      <c r="D264" s="13" t="s">
        <v>2426</v>
      </c>
      <c r="E264" s="13" t="s">
        <v>2427</v>
      </c>
      <c r="F264" s="13" t="s">
        <v>335</v>
      </c>
    </row>
    <row r="265" spans="1:6" hidden="1" x14ac:dyDescent="0.25">
      <c r="A265" s="13" t="s">
        <v>78</v>
      </c>
      <c r="B265" s="13">
        <v>83073</v>
      </c>
      <c r="C265" s="13" t="s">
        <v>2426</v>
      </c>
      <c r="D265" s="13" t="s">
        <v>2426</v>
      </c>
      <c r="E265" s="13" t="s">
        <v>2427</v>
      </c>
      <c r="F265" s="13" t="s">
        <v>335</v>
      </c>
    </row>
    <row r="266" spans="1:6" hidden="1" x14ac:dyDescent="0.25">
      <c r="A266" s="13" t="s">
        <v>21</v>
      </c>
      <c r="B266" s="13">
        <v>83073</v>
      </c>
      <c r="C266" s="13" t="s">
        <v>2426</v>
      </c>
      <c r="D266" s="13" t="s">
        <v>2426</v>
      </c>
      <c r="E266" s="13" t="s">
        <v>2427</v>
      </c>
      <c r="F266" s="13" t="s">
        <v>335</v>
      </c>
    </row>
    <row r="267" spans="1:6" hidden="1" x14ac:dyDescent="0.25">
      <c r="A267" s="13" t="s">
        <v>21</v>
      </c>
      <c r="B267" s="13">
        <v>83118</v>
      </c>
      <c r="C267" s="13" t="s">
        <v>2426</v>
      </c>
      <c r="D267" s="13" t="s">
        <v>2426</v>
      </c>
      <c r="E267" s="13" t="s">
        <v>2427</v>
      </c>
      <c r="F267" s="13" t="s">
        <v>335</v>
      </c>
    </row>
    <row r="268" spans="1:6" hidden="1" x14ac:dyDescent="0.25">
      <c r="A268" s="13" t="s">
        <v>78</v>
      </c>
      <c r="B268" s="13">
        <v>83118</v>
      </c>
      <c r="C268" s="13" t="s">
        <v>2426</v>
      </c>
      <c r="D268" s="13" t="s">
        <v>2426</v>
      </c>
      <c r="E268" s="13" t="s">
        <v>2427</v>
      </c>
      <c r="F268" s="13" t="s">
        <v>335</v>
      </c>
    </row>
    <row r="269" spans="1:6" hidden="1" x14ac:dyDescent="0.25">
      <c r="A269" s="13" t="s">
        <v>78</v>
      </c>
      <c r="B269" s="13">
        <v>83119</v>
      </c>
      <c r="C269" s="13" t="s">
        <v>2426</v>
      </c>
      <c r="D269" s="13" t="s">
        <v>2426</v>
      </c>
      <c r="E269" s="13" t="s">
        <v>2427</v>
      </c>
      <c r="F269" s="13" t="s">
        <v>335</v>
      </c>
    </row>
    <row r="270" spans="1:6" hidden="1" x14ac:dyDescent="0.25">
      <c r="A270" s="13" t="s">
        <v>21</v>
      </c>
      <c r="B270" s="13">
        <v>83119</v>
      </c>
      <c r="C270" s="13" t="s">
        <v>2426</v>
      </c>
      <c r="D270" s="13" t="s">
        <v>2426</v>
      </c>
      <c r="E270" s="13" t="s">
        <v>2427</v>
      </c>
      <c r="F270" s="13" t="s">
        <v>335</v>
      </c>
    </row>
    <row r="271" spans="1:6" hidden="1" x14ac:dyDescent="0.25">
      <c r="A271" s="13" t="s">
        <v>21</v>
      </c>
      <c r="B271" s="13">
        <v>81693</v>
      </c>
      <c r="C271" s="13" t="s">
        <v>75</v>
      </c>
      <c r="D271" s="13" t="s">
        <v>75</v>
      </c>
      <c r="E271" s="13" t="s">
        <v>373</v>
      </c>
      <c r="F271" s="13" t="s">
        <v>335</v>
      </c>
    </row>
    <row r="272" spans="1:6" hidden="1" x14ac:dyDescent="0.25">
      <c r="A272" s="13" t="s">
        <v>78</v>
      </c>
      <c r="B272" s="13">
        <v>81693</v>
      </c>
      <c r="C272" s="13" t="s">
        <v>75</v>
      </c>
      <c r="D272" s="13" t="s">
        <v>75</v>
      </c>
      <c r="E272" s="13" t="s">
        <v>373</v>
      </c>
      <c r="F272" s="13" t="s">
        <v>335</v>
      </c>
    </row>
    <row r="273" spans="1:6" hidden="1" x14ac:dyDescent="0.25">
      <c r="A273" s="13" t="s">
        <v>21</v>
      </c>
      <c r="B273" s="13">
        <v>80347</v>
      </c>
      <c r="C273" s="13" t="s">
        <v>75</v>
      </c>
      <c r="D273" s="13" t="s">
        <v>75</v>
      </c>
      <c r="E273" s="13" t="s">
        <v>373</v>
      </c>
      <c r="F273" s="13" t="s">
        <v>335</v>
      </c>
    </row>
    <row r="274" spans="1:6" hidden="1" x14ac:dyDescent="0.25">
      <c r="A274" s="13" t="s">
        <v>78</v>
      </c>
      <c r="B274" s="13">
        <v>80347</v>
      </c>
      <c r="C274" s="13" t="s">
        <v>75</v>
      </c>
      <c r="D274" s="13" t="s">
        <v>75</v>
      </c>
      <c r="E274" s="13" t="s">
        <v>373</v>
      </c>
      <c r="F274" s="13" t="s">
        <v>335</v>
      </c>
    </row>
    <row r="275" spans="1:6" hidden="1" x14ac:dyDescent="0.25">
      <c r="A275" s="13" t="s">
        <v>78</v>
      </c>
      <c r="B275" s="13">
        <v>441000</v>
      </c>
      <c r="C275" s="13" t="s">
        <v>99</v>
      </c>
      <c r="D275" s="13" t="s">
        <v>99</v>
      </c>
      <c r="E275" s="13" t="s">
        <v>162</v>
      </c>
      <c r="F275" s="13" t="s">
        <v>335</v>
      </c>
    </row>
    <row r="276" spans="1:6" hidden="1" x14ac:dyDescent="0.25">
      <c r="A276" s="13" t="s">
        <v>78</v>
      </c>
      <c r="B276" s="13">
        <v>81972</v>
      </c>
      <c r="C276" s="13" t="s">
        <v>99</v>
      </c>
      <c r="D276" s="13" t="s">
        <v>99</v>
      </c>
      <c r="E276" s="13" t="s">
        <v>162</v>
      </c>
      <c r="F276" s="13" t="s">
        <v>335</v>
      </c>
    </row>
    <row r="277" spans="1:6" hidden="1" x14ac:dyDescent="0.25">
      <c r="A277" s="13" t="s">
        <v>78</v>
      </c>
      <c r="B277" s="13">
        <v>80250</v>
      </c>
      <c r="C277" s="13" t="s">
        <v>2603</v>
      </c>
      <c r="D277" s="13" t="s">
        <v>104</v>
      </c>
      <c r="E277" s="13" t="s">
        <v>162</v>
      </c>
      <c r="F277" s="13" t="s">
        <v>335</v>
      </c>
    </row>
    <row r="278" spans="1:6" hidden="1" x14ac:dyDescent="0.25">
      <c r="A278" s="13" t="s">
        <v>21</v>
      </c>
      <c r="B278" s="13">
        <v>82748</v>
      </c>
      <c r="C278" s="13" t="s">
        <v>2175</v>
      </c>
      <c r="D278" s="13" t="s">
        <v>2175</v>
      </c>
      <c r="E278" s="13" t="s">
        <v>265</v>
      </c>
      <c r="F278" s="13" t="s">
        <v>335</v>
      </c>
    </row>
    <row r="279" spans="1:6" hidden="1" x14ac:dyDescent="0.25">
      <c r="A279" s="13" t="s">
        <v>78</v>
      </c>
      <c r="B279" s="13">
        <v>82748</v>
      </c>
      <c r="C279" s="13" t="s">
        <v>2175</v>
      </c>
      <c r="D279" s="13" t="s">
        <v>2175</v>
      </c>
      <c r="E279" s="13" t="s">
        <v>265</v>
      </c>
      <c r="F279" s="13" t="s">
        <v>335</v>
      </c>
    </row>
    <row r="280" spans="1:6" hidden="1" x14ac:dyDescent="0.25">
      <c r="A280" s="13" t="s">
        <v>21</v>
      </c>
      <c r="B280" s="13">
        <v>80217</v>
      </c>
      <c r="C280" s="13" t="s">
        <v>42</v>
      </c>
      <c r="D280" s="13" t="s">
        <v>42</v>
      </c>
      <c r="E280" s="13" t="s">
        <v>2630</v>
      </c>
      <c r="F280" s="13" t="s">
        <v>335</v>
      </c>
    </row>
    <row r="281" spans="1:6" hidden="1" x14ac:dyDescent="0.25">
      <c r="A281" s="13" t="s">
        <v>78</v>
      </c>
      <c r="B281" s="13">
        <v>82807</v>
      </c>
      <c r="C281" s="13" t="s">
        <v>2047</v>
      </c>
      <c r="D281" s="13" t="s">
        <v>24</v>
      </c>
      <c r="E281" s="13" t="s">
        <v>2048</v>
      </c>
      <c r="F281" s="13" t="s">
        <v>335</v>
      </c>
    </row>
    <row r="282" spans="1:6" hidden="1" x14ac:dyDescent="0.25">
      <c r="A282" s="13" t="s">
        <v>78</v>
      </c>
      <c r="B282" s="13">
        <v>15781</v>
      </c>
      <c r="C282" s="13" t="s">
        <v>12</v>
      </c>
      <c r="D282" s="13" t="s">
        <v>12</v>
      </c>
      <c r="E282" s="13" t="s">
        <v>2223</v>
      </c>
      <c r="F282" s="13" t="s">
        <v>335</v>
      </c>
    </row>
    <row r="283" spans="1:6" hidden="1" x14ac:dyDescent="0.25">
      <c r="A283" s="13" t="s">
        <v>78</v>
      </c>
      <c r="B283" s="13">
        <v>80441</v>
      </c>
      <c r="C283" s="13" t="s">
        <v>122</v>
      </c>
      <c r="D283" s="13" t="s">
        <v>125</v>
      </c>
      <c r="E283" s="13" t="s">
        <v>2223</v>
      </c>
      <c r="F283" s="13" t="s">
        <v>335</v>
      </c>
    </row>
    <row r="284" spans="1:6" hidden="1" x14ac:dyDescent="0.25">
      <c r="A284" s="13" t="s">
        <v>78</v>
      </c>
      <c r="B284" s="13">
        <v>82708</v>
      </c>
      <c r="C284" s="13" t="s">
        <v>55</v>
      </c>
      <c r="D284" s="13" t="s">
        <v>55</v>
      </c>
      <c r="E284" s="13" t="s">
        <v>2346</v>
      </c>
      <c r="F284" s="13" t="s">
        <v>335</v>
      </c>
    </row>
    <row r="285" spans="1:6" hidden="1" x14ac:dyDescent="0.25">
      <c r="A285" s="13" t="s">
        <v>78</v>
      </c>
      <c r="B285" s="13">
        <v>83114</v>
      </c>
      <c r="C285" s="13" t="s">
        <v>2487</v>
      </c>
      <c r="D285" s="13" t="s">
        <v>2487</v>
      </c>
      <c r="E285" s="13" t="s">
        <v>2488</v>
      </c>
      <c r="F285" s="13" t="s">
        <v>335</v>
      </c>
    </row>
    <row r="286" spans="1:6" hidden="1" x14ac:dyDescent="0.25">
      <c r="A286" s="13" t="s">
        <v>78</v>
      </c>
      <c r="B286" s="13">
        <v>80397</v>
      </c>
      <c r="C286" s="13" t="s">
        <v>119</v>
      </c>
      <c r="D286" s="13" t="s">
        <v>119</v>
      </c>
      <c r="E286" s="13" t="s">
        <v>148</v>
      </c>
      <c r="F286" s="13" t="s">
        <v>335</v>
      </c>
    </row>
    <row r="287" spans="1:6" hidden="1" x14ac:dyDescent="0.25">
      <c r="A287" s="13" t="s">
        <v>21</v>
      </c>
      <c r="B287" s="13">
        <v>80397</v>
      </c>
      <c r="C287" s="13" t="s">
        <v>119</v>
      </c>
      <c r="D287" s="13" t="s">
        <v>119</v>
      </c>
      <c r="E287" s="13" t="s">
        <v>148</v>
      </c>
      <c r="F287" s="13" t="s">
        <v>335</v>
      </c>
    </row>
    <row r="288" spans="1:6" hidden="1" x14ac:dyDescent="0.25">
      <c r="A288" s="13" t="s">
        <v>78</v>
      </c>
      <c r="B288" s="13">
        <v>81767</v>
      </c>
      <c r="C288" s="13" t="s">
        <v>2445</v>
      </c>
      <c r="D288" s="13" t="s">
        <v>2445</v>
      </c>
      <c r="E288" s="13" t="s">
        <v>264</v>
      </c>
      <c r="F288" s="13" t="s">
        <v>335</v>
      </c>
    </row>
    <row r="289" spans="1:6" hidden="1" x14ac:dyDescent="0.25">
      <c r="A289" s="13" t="s">
        <v>78</v>
      </c>
      <c r="B289" s="13">
        <v>80320</v>
      </c>
      <c r="C289" s="13" t="s">
        <v>1807</v>
      </c>
      <c r="D289" s="13" t="s">
        <v>1808</v>
      </c>
      <c r="E289" s="13" t="s">
        <v>2633</v>
      </c>
      <c r="F289" s="13" t="s">
        <v>335</v>
      </c>
    </row>
    <row r="290" spans="1:6" hidden="1" x14ac:dyDescent="0.25">
      <c r="A290" s="13" t="s">
        <v>78</v>
      </c>
      <c r="B290" s="13">
        <v>80322</v>
      </c>
      <c r="C290" s="13" t="s">
        <v>1807</v>
      </c>
      <c r="D290" s="13" t="s">
        <v>1808</v>
      </c>
      <c r="E290" s="13" t="s">
        <v>2633</v>
      </c>
      <c r="F290" s="13" t="s">
        <v>335</v>
      </c>
    </row>
    <row r="291" spans="1:6" hidden="1" x14ac:dyDescent="0.25">
      <c r="A291" s="13" t="s">
        <v>78</v>
      </c>
      <c r="B291" s="13">
        <v>83023</v>
      </c>
      <c r="C291" s="13" t="s">
        <v>2288</v>
      </c>
      <c r="D291" s="13" t="s">
        <v>52</v>
      </c>
      <c r="E291" s="13" t="s">
        <v>2301</v>
      </c>
      <c r="F291" s="13" t="s">
        <v>335</v>
      </c>
    </row>
    <row r="292" spans="1:6" hidden="1" x14ac:dyDescent="0.25">
      <c r="A292" s="13" t="s">
        <v>78</v>
      </c>
      <c r="B292" s="13">
        <v>82968</v>
      </c>
      <c r="C292" s="13" t="s">
        <v>50</v>
      </c>
      <c r="D292" s="13" t="s">
        <v>297</v>
      </c>
      <c r="E292" s="13" t="s">
        <v>2318</v>
      </c>
      <c r="F292" s="13" t="s">
        <v>335</v>
      </c>
    </row>
    <row r="293" spans="1:6" hidden="1" x14ac:dyDescent="0.25">
      <c r="A293" s="13" t="s">
        <v>21</v>
      </c>
      <c r="B293" s="13">
        <v>83061</v>
      </c>
      <c r="C293" s="13" t="s">
        <v>2420</v>
      </c>
      <c r="D293" s="13" t="s">
        <v>2421</v>
      </c>
      <c r="E293" s="13" t="s">
        <v>2423</v>
      </c>
      <c r="F293" s="13" t="s">
        <v>335</v>
      </c>
    </row>
    <row r="294" spans="1:6" hidden="1" x14ac:dyDescent="0.25">
      <c r="A294" s="13" t="s">
        <v>78</v>
      </c>
      <c r="B294" s="13">
        <v>83063</v>
      </c>
      <c r="C294" s="13" t="s">
        <v>2420</v>
      </c>
      <c r="D294" s="13" t="s">
        <v>2421</v>
      </c>
      <c r="E294" s="13" t="s">
        <v>2423</v>
      </c>
      <c r="F294" s="13" t="s">
        <v>335</v>
      </c>
    </row>
    <row r="295" spans="1:6" hidden="1" x14ac:dyDescent="0.25">
      <c r="A295" s="13" t="s">
        <v>78</v>
      </c>
      <c r="B295" s="13">
        <v>83067</v>
      </c>
      <c r="C295" s="13" t="s">
        <v>2420</v>
      </c>
      <c r="D295" s="13" t="s">
        <v>2421</v>
      </c>
      <c r="E295" s="13" t="s">
        <v>2423</v>
      </c>
      <c r="F295" s="13" t="s">
        <v>335</v>
      </c>
    </row>
    <row r="296" spans="1:6" hidden="1" x14ac:dyDescent="0.25">
      <c r="A296" s="13" t="s">
        <v>78</v>
      </c>
      <c r="B296" s="13">
        <v>82407</v>
      </c>
      <c r="C296" s="13" t="s">
        <v>1926</v>
      </c>
      <c r="D296" s="13" t="s">
        <v>1886</v>
      </c>
      <c r="E296" s="13" t="s">
        <v>1956</v>
      </c>
      <c r="F296" s="13" t="s">
        <v>335</v>
      </c>
    </row>
    <row r="297" spans="1:6" hidden="1" x14ac:dyDescent="0.25">
      <c r="A297" s="13" t="s">
        <v>78</v>
      </c>
      <c r="B297" s="13">
        <v>82706</v>
      </c>
      <c r="C297" s="13" t="s">
        <v>1926</v>
      </c>
      <c r="D297" s="13" t="s">
        <v>1886</v>
      </c>
      <c r="E297" s="13" t="s">
        <v>1956</v>
      </c>
      <c r="F297" s="13" t="s">
        <v>335</v>
      </c>
    </row>
    <row r="298" spans="1:6" hidden="1" x14ac:dyDescent="0.25">
      <c r="A298" s="13" t="s">
        <v>78</v>
      </c>
      <c r="B298" s="13">
        <v>82920</v>
      </c>
      <c r="C298" s="13" t="s">
        <v>1926</v>
      </c>
      <c r="D298" s="13" t="s">
        <v>1926</v>
      </c>
      <c r="E298" s="13" t="s">
        <v>1956</v>
      </c>
      <c r="F298" s="13" t="s">
        <v>335</v>
      </c>
    </row>
    <row r="299" spans="1:6" hidden="1" x14ac:dyDescent="0.25">
      <c r="A299" s="13" t="s">
        <v>78</v>
      </c>
      <c r="B299" s="13">
        <v>82707</v>
      </c>
      <c r="C299" s="13" t="s">
        <v>1926</v>
      </c>
      <c r="D299" s="13" t="s">
        <v>1886</v>
      </c>
      <c r="E299" s="13" t="s">
        <v>1956</v>
      </c>
      <c r="F299" s="13" t="s">
        <v>335</v>
      </c>
    </row>
    <row r="300" spans="1:6" hidden="1" x14ac:dyDescent="0.25">
      <c r="A300" s="13" t="s">
        <v>78</v>
      </c>
      <c r="B300" s="13">
        <v>15501</v>
      </c>
      <c r="C300" s="13" t="s">
        <v>9</v>
      </c>
      <c r="D300" s="13" t="s">
        <v>9</v>
      </c>
      <c r="E300" s="13" t="s">
        <v>154</v>
      </c>
      <c r="F300" s="13" t="s">
        <v>335</v>
      </c>
    </row>
    <row r="301" spans="1:6" hidden="1" x14ac:dyDescent="0.25">
      <c r="A301" s="13" t="s">
        <v>78</v>
      </c>
      <c r="B301" s="13">
        <v>79354</v>
      </c>
      <c r="C301" s="13" t="s">
        <v>2305</v>
      </c>
      <c r="D301" s="13" t="s">
        <v>2305</v>
      </c>
      <c r="E301" s="13" t="s">
        <v>154</v>
      </c>
      <c r="F301" s="13" t="s">
        <v>335</v>
      </c>
    </row>
    <row r="302" spans="1:6" hidden="1" x14ac:dyDescent="0.25">
      <c r="A302" s="13" t="s">
        <v>78</v>
      </c>
      <c r="B302" s="13">
        <v>79602</v>
      </c>
      <c r="C302" s="13" t="s">
        <v>63</v>
      </c>
      <c r="D302" s="13" t="s">
        <v>85</v>
      </c>
      <c r="E302" s="13" t="s">
        <v>2276</v>
      </c>
      <c r="F302" s="13" t="s">
        <v>335</v>
      </c>
    </row>
    <row r="303" spans="1:6" hidden="1" x14ac:dyDescent="0.25">
      <c r="A303" s="13" t="s">
        <v>78</v>
      </c>
      <c r="B303" s="13">
        <v>79449</v>
      </c>
      <c r="C303" s="13" t="s">
        <v>83</v>
      </c>
      <c r="D303" s="13" t="s">
        <v>83</v>
      </c>
      <c r="E303" s="13" t="s">
        <v>2482</v>
      </c>
      <c r="F303" s="13" t="s">
        <v>335</v>
      </c>
    </row>
    <row r="304" spans="1:6" hidden="1" x14ac:dyDescent="0.25">
      <c r="A304" s="13" t="s">
        <v>21</v>
      </c>
      <c r="B304" s="13">
        <v>83006</v>
      </c>
      <c r="C304" s="13" t="s">
        <v>2091</v>
      </c>
      <c r="D304" s="13" t="s">
        <v>52</v>
      </c>
      <c r="E304" s="13" t="s">
        <v>2326</v>
      </c>
      <c r="F304" s="13" t="s">
        <v>335</v>
      </c>
    </row>
    <row r="305" spans="1:6" hidden="1" x14ac:dyDescent="0.25">
      <c r="A305" s="13" t="s">
        <v>21</v>
      </c>
      <c r="B305" s="13">
        <v>82790</v>
      </c>
      <c r="C305" s="13" t="s">
        <v>2608</v>
      </c>
      <c r="D305" s="13" t="s">
        <v>52</v>
      </c>
      <c r="E305" s="13" t="s">
        <v>2632</v>
      </c>
      <c r="F305" s="13" t="s">
        <v>335</v>
      </c>
    </row>
    <row r="306" spans="1:6" hidden="1" x14ac:dyDescent="0.25">
      <c r="A306" s="13" t="s">
        <v>78</v>
      </c>
      <c r="B306" s="13">
        <v>80386</v>
      </c>
      <c r="C306" s="13" t="s">
        <v>77</v>
      </c>
      <c r="D306" s="13" t="s">
        <v>77</v>
      </c>
      <c r="E306" s="13" t="s">
        <v>233</v>
      </c>
      <c r="F306" s="13" t="s">
        <v>335</v>
      </c>
    </row>
    <row r="307" spans="1:6" hidden="1" x14ac:dyDescent="0.25">
      <c r="A307" s="13" t="s">
        <v>21</v>
      </c>
      <c r="B307" s="13">
        <v>80386</v>
      </c>
      <c r="C307" s="13" t="s">
        <v>77</v>
      </c>
      <c r="D307" s="13" t="s">
        <v>77</v>
      </c>
      <c r="E307" s="13" t="s">
        <v>233</v>
      </c>
      <c r="F307" s="13" t="s">
        <v>335</v>
      </c>
    </row>
    <row r="308" spans="1:6" hidden="1" x14ac:dyDescent="0.25">
      <c r="A308" s="13" t="s">
        <v>78</v>
      </c>
      <c r="B308" s="13">
        <v>79407</v>
      </c>
      <c r="C308" s="13" t="s">
        <v>64</v>
      </c>
      <c r="D308" s="13" t="s">
        <v>64</v>
      </c>
      <c r="E308" s="13" t="s">
        <v>178</v>
      </c>
      <c r="F308" s="13" t="s">
        <v>335</v>
      </c>
    </row>
    <row r="309" spans="1:6" hidden="1" x14ac:dyDescent="0.25">
      <c r="A309" s="13" t="s">
        <v>78</v>
      </c>
      <c r="B309" s="13">
        <v>79386</v>
      </c>
      <c r="C309" s="13" t="s">
        <v>1814</v>
      </c>
      <c r="D309" s="13" t="s">
        <v>26</v>
      </c>
      <c r="E309" s="13" t="s">
        <v>178</v>
      </c>
      <c r="F309" s="13" t="s">
        <v>335</v>
      </c>
    </row>
    <row r="310" spans="1:6" hidden="1" x14ac:dyDescent="0.25">
      <c r="A310" s="13" t="s">
        <v>21</v>
      </c>
      <c r="B310" s="13">
        <v>81738</v>
      </c>
      <c r="C310" s="13" t="s">
        <v>1814</v>
      </c>
      <c r="D310" s="13" t="s">
        <v>26</v>
      </c>
      <c r="E310" s="13" t="s">
        <v>178</v>
      </c>
      <c r="F310" s="13" t="s">
        <v>335</v>
      </c>
    </row>
    <row r="311" spans="1:6" hidden="1" x14ac:dyDescent="0.25">
      <c r="A311" s="13" t="s">
        <v>21</v>
      </c>
      <c r="B311" s="13">
        <v>79386</v>
      </c>
      <c r="C311" s="13" t="s">
        <v>1814</v>
      </c>
      <c r="D311" s="13" t="s">
        <v>26</v>
      </c>
      <c r="E311" s="13" t="s">
        <v>178</v>
      </c>
      <c r="F311" s="13" t="s">
        <v>335</v>
      </c>
    </row>
    <row r="312" spans="1:6" hidden="1" x14ac:dyDescent="0.25">
      <c r="A312" s="13" t="s">
        <v>78</v>
      </c>
      <c r="B312" s="13">
        <v>81738</v>
      </c>
      <c r="C312" s="13" t="s">
        <v>1814</v>
      </c>
      <c r="D312" s="13" t="s">
        <v>26</v>
      </c>
      <c r="E312" s="13" t="s">
        <v>178</v>
      </c>
      <c r="F312" s="13" t="s">
        <v>335</v>
      </c>
    </row>
    <row r="313" spans="1:6" hidden="1" x14ac:dyDescent="0.25">
      <c r="A313" s="13" t="s">
        <v>78</v>
      </c>
      <c r="B313" s="13">
        <v>80064</v>
      </c>
      <c r="C313" s="13" t="s">
        <v>2095</v>
      </c>
      <c r="D313" s="13" t="s">
        <v>26</v>
      </c>
      <c r="E313" s="13" t="s">
        <v>178</v>
      </c>
      <c r="F313" s="13" t="s">
        <v>335</v>
      </c>
    </row>
    <row r="314" spans="1:6" hidden="1" x14ac:dyDescent="0.25">
      <c r="A314" s="13" t="s">
        <v>78</v>
      </c>
      <c r="B314" s="13">
        <v>80753</v>
      </c>
      <c r="C314" s="13" t="s">
        <v>354</v>
      </c>
      <c r="D314" s="13" t="s">
        <v>64</v>
      </c>
      <c r="E314" s="13" t="s">
        <v>178</v>
      </c>
      <c r="F314" s="13" t="s">
        <v>335</v>
      </c>
    </row>
    <row r="315" spans="1:6" hidden="1" x14ac:dyDescent="0.25">
      <c r="A315" s="13" t="s">
        <v>78</v>
      </c>
      <c r="B315" s="13">
        <v>82814</v>
      </c>
      <c r="C315" s="13" t="s">
        <v>354</v>
      </c>
      <c r="D315" s="13" t="s">
        <v>64</v>
      </c>
      <c r="E315" s="13" t="s">
        <v>178</v>
      </c>
      <c r="F315" s="13" t="s">
        <v>335</v>
      </c>
    </row>
    <row r="316" spans="1:6" hidden="1" x14ac:dyDescent="0.25">
      <c r="A316" s="13" t="s">
        <v>21</v>
      </c>
      <c r="B316" s="13">
        <v>82814</v>
      </c>
      <c r="C316" s="13" t="s">
        <v>354</v>
      </c>
      <c r="D316" s="13" t="s">
        <v>64</v>
      </c>
      <c r="E316" s="13" t="s">
        <v>178</v>
      </c>
      <c r="F316" s="13" t="s">
        <v>335</v>
      </c>
    </row>
    <row r="317" spans="1:6" hidden="1" x14ac:dyDescent="0.25">
      <c r="A317" s="13" t="s">
        <v>78</v>
      </c>
      <c r="B317" s="13">
        <v>80754</v>
      </c>
      <c r="C317" s="13" t="s">
        <v>354</v>
      </c>
      <c r="D317" s="13" t="s">
        <v>64</v>
      </c>
      <c r="E317" s="13" t="s">
        <v>178</v>
      </c>
      <c r="F317" s="13" t="s">
        <v>335</v>
      </c>
    </row>
    <row r="318" spans="1:6" hidden="1" x14ac:dyDescent="0.25">
      <c r="A318" s="13" t="s">
        <v>21</v>
      </c>
      <c r="B318" s="13">
        <v>80753</v>
      </c>
      <c r="C318" s="13" t="s">
        <v>354</v>
      </c>
      <c r="D318" s="13" t="s">
        <v>64</v>
      </c>
      <c r="E318" s="13" t="s">
        <v>178</v>
      </c>
      <c r="F318" s="13" t="s">
        <v>335</v>
      </c>
    </row>
    <row r="319" spans="1:6" hidden="1" x14ac:dyDescent="0.25">
      <c r="A319" s="13" t="s">
        <v>78</v>
      </c>
      <c r="B319" s="13">
        <v>83043</v>
      </c>
      <c r="C319" s="13" t="s">
        <v>354</v>
      </c>
      <c r="D319" s="13" t="s">
        <v>64</v>
      </c>
      <c r="E319" s="13" t="s">
        <v>178</v>
      </c>
      <c r="F319" s="13" t="s">
        <v>335</v>
      </c>
    </row>
    <row r="320" spans="1:6" hidden="1" x14ac:dyDescent="0.25">
      <c r="A320" s="13" t="s">
        <v>21</v>
      </c>
      <c r="B320" s="13">
        <v>83043</v>
      </c>
      <c r="C320" s="13" t="s">
        <v>354</v>
      </c>
      <c r="D320" s="13" t="s">
        <v>64</v>
      </c>
      <c r="E320" s="13" t="s">
        <v>178</v>
      </c>
      <c r="F320" s="13" t="s">
        <v>335</v>
      </c>
    </row>
    <row r="321" spans="1:6" hidden="1" x14ac:dyDescent="0.25">
      <c r="A321" s="13" t="s">
        <v>78</v>
      </c>
      <c r="B321" s="13">
        <v>82968</v>
      </c>
      <c r="C321" s="13" t="s">
        <v>50</v>
      </c>
      <c r="D321" s="13" t="s">
        <v>297</v>
      </c>
      <c r="E321" s="13" t="s">
        <v>2065</v>
      </c>
      <c r="F321" s="13" t="s">
        <v>335</v>
      </c>
    </row>
    <row r="322" spans="1:6" hidden="1" x14ac:dyDescent="0.25">
      <c r="A322" s="13" t="s">
        <v>21</v>
      </c>
      <c r="B322" s="13">
        <v>82968</v>
      </c>
      <c r="C322" s="13" t="s">
        <v>50</v>
      </c>
      <c r="D322" s="13" t="s">
        <v>297</v>
      </c>
      <c r="E322" s="13" t="s">
        <v>2065</v>
      </c>
      <c r="F322" s="13" t="s">
        <v>335</v>
      </c>
    </row>
    <row r="323" spans="1:6" hidden="1" x14ac:dyDescent="0.25">
      <c r="A323" s="13" t="s">
        <v>78</v>
      </c>
      <c r="B323" s="13">
        <v>81648</v>
      </c>
      <c r="C323" s="13" t="s">
        <v>297</v>
      </c>
      <c r="D323" s="13" t="s">
        <v>297</v>
      </c>
      <c r="E323" s="13" t="s">
        <v>2065</v>
      </c>
      <c r="F323" s="13" t="s">
        <v>335</v>
      </c>
    </row>
    <row r="324" spans="1:6" hidden="1" x14ac:dyDescent="0.25">
      <c r="A324" s="13" t="s">
        <v>78</v>
      </c>
      <c r="B324" s="13">
        <v>81747</v>
      </c>
      <c r="C324" s="13" t="s">
        <v>116</v>
      </c>
      <c r="D324" s="13" t="s">
        <v>116</v>
      </c>
      <c r="E324" s="13" t="s">
        <v>301</v>
      </c>
      <c r="F324" s="13" t="s">
        <v>335</v>
      </c>
    </row>
    <row r="325" spans="1:6" hidden="1" x14ac:dyDescent="0.25">
      <c r="A325" s="13" t="s">
        <v>78</v>
      </c>
      <c r="B325" s="13">
        <v>82708</v>
      </c>
      <c r="C325" s="13" t="s">
        <v>55</v>
      </c>
      <c r="D325" s="13" t="s">
        <v>55</v>
      </c>
      <c r="E325" s="13" t="s">
        <v>306</v>
      </c>
      <c r="F325" s="13" t="s">
        <v>335</v>
      </c>
    </row>
    <row r="326" spans="1:6" hidden="1" x14ac:dyDescent="0.25">
      <c r="A326" s="13" t="s">
        <v>21</v>
      </c>
      <c r="B326" s="13">
        <v>81407</v>
      </c>
      <c r="C326" s="13" t="s">
        <v>2403</v>
      </c>
      <c r="D326" s="13" t="s">
        <v>51</v>
      </c>
      <c r="E326" s="13" t="s">
        <v>223</v>
      </c>
      <c r="F326" s="13" t="s">
        <v>335</v>
      </c>
    </row>
    <row r="327" spans="1:6" hidden="1" x14ac:dyDescent="0.25">
      <c r="A327" s="13" t="s">
        <v>78</v>
      </c>
      <c r="B327" s="13">
        <v>80883</v>
      </c>
      <c r="C327" s="13" t="s">
        <v>406</v>
      </c>
      <c r="D327" s="13" t="s">
        <v>406</v>
      </c>
      <c r="E327" s="13" t="s">
        <v>2079</v>
      </c>
      <c r="F327" s="13" t="s">
        <v>335</v>
      </c>
    </row>
    <row r="328" spans="1:6" hidden="1" x14ac:dyDescent="0.25">
      <c r="A328" s="13" t="s">
        <v>21</v>
      </c>
      <c r="B328" s="13">
        <v>80883</v>
      </c>
      <c r="C328" s="13" t="s">
        <v>406</v>
      </c>
      <c r="D328" s="13" t="s">
        <v>406</v>
      </c>
      <c r="E328" s="13" t="s">
        <v>2079</v>
      </c>
      <c r="F328" s="13" t="s">
        <v>335</v>
      </c>
    </row>
    <row r="329" spans="1:6" hidden="1" x14ac:dyDescent="0.25">
      <c r="A329" s="13" t="s">
        <v>78</v>
      </c>
      <c r="B329" s="13">
        <v>81977</v>
      </c>
      <c r="C329" s="13" t="s">
        <v>2201</v>
      </c>
      <c r="D329" s="13" t="s">
        <v>28</v>
      </c>
      <c r="E329" s="13" t="s">
        <v>180</v>
      </c>
      <c r="F329" s="13" t="s">
        <v>335</v>
      </c>
    </row>
    <row r="330" spans="1:6" hidden="1" x14ac:dyDescent="0.25">
      <c r="A330" s="13" t="s">
        <v>78</v>
      </c>
      <c r="B330" s="13">
        <v>43059</v>
      </c>
      <c r="C330" s="13" t="s">
        <v>98</v>
      </c>
      <c r="D330" s="13" t="s">
        <v>98</v>
      </c>
      <c r="E330" s="13" t="s">
        <v>285</v>
      </c>
      <c r="F330" s="13" t="s">
        <v>335</v>
      </c>
    </row>
    <row r="331" spans="1:6" hidden="1" x14ac:dyDescent="0.25">
      <c r="A331" s="13" t="s">
        <v>78</v>
      </c>
      <c r="B331" s="13">
        <v>82053</v>
      </c>
      <c r="C331" s="13" t="s">
        <v>1856</v>
      </c>
      <c r="D331" s="13" t="s">
        <v>2145</v>
      </c>
      <c r="E331" s="13" t="s">
        <v>2354</v>
      </c>
      <c r="F331" s="13" t="s">
        <v>335</v>
      </c>
    </row>
    <row r="332" spans="1:6" hidden="1" x14ac:dyDescent="0.25">
      <c r="A332" s="13" t="s">
        <v>78</v>
      </c>
      <c r="B332" s="13">
        <v>82386</v>
      </c>
      <c r="C332" s="13" t="s">
        <v>2161</v>
      </c>
      <c r="D332" s="13" t="s">
        <v>2162</v>
      </c>
      <c r="E332" s="13" t="s">
        <v>2163</v>
      </c>
      <c r="F332" s="13" t="s">
        <v>335</v>
      </c>
    </row>
    <row r="333" spans="1:6" hidden="1" x14ac:dyDescent="0.25">
      <c r="A333" s="13" t="s">
        <v>21</v>
      </c>
      <c r="B333" s="13">
        <v>82386</v>
      </c>
      <c r="C333" s="13" t="s">
        <v>2161</v>
      </c>
      <c r="D333" s="13" t="s">
        <v>2162</v>
      </c>
      <c r="E333" s="13" t="s">
        <v>2163</v>
      </c>
      <c r="F333" s="13" t="s">
        <v>335</v>
      </c>
    </row>
    <row r="334" spans="1:6" hidden="1" x14ac:dyDescent="0.25">
      <c r="A334" s="13" t="s">
        <v>21</v>
      </c>
      <c r="B334" s="13">
        <v>82390</v>
      </c>
      <c r="C334" s="13" t="s">
        <v>2161</v>
      </c>
      <c r="D334" s="13" t="s">
        <v>2162</v>
      </c>
      <c r="E334" s="13" t="s">
        <v>2163</v>
      </c>
      <c r="F334" s="13" t="s">
        <v>335</v>
      </c>
    </row>
    <row r="335" spans="1:6" hidden="1" x14ac:dyDescent="0.25">
      <c r="A335" s="13" t="s">
        <v>21</v>
      </c>
      <c r="B335" s="13">
        <v>82010</v>
      </c>
      <c r="C335" s="13" t="s">
        <v>1856</v>
      </c>
      <c r="D335" s="13" t="s">
        <v>1857</v>
      </c>
      <c r="E335" s="13" t="s">
        <v>2438</v>
      </c>
      <c r="F335" s="13" t="s">
        <v>335</v>
      </c>
    </row>
    <row r="336" spans="1:6" hidden="1" x14ac:dyDescent="0.25">
      <c r="A336" s="13" t="s">
        <v>78</v>
      </c>
      <c r="B336" s="13">
        <v>82010</v>
      </c>
      <c r="C336" s="13" t="s">
        <v>1856</v>
      </c>
      <c r="D336" s="13" t="s">
        <v>1857</v>
      </c>
      <c r="E336" s="13" t="s">
        <v>2438</v>
      </c>
      <c r="F336" s="13" t="s">
        <v>335</v>
      </c>
    </row>
    <row r="337" spans="1:6" hidden="1" x14ac:dyDescent="0.25">
      <c r="A337" s="13" t="s">
        <v>21</v>
      </c>
      <c r="B337" s="13">
        <v>81876</v>
      </c>
      <c r="C337" s="13" t="s">
        <v>329</v>
      </c>
      <c r="D337" s="13" t="s">
        <v>329</v>
      </c>
      <c r="E337" s="13" t="s">
        <v>330</v>
      </c>
      <c r="F337" s="13" t="s">
        <v>335</v>
      </c>
    </row>
    <row r="338" spans="1:6" hidden="1" x14ac:dyDescent="0.25">
      <c r="A338" s="13" t="s">
        <v>21</v>
      </c>
      <c r="B338" s="13">
        <v>83031</v>
      </c>
      <c r="C338" s="13" t="s">
        <v>2342</v>
      </c>
      <c r="D338" s="13" t="s">
        <v>267</v>
      </c>
      <c r="E338" s="13" t="s">
        <v>399</v>
      </c>
      <c r="F338" s="13" t="s">
        <v>335</v>
      </c>
    </row>
    <row r="339" spans="1:6" hidden="1" x14ac:dyDescent="0.25">
      <c r="A339" s="13" t="s">
        <v>78</v>
      </c>
      <c r="B339" s="13">
        <v>83031</v>
      </c>
      <c r="C339" s="13" t="s">
        <v>2342</v>
      </c>
      <c r="D339" s="13" t="s">
        <v>267</v>
      </c>
      <c r="E339" s="13" t="s">
        <v>399</v>
      </c>
      <c r="F339" s="13" t="s">
        <v>335</v>
      </c>
    </row>
    <row r="340" spans="1:6" hidden="1" x14ac:dyDescent="0.25">
      <c r="A340" s="13" t="s">
        <v>78</v>
      </c>
      <c r="B340" s="13">
        <v>82967</v>
      </c>
      <c r="C340" s="13" t="s">
        <v>2511</v>
      </c>
      <c r="D340" s="13"/>
      <c r="E340" s="13" t="s">
        <v>399</v>
      </c>
      <c r="F340" s="13" t="s">
        <v>335</v>
      </c>
    </row>
    <row r="341" spans="1:6" hidden="1" x14ac:dyDescent="0.25">
      <c r="A341" s="13" t="s">
        <v>78</v>
      </c>
      <c r="B341" s="13">
        <v>79372</v>
      </c>
      <c r="C341" s="13" t="s">
        <v>1810</v>
      </c>
      <c r="D341" s="13" t="s">
        <v>1811</v>
      </c>
      <c r="E341" s="13" t="s">
        <v>2451</v>
      </c>
      <c r="F341" s="13" t="s">
        <v>335</v>
      </c>
    </row>
    <row r="342" spans="1:6" hidden="1" x14ac:dyDescent="0.25">
      <c r="A342" s="13" t="s">
        <v>78</v>
      </c>
      <c r="B342" s="13">
        <v>15501</v>
      </c>
      <c r="C342" s="13" t="s">
        <v>9</v>
      </c>
      <c r="D342" s="13" t="s">
        <v>9</v>
      </c>
      <c r="E342" s="13" t="s">
        <v>867</v>
      </c>
      <c r="F342" s="13" t="s">
        <v>335</v>
      </c>
    </row>
    <row r="343" spans="1:6" hidden="1" x14ac:dyDescent="0.25">
      <c r="A343" s="13" t="s">
        <v>21</v>
      </c>
      <c r="B343" s="13">
        <v>82995</v>
      </c>
      <c r="C343" s="13" t="s">
        <v>109</v>
      </c>
      <c r="D343" s="13" t="s">
        <v>109</v>
      </c>
      <c r="E343" s="13" t="s">
        <v>339</v>
      </c>
      <c r="F343" s="13" t="s">
        <v>335</v>
      </c>
    </row>
    <row r="344" spans="1:6" hidden="1" x14ac:dyDescent="0.25">
      <c r="A344" s="13" t="s">
        <v>78</v>
      </c>
      <c r="B344" s="13">
        <v>79791</v>
      </c>
      <c r="C344" s="13" t="s">
        <v>15</v>
      </c>
      <c r="D344" s="13" t="s">
        <v>109</v>
      </c>
      <c r="E344" s="13" t="s">
        <v>339</v>
      </c>
      <c r="F344" s="13" t="s">
        <v>335</v>
      </c>
    </row>
    <row r="345" spans="1:6" hidden="1" x14ac:dyDescent="0.25">
      <c r="A345" s="13" t="s">
        <v>21</v>
      </c>
      <c r="B345" s="13">
        <v>123491</v>
      </c>
      <c r="C345" s="13" t="s">
        <v>15</v>
      </c>
      <c r="D345" s="13" t="s">
        <v>109</v>
      </c>
      <c r="E345" s="13" t="s">
        <v>339</v>
      </c>
      <c r="F345" s="13" t="s">
        <v>335</v>
      </c>
    </row>
    <row r="346" spans="1:6" hidden="1" x14ac:dyDescent="0.25">
      <c r="A346" s="13" t="s">
        <v>78</v>
      </c>
      <c r="B346" s="13">
        <v>82968</v>
      </c>
      <c r="C346" s="13" t="s">
        <v>50</v>
      </c>
      <c r="D346" s="13" t="s">
        <v>297</v>
      </c>
      <c r="E346" s="13" t="s">
        <v>2254</v>
      </c>
      <c r="F346" s="13" t="s">
        <v>335</v>
      </c>
    </row>
    <row r="347" spans="1:6" hidden="1" x14ac:dyDescent="0.25">
      <c r="A347" s="13" t="s">
        <v>21</v>
      </c>
      <c r="B347" s="13">
        <v>82968</v>
      </c>
      <c r="C347" s="13" t="s">
        <v>50</v>
      </c>
      <c r="D347" s="13" t="s">
        <v>297</v>
      </c>
      <c r="E347" s="13" t="s">
        <v>2254</v>
      </c>
      <c r="F347" s="13" t="s">
        <v>335</v>
      </c>
    </row>
    <row r="348" spans="1:6" hidden="1" x14ac:dyDescent="0.25">
      <c r="A348" s="13" t="s">
        <v>78</v>
      </c>
      <c r="B348" s="13">
        <v>80195</v>
      </c>
      <c r="C348" s="13" t="s">
        <v>114</v>
      </c>
      <c r="D348" s="13" t="s">
        <v>1805</v>
      </c>
      <c r="E348" s="13" t="s">
        <v>1806</v>
      </c>
      <c r="F348" s="13" t="s">
        <v>335</v>
      </c>
    </row>
    <row r="349" spans="1:6" hidden="1" x14ac:dyDescent="0.25">
      <c r="A349" s="13" t="s">
        <v>78</v>
      </c>
      <c r="B349" s="13">
        <v>80691</v>
      </c>
      <c r="C349" s="13" t="s">
        <v>134</v>
      </c>
      <c r="D349" s="13" t="s">
        <v>1882</v>
      </c>
      <c r="E349" s="13" t="s">
        <v>266</v>
      </c>
      <c r="F349" s="13" t="s">
        <v>335</v>
      </c>
    </row>
    <row r="350" spans="1:6" hidden="1" x14ac:dyDescent="0.25">
      <c r="A350" s="13" t="s">
        <v>78</v>
      </c>
      <c r="B350" s="13">
        <v>81259</v>
      </c>
      <c r="C350" s="13" t="s">
        <v>320</v>
      </c>
      <c r="D350" s="13" t="s">
        <v>109</v>
      </c>
      <c r="E350" s="13" t="s">
        <v>401</v>
      </c>
      <c r="F350" s="13" t="s">
        <v>335</v>
      </c>
    </row>
    <row r="351" spans="1:6" hidden="1" x14ac:dyDescent="0.25">
      <c r="A351" s="13" t="s">
        <v>78</v>
      </c>
      <c r="B351" s="13">
        <v>81702</v>
      </c>
      <c r="C351" s="13" t="s">
        <v>1844</v>
      </c>
      <c r="D351" s="13" t="s">
        <v>104</v>
      </c>
      <c r="E351" s="13" t="s">
        <v>2484</v>
      </c>
      <c r="F351" s="13" t="s">
        <v>335</v>
      </c>
    </row>
    <row r="352" spans="1:6" hidden="1" x14ac:dyDescent="0.25">
      <c r="A352" s="13" t="s">
        <v>21</v>
      </c>
      <c r="B352" s="13">
        <v>82790</v>
      </c>
      <c r="C352" s="13" t="s">
        <v>2608</v>
      </c>
      <c r="D352" s="13" t="s">
        <v>52</v>
      </c>
      <c r="E352" s="13" t="s">
        <v>1912</v>
      </c>
      <c r="F352" s="13" t="s">
        <v>335</v>
      </c>
    </row>
    <row r="353" spans="1:6" hidden="1" x14ac:dyDescent="0.25">
      <c r="A353" s="13" t="s">
        <v>21</v>
      </c>
      <c r="B353" s="13">
        <v>82753</v>
      </c>
      <c r="C353" s="13" t="s">
        <v>1833</v>
      </c>
      <c r="D353" s="13" t="s">
        <v>52</v>
      </c>
      <c r="E353" s="13" t="s">
        <v>1912</v>
      </c>
      <c r="F353" s="13" t="s">
        <v>335</v>
      </c>
    </row>
    <row r="354" spans="1:6" hidden="1" x14ac:dyDescent="0.25">
      <c r="A354" s="13" t="s">
        <v>78</v>
      </c>
      <c r="B354" s="13">
        <v>80667</v>
      </c>
      <c r="C354" s="13" t="s">
        <v>141</v>
      </c>
      <c r="D354" s="13" t="s">
        <v>141</v>
      </c>
      <c r="E354" s="13" t="s">
        <v>2303</v>
      </c>
      <c r="F354" s="13" t="s">
        <v>335</v>
      </c>
    </row>
    <row r="355" spans="1:6" hidden="1" x14ac:dyDescent="0.25">
      <c r="A355" s="13" t="s">
        <v>21</v>
      </c>
      <c r="B355" s="13">
        <v>79354</v>
      </c>
      <c r="C355" s="13" t="s">
        <v>2305</v>
      </c>
      <c r="D355" s="13" t="s">
        <v>2305</v>
      </c>
      <c r="E355" s="13" t="s">
        <v>2306</v>
      </c>
      <c r="F355" s="13" t="s">
        <v>335</v>
      </c>
    </row>
    <row r="356" spans="1:6" hidden="1" x14ac:dyDescent="0.25">
      <c r="A356" s="13" t="s">
        <v>78</v>
      </c>
      <c r="B356" s="13">
        <v>79354</v>
      </c>
      <c r="C356" s="13" t="s">
        <v>2305</v>
      </c>
      <c r="D356" s="13" t="s">
        <v>2305</v>
      </c>
      <c r="E356" s="13" t="s">
        <v>2306</v>
      </c>
      <c r="F356" s="13" t="s">
        <v>335</v>
      </c>
    </row>
    <row r="357" spans="1:6" hidden="1" x14ac:dyDescent="0.25">
      <c r="A357" s="13" t="s">
        <v>21</v>
      </c>
      <c r="B357" s="13">
        <v>80397</v>
      </c>
      <c r="C357" s="13" t="s">
        <v>119</v>
      </c>
      <c r="D357" s="13" t="s">
        <v>119</v>
      </c>
      <c r="E357" s="13" t="s">
        <v>2174</v>
      </c>
      <c r="F357" s="13" t="s">
        <v>335</v>
      </c>
    </row>
    <row r="358" spans="1:6" hidden="1" x14ac:dyDescent="0.25">
      <c r="A358" s="13" t="s">
        <v>78</v>
      </c>
      <c r="B358" s="13">
        <v>80360</v>
      </c>
      <c r="C358" s="13" t="s">
        <v>342</v>
      </c>
      <c r="D358" s="13" t="s">
        <v>2106</v>
      </c>
      <c r="E358" s="13" t="s">
        <v>2178</v>
      </c>
      <c r="F358" s="13" t="s">
        <v>335</v>
      </c>
    </row>
    <row r="359" spans="1:6" hidden="1" x14ac:dyDescent="0.25">
      <c r="A359" s="13" t="s">
        <v>78</v>
      </c>
      <c r="B359" s="13">
        <v>79460</v>
      </c>
      <c r="C359" s="13" t="s">
        <v>398</v>
      </c>
      <c r="D359" s="13" t="s">
        <v>14</v>
      </c>
      <c r="E359" s="13" t="s">
        <v>1694</v>
      </c>
      <c r="F359" s="13" t="s">
        <v>335</v>
      </c>
    </row>
    <row r="360" spans="1:6" hidden="1" x14ac:dyDescent="0.25">
      <c r="A360" s="13" t="s">
        <v>78</v>
      </c>
      <c r="B360" s="13">
        <v>79372</v>
      </c>
      <c r="C360" s="13" t="s">
        <v>1810</v>
      </c>
      <c r="D360" s="13" t="s">
        <v>1811</v>
      </c>
      <c r="E360" s="13" t="s">
        <v>2317</v>
      </c>
      <c r="F360" s="13" t="s">
        <v>335</v>
      </c>
    </row>
    <row r="361" spans="1:6" hidden="1" x14ac:dyDescent="0.25">
      <c r="A361" s="13" t="s">
        <v>21</v>
      </c>
      <c r="B361" s="13">
        <v>124633</v>
      </c>
      <c r="C361" s="13" t="s">
        <v>120</v>
      </c>
      <c r="D361" s="13" t="s">
        <v>120</v>
      </c>
      <c r="E361" s="13" t="s">
        <v>2524</v>
      </c>
      <c r="F361" s="13" t="s">
        <v>335</v>
      </c>
    </row>
    <row r="362" spans="1:6" x14ac:dyDescent="0.25">
      <c r="A362" s="13" t="s">
        <v>78</v>
      </c>
      <c r="B362" s="13">
        <v>81500</v>
      </c>
      <c r="C362" s="13" t="s">
        <v>290</v>
      </c>
      <c r="D362" s="13" t="s">
        <v>290</v>
      </c>
      <c r="E362" s="13" t="s">
        <v>2380</v>
      </c>
      <c r="F362" s="13" t="s">
        <v>335</v>
      </c>
    </row>
    <row r="363" spans="1:6" x14ac:dyDescent="0.25">
      <c r="A363" s="13" t="s">
        <v>78</v>
      </c>
      <c r="B363" s="13">
        <v>81499</v>
      </c>
      <c r="C363" s="13" t="s">
        <v>290</v>
      </c>
      <c r="D363" s="13" t="s">
        <v>290</v>
      </c>
      <c r="E363" s="13" t="s">
        <v>2380</v>
      </c>
      <c r="F363" s="13" t="s">
        <v>335</v>
      </c>
    </row>
    <row r="364" spans="1:6" hidden="1" x14ac:dyDescent="0.25">
      <c r="A364" s="13" t="s">
        <v>78</v>
      </c>
      <c r="B364" s="13">
        <v>82490</v>
      </c>
      <c r="C364" s="13" t="s">
        <v>280</v>
      </c>
      <c r="D364" s="13" t="s">
        <v>280</v>
      </c>
      <c r="E364" s="13" t="s">
        <v>1828</v>
      </c>
      <c r="F364" s="13" t="s">
        <v>335</v>
      </c>
    </row>
    <row r="365" spans="1:6" hidden="1" x14ac:dyDescent="0.25">
      <c r="A365" s="13" t="s">
        <v>78</v>
      </c>
      <c r="B365" s="13">
        <v>80227</v>
      </c>
      <c r="C365" s="13" t="s">
        <v>398</v>
      </c>
      <c r="D365" s="13" t="s">
        <v>14</v>
      </c>
      <c r="E365" s="13" t="s">
        <v>2085</v>
      </c>
      <c r="F365" s="13" t="s">
        <v>335</v>
      </c>
    </row>
    <row r="366" spans="1:6" hidden="1" x14ac:dyDescent="0.25">
      <c r="A366" s="13" t="s">
        <v>78</v>
      </c>
      <c r="B366" s="13">
        <v>79806</v>
      </c>
      <c r="C366" s="13" t="s">
        <v>54</v>
      </c>
      <c r="D366" s="13" t="s">
        <v>14</v>
      </c>
      <c r="E366" s="13" t="s">
        <v>2085</v>
      </c>
      <c r="F366" s="13" t="s">
        <v>335</v>
      </c>
    </row>
    <row r="367" spans="1:6" hidden="1" x14ac:dyDescent="0.25">
      <c r="A367" s="13" t="s">
        <v>78</v>
      </c>
      <c r="B367" s="13">
        <v>82504</v>
      </c>
      <c r="C367" s="13" t="s">
        <v>280</v>
      </c>
      <c r="D367" s="13" t="s">
        <v>280</v>
      </c>
      <c r="E367" s="13" t="s">
        <v>1839</v>
      </c>
      <c r="F367" s="13" t="s">
        <v>335</v>
      </c>
    </row>
    <row r="368" spans="1:6" hidden="1" x14ac:dyDescent="0.25">
      <c r="A368" s="13" t="s">
        <v>78</v>
      </c>
      <c r="B368" s="13">
        <v>80754</v>
      </c>
      <c r="C368" s="13" t="s">
        <v>354</v>
      </c>
      <c r="D368" s="13" t="s">
        <v>64</v>
      </c>
      <c r="E368" s="13" t="s">
        <v>2406</v>
      </c>
      <c r="F368" s="13" t="s">
        <v>335</v>
      </c>
    </row>
    <row r="369" spans="1:6" hidden="1" x14ac:dyDescent="0.25">
      <c r="A369" s="13" t="s">
        <v>21</v>
      </c>
      <c r="B369" s="13">
        <v>81595</v>
      </c>
      <c r="C369" s="13" t="s">
        <v>1873</v>
      </c>
      <c r="D369" s="13" t="s">
        <v>1874</v>
      </c>
      <c r="E369" s="13" t="s">
        <v>2358</v>
      </c>
      <c r="F369" s="13" t="s">
        <v>335</v>
      </c>
    </row>
    <row r="370" spans="1:6" hidden="1" x14ac:dyDescent="0.25">
      <c r="A370" s="13" t="s">
        <v>78</v>
      </c>
      <c r="B370" s="13">
        <v>81595</v>
      </c>
      <c r="C370" s="13" t="s">
        <v>1873</v>
      </c>
      <c r="D370" s="13" t="s">
        <v>1874</v>
      </c>
      <c r="E370" s="13" t="s">
        <v>2358</v>
      </c>
      <c r="F370" s="13" t="s">
        <v>335</v>
      </c>
    </row>
    <row r="371" spans="1:6" hidden="1" x14ac:dyDescent="0.25">
      <c r="A371" s="13" t="s">
        <v>78</v>
      </c>
      <c r="B371" s="13">
        <v>14334</v>
      </c>
      <c r="C371" s="13" t="s">
        <v>102</v>
      </c>
      <c r="D371" s="13" t="s">
        <v>102</v>
      </c>
      <c r="E371" s="13" t="s">
        <v>268</v>
      </c>
      <c r="F371" s="13" t="s">
        <v>335</v>
      </c>
    </row>
    <row r="372" spans="1:6" hidden="1" x14ac:dyDescent="0.25">
      <c r="A372" s="13" t="s">
        <v>78</v>
      </c>
      <c r="B372" s="13">
        <v>83000</v>
      </c>
      <c r="C372" s="13" t="s">
        <v>2167</v>
      </c>
      <c r="D372" s="13" t="s">
        <v>2167</v>
      </c>
      <c r="E372" s="13" t="s">
        <v>2552</v>
      </c>
      <c r="F372" s="13" t="s">
        <v>335</v>
      </c>
    </row>
    <row r="373" spans="1:6" hidden="1" x14ac:dyDescent="0.25">
      <c r="A373" s="13" t="s">
        <v>21</v>
      </c>
      <c r="B373" s="13">
        <v>83000</v>
      </c>
      <c r="C373" s="13" t="s">
        <v>2167</v>
      </c>
      <c r="D373" s="13" t="s">
        <v>2167</v>
      </c>
      <c r="E373" s="13" t="s">
        <v>2552</v>
      </c>
      <c r="F373" s="13" t="s">
        <v>335</v>
      </c>
    </row>
    <row r="374" spans="1:6" hidden="1" x14ac:dyDescent="0.25">
      <c r="A374" s="13" t="s">
        <v>78</v>
      </c>
      <c r="B374" s="13">
        <v>79965</v>
      </c>
      <c r="C374" s="13" t="s">
        <v>292</v>
      </c>
      <c r="D374" s="13" t="s">
        <v>1801</v>
      </c>
      <c r="E374" s="13" t="s">
        <v>1802</v>
      </c>
      <c r="F374" s="13" t="s">
        <v>335</v>
      </c>
    </row>
    <row r="375" spans="1:6" hidden="1" x14ac:dyDescent="0.25">
      <c r="A375" s="13" t="s">
        <v>78</v>
      </c>
      <c r="B375" s="13">
        <v>81348</v>
      </c>
      <c r="C375" s="13" t="s">
        <v>325</v>
      </c>
      <c r="D375" s="13" t="s">
        <v>1801</v>
      </c>
      <c r="E375" s="13" t="s">
        <v>1802</v>
      </c>
      <c r="F375" s="13" t="s">
        <v>335</v>
      </c>
    </row>
    <row r="376" spans="1:6" hidden="1" x14ac:dyDescent="0.25">
      <c r="A376" s="13" t="s">
        <v>78</v>
      </c>
      <c r="B376" s="13">
        <v>79965</v>
      </c>
      <c r="C376" s="13" t="s">
        <v>292</v>
      </c>
      <c r="D376" s="13" t="s">
        <v>1801</v>
      </c>
      <c r="E376" s="13" t="s">
        <v>1835</v>
      </c>
      <c r="F376" s="13" t="s">
        <v>335</v>
      </c>
    </row>
    <row r="377" spans="1:6" hidden="1" x14ac:dyDescent="0.25">
      <c r="A377" s="13" t="s">
        <v>78</v>
      </c>
      <c r="B377" s="13">
        <v>83114</v>
      </c>
      <c r="C377" s="13" t="s">
        <v>2487</v>
      </c>
      <c r="D377" s="13" t="s">
        <v>2487</v>
      </c>
      <c r="E377" s="13" t="s">
        <v>2497</v>
      </c>
      <c r="F377" s="13" t="s">
        <v>335</v>
      </c>
    </row>
    <row r="378" spans="1:6" hidden="1" x14ac:dyDescent="0.25">
      <c r="A378" s="13" t="s">
        <v>78</v>
      </c>
      <c r="B378" s="13">
        <v>79804</v>
      </c>
      <c r="C378" s="13" t="s">
        <v>54</v>
      </c>
      <c r="D378" s="13" t="s">
        <v>14</v>
      </c>
      <c r="E378" s="13" t="s">
        <v>2372</v>
      </c>
      <c r="F378" s="13" t="s">
        <v>335</v>
      </c>
    </row>
    <row r="379" spans="1:6" hidden="1" x14ac:dyDescent="0.25">
      <c r="A379" s="13" t="s">
        <v>78</v>
      </c>
      <c r="B379" s="13">
        <v>80418</v>
      </c>
      <c r="C379" s="13" t="s">
        <v>398</v>
      </c>
      <c r="D379" s="13" t="s">
        <v>14</v>
      </c>
      <c r="E379" s="13" t="s">
        <v>2070</v>
      </c>
      <c r="F379" s="13" t="s">
        <v>335</v>
      </c>
    </row>
    <row r="380" spans="1:6" hidden="1" x14ac:dyDescent="0.25">
      <c r="A380" s="13" t="s">
        <v>78</v>
      </c>
      <c r="B380" s="13">
        <v>81936</v>
      </c>
      <c r="C380" s="13" t="s">
        <v>51</v>
      </c>
      <c r="D380" s="13" t="s">
        <v>51</v>
      </c>
      <c r="E380" s="13" t="s">
        <v>2530</v>
      </c>
      <c r="F380" s="13" t="s">
        <v>335</v>
      </c>
    </row>
    <row r="381" spans="1:6" hidden="1" x14ac:dyDescent="0.25">
      <c r="A381" s="13" t="s">
        <v>78</v>
      </c>
      <c r="B381" s="13">
        <v>79965</v>
      </c>
      <c r="C381" s="13" t="s">
        <v>292</v>
      </c>
      <c r="D381" s="13" t="s">
        <v>1801</v>
      </c>
      <c r="E381" s="13" t="s">
        <v>1819</v>
      </c>
      <c r="F381" s="13" t="s">
        <v>335</v>
      </c>
    </row>
    <row r="382" spans="1:6" hidden="1" x14ac:dyDescent="0.25">
      <c r="A382" s="13" t="s">
        <v>78</v>
      </c>
      <c r="B382" s="13">
        <v>79691</v>
      </c>
      <c r="C382" s="13" t="s">
        <v>190</v>
      </c>
      <c r="D382" s="13" t="s">
        <v>1846</v>
      </c>
      <c r="E382" s="13" t="s">
        <v>2489</v>
      </c>
      <c r="F382" s="13" t="s">
        <v>335</v>
      </c>
    </row>
    <row r="383" spans="1:6" hidden="1" x14ac:dyDescent="0.25">
      <c r="A383" s="13" t="s">
        <v>78</v>
      </c>
      <c r="B383" s="13">
        <v>79691</v>
      </c>
      <c r="C383" s="13" t="s">
        <v>190</v>
      </c>
      <c r="D383" s="13" t="s">
        <v>1846</v>
      </c>
      <c r="E383" s="13" t="s">
        <v>191</v>
      </c>
      <c r="F383" s="13" t="s">
        <v>335</v>
      </c>
    </row>
    <row r="384" spans="1:6" hidden="1" x14ac:dyDescent="0.25">
      <c r="A384" s="13" t="s">
        <v>78</v>
      </c>
      <c r="B384" s="13">
        <v>15781</v>
      </c>
      <c r="C384" s="13" t="s">
        <v>12</v>
      </c>
      <c r="D384" s="13" t="s">
        <v>12</v>
      </c>
      <c r="E384" s="13" t="s">
        <v>2293</v>
      </c>
      <c r="F384" s="13" t="s">
        <v>335</v>
      </c>
    </row>
    <row r="385" spans="1:6" hidden="1" x14ac:dyDescent="0.25">
      <c r="A385" s="13" t="s">
        <v>78</v>
      </c>
      <c r="B385" s="13">
        <v>15781</v>
      </c>
      <c r="C385" s="13" t="s">
        <v>12</v>
      </c>
      <c r="D385" s="13" t="s">
        <v>12</v>
      </c>
      <c r="E385" s="13" t="s">
        <v>872</v>
      </c>
      <c r="F385" s="13" t="s">
        <v>335</v>
      </c>
    </row>
    <row r="386" spans="1:6" hidden="1" x14ac:dyDescent="0.25">
      <c r="A386" s="13" t="s">
        <v>78</v>
      </c>
      <c r="B386" s="13">
        <v>125119</v>
      </c>
      <c r="C386" s="13" t="s">
        <v>126</v>
      </c>
      <c r="D386" s="13" t="s">
        <v>126</v>
      </c>
      <c r="E386" s="13" t="s">
        <v>2561</v>
      </c>
      <c r="F386" s="13" t="s">
        <v>335</v>
      </c>
    </row>
    <row r="387" spans="1:6" hidden="1" x14ac:dyDescent="0.25">
      <c r="A387" s="13" t="s">
        <v>78</v>
      </c>
      <c r="B387" s="13">
        <v>15781</v>
      </c>
      <c r="C387" s="13" t="s">
        <v>12</v>
      </c>
      <c r="D387" s="13" t="s">
        <v>12</v>
      </c>
      <c r="E387" s="13" t="s">
        <v>996</v>
      </c>
      <c r="F387" s="13" t="s">
        <v>335</v>
      </c>
    </row>
    <row r="388" spans="1:6" hidden="1" x14ac:dyDescent="0.25">
      <c r="A388" s="13" t="s">
        <v>78</v>
      </c>
      <c r="B388" s="13">
        <v>80441</v>
      </c>
      <c r="C388" s="13" t="s">
        <v>122</v>
      </c>
      <c r="D388" s="13" t="s">
        <v>125</v>
      </c>
      <c r="E388" s="13" t="s">
        <v>996</v>
      </c>
      <c r="F388" s="13" t="s">
        <v>335</v>
      </c>
    </row>
    <row r="389" spans="1:6" hidden="1" x14ac:dyDescent="0.25">
      <c r="A389" s="13" t="s">
        <v>78</v>
      </c>
      <c r="B389" s="13">
        <v>79931</v>
      </c>
      <c r="C389" s="13" t="s">
        <v>67</v>
      </c>
      <c r="D389" s="13" t="s">
        <v>67</v>
      </c>
      <c r="E389" s="13" t="s">
        <v>2211</v>
      </c>
      <c r="F389" s="13" t="s">
        <v>335</v>
      </c>
    </row>
    <row r="390" spans="1:6" hidden="1" x14ac:dyDescent="0.25">
      <c r="A390" s="13" t="s">
        <v>78</v>
      </c>
      <c r="B390" s="13">
        <v>81936</v>
      </c>
      <c r="C390" s="13" t="s">
        <v>51</v>
      </c>
      <c r="D390" s="13" t="s">
        <v>51</v>
      </c>
      <c r="E390" s="13" t="s">
        <v>1864</v>
      </c>
      <c r="F390" s="13" t="s">
        <v>335</v>
      </c>
    </row>
    <row r="391" spans="1:6" hidden="1" x14ac:dyDescent="0.25">
      <c r="A391" s="13" t="s">
        <v>78</v>
      </c>
      <c r="B391" s="13">
        <v>79455</v>
      </c>
      <c r="C391" s="13" t="s">
        <v>398</v>
      </c>
      <c r="D391" s="13" t="s">
        <v>14</v>
      </c>
      <c r="E391" s="13" t="s">
        <v>2539</v>
      </c>
      <c r="F391" s="13" t="s">
        <v>335</v>
      </c>
    </row>
    <row r="392" spans="1:6" hidden="1" x14ac:dyDescent="0.25">
      <c r="A392" s="13" t="s">
        <v>78</v>
      </c>
      <c r="B392" s="13">
        <v>80648</v>
      </c>
      <c r="C392" s="13" t="s">
        <v>40</v>
      </c>
      <c r="D392" s="13" t="s">
        <v>40</v>
      </c>
      <c r="E392" s="13" t="s">
        <v>1957</v>
      </c>
      <c r="F392" s="13" t="s">
        <v>335</v>
      </c>
    </row>
    <row r="393" spans="1:6" hidden="1" x14ac:dyDescent="0.25">
      <c r="A393" s="13" t="s">
        <v>21</v>
      </c>
      <c r="B393" s="13">
        <v>83000</v>
      </c>
      <c r="C393" s="13" t="s">
        <v>2167</v>
      </c>
      <c r="D393" s="13" t="s">
        <v>2167</v>
      </c>
      <c r="E393" s="13" t="s">
        <v>2325</v>
      </c>
      <c r="F393" s="13" t="s">
        <v>335</v>
      </c>
    </row>
    <row r="394" spans="1:6" hidden="1" x14ac:dyDescent="0.25">
      <c r="A394" s="13" t="s">
        <v>78</v>
      </c>
      <c r="B394" s="13">
        <v>83000</v>
      </c>
      <c r="C394" s="13" t="s">
        <v>2167</v>
      </c>
      <c r="D394" s="13" t="s">
        <v>2167</v>
      </c>
      <c r="E394" s="13" t="s">
        <v>2325</v>
      </c>
      <c r="F394" s="13" t="s">
        <v>335</v>
      </c>
    </row>
    <row r="395" spans="1:6" hidden="1" x14ac:dyDescent="0.25">
      <c r="A395" s="13" t="s">
        <v>78</v>
      </c>
      <c r="B395" s="13">
        <v>81794</v>
      </c>
      <c r="C395" s="13" t="s">
        <v>351</v>
      </c>
      <c r="D395" s="13" t="s">
        <v>351</v>
      </c>
      <c r="E395" s="13" t="s">
        <v>2374</v>
      </c>
      <c r="F395" s="13" t="s">
        <v>335</v>
      </c>
    </row>
    <row r="396" spans="1:6" hidden="1" x14ac:dyDescent="0.25">
      <c r="A396" s="13" t="s">
        <v>78</v>
      </c>
      <c r="B396" s="13">
        <v>80691</v>
      </c>
      <c r="C396" s="13" t="s">
        <v>134</v>
      </c>
      <c r="D396" s="13" t="s">
        <v>1882</v>
      </c>
      <c r="E396" s="13" t="s">
        <v>2357</v>
      </c>
      <c r="F396" s="13" t="s">
        <v>335</v>
      </c>
    </row>
    <row r="397" spans="1:6" hidden="1" x14ac:dyDescent="0.25">
      <c r="A397" s="13" t="s">
        <v>78</v>
      </c>
      <c r="B397" s="13">
        <v>81259</v>
      </c>
      <c r="C397" s="13" t="s">
        <v>320</v>
      </c>
      <c r="D397" s="13" t="s">
        <v>109</v>
      </c>
      <c r="E397" s="13" t="s">
        <v>321</v>
      </c>
      <c r="F397" s="13" t="s">
        <v>335</v>
      </c>
    </row>
    <row r="398" spans="1:6" hidden="1" x14ac:dyDescent="0.25">
      <c r="A398" s="13" t="s">
        <v>21</v>
      </c>
      <c r="B398" s="13">
        <v>123956</v>
      </c>
      <c r="C398" s="13" t="s">
        <v>2131</v>
      </c>
      <c r="D398" s="13" t="s">
        <v>104</v>
      </c>
      <c r="E398" s="13" t="s">
        <v>276</v>
      </c>
      <c r="F398" s="13" t="s">
        <v>335</v>
      </c>
    </row>
    <row r="399" spans="1:6" hidden="1" x14ac:dyDescent="0.25">
      <c r="A399" s="13" t="s">
        <v>78</v>
      </c>
      <c r="B399" s="13">
        <v>81701</v>
      </c>
      <c r="C399" s="13" t="s">
        <v>2131</v>
      </c>
      <c r="D399" s="13" t="s">
        <v>104</v>
      </c>
      <c r="E399" s="13" t="s">
        <v>276</v>
      </c>
      <c r="F399" s="13" t="s">
        <v>335</v>
      </c>
    </row>
    <row r="400" spans="1:6" hidden="1" x14ac:dyDescent="0.25">
      <c r="A400" s="13" t="s">
        <v>78</v>
      </c>
      <c r="B400" s="13">
        <v>81249</v>
      </c>
      <c r="C400" s="13" t="s">
        <v>317</v>
      </c>
      <c r="D400" s="13" t="s">
        <v>1801</v>
      </c>
      <c r="E400" s="13" t="s">
        <v>318</v>
      </c>
      <c r="F400" s="13" t="s">
        <v>335</v>
      </c>
    </row>
    <row r="401" spans="1:6" hidden="1" x14ac:dyDescent="0.25">
      <c r="A401" s="13" t="s">
        <v>78</v>
      </c>
      <c r="B401" s="13">
        <v>79460</v>
      </c>
      <c r="C401" s="13" t="s">
        <v>398</v>
      </c>
      <c r="D401" s="13" t="s">
        <v>14</v>
      </c>
      <c r="E401" s="13" t="s">
        <v>2015</v>
      </c>
      <c r="F401" s="13" t="s">
        <v>335</v>
      </c>
    </row>
    <row r="402" spans="1:6" hidden="1" x14ac:dyDescent="0.25">
      <c r="A402" s="13" t="s">
        <v>78</v>
      </c>
      <c r="B402" s="13">
        <v>79799</v>
      </c>
      <c r="C402" s="13" t="s">
        <v>54</v>
      </c>
      <c r="D402" s="13" t="s">
        <v>14</v>
      </c>
      <c r="E402" s="13" t="s">
        <v>2015</v>
      </c>
      <c r="F402" s="13" t="s">
        <v>335</v>
      </c>
    </row>
    <row r="403" spans="1:6" hidden="1" x14ac:dyDescent="0.25">
      <c r="A403" s="13" t="s">
        <v>78</v>
      </c>
      <c r="B403" s="13">
        <v>14479</v>
      </c>
      <c r="C403" s="13" t="s">
        <v>24</v>
      </c>
      <c r="D403" s="13" t="s">
        <v>24</v>
      </c>
      <c r="E403" s="13" t="s">
        <v>2121</v>
      </c>
      <c r="F403" s="13" t="s">
        <v>335</v>
      </c>
    </row>
    <row r="404" spans="1:6" hidden="1" x14ac:dyDescent="0.25">
      <c r="A404" s="13" t="s">
        <v>78</v>
      </c>
      <c r="B404" s="13">
        <v>80195</v>
      </c>
      <c r="C404" s="13" t="s">
        <v>114</v>
      </c>
      <c r="D404" s="13" t="s">
        <v>1805</v>
      </c>
      <c r="E404" s="13" t="s">
        <v>2121</v>
      </c>
      <c r="F404" s="13" t="s">
        <v>335</v>
      </c>
    </row>
    <row r="405" spans="1:6" hidden="1" x14ac:dyDescent="0.25">
      <c r="A405" s="13" t="s">
        <v>78</v>
      </c>
      <c r="B405" s="13">
        <v>14479</v>
      </c>
      <c r="C405" s="13" t="s">
        <v>24</v>
      </c>
      <c r="D405" s="13" t="s">
        <v>24</v>
      </c>
      <c r="E405" s="13" t="s">
        <v>361</v>
      </c>
      <c r="F405" s="13" t="s">
        <v>335</v>
      </c>
    </row>
    <row r="406" spans="1:6" hidden="1" x14ac:dyDescent="0.25">
      <c r="A406" s="13" t="s">
        <v>78</v>
      </c>
      <c r="B406" s="13">
        <v>15781</v>
      </c>
      <c r="C406" s="13" t="s">
        <v>12</v>
      </c>
      <c r="D406" s="13" t="s">
        <v>12</v>
      </c>
      <c r="E406" s="13" t="s">
        <v>156</v>
      </c>
      <c r="F406" s="13" t="s">
        <v>335</v>
      </c>
    </row>
    <row r="407" spans="1:6" hidden="1" x14ac:dyDescent="0.25">
      <c r="A407" s="13" t="s">
        <v>78</v>
      </c>
      <c r="B407" s="13">
        <v>81794</v>
      </c>
      <c r="C407" s="13" t="s">
        <v>351</v>
      </c>
      <c r="D407" s="13" t="s">
        <v>351</v>
      </c>
      <c r="E407" s="13" t="s">
        <v>226</v>
      </c>
      <c r="F407" s="13" t="s">
        <v>335</v>
      </c>
    </row>
    <row r="408" spans="1:6" hidden="1" x14ac:dyDescent="0.25">
      <c r="A408" s="13" t="s">
        <v>78</v>
      </c>
      <c r="B408" s="13">
        <v>80015</v>
      </c>
      <c r="C408" s="13" t="s">
        <v>24</v>
      </c>
      <c r="D408" s="13" t="s">
        <v>24</v>
      </c>
      <c r="E408" s="13" t="s">
        <v>197</v>
      </c>
      <c r="F408" s="13" t="s">
        <v>335</v>
      </c>
    </row>
    <row r="409" spans="1:6" hidden="1" x14ac:dyDescent="0.25">
      <c r="A409" s="13" t="s">
        <v>78</v>
      </c>
      <c r="B409" s="13">
        <v>80007</v>
      </c>
      <c r="C409" s="13" t="s">
        <v>24</v>
      </c>
      <c r="D409" s="13" t="s">
        <v>24</v>
      </c>
      <c r="E409" s="13" t="s">
        <v>197</v>
      </c>
      <c r="F409" s="13" t="s">
        <v>335</v>
      </c>
    </row>
    <row r="410" spans="1:6" hidden="1" x14ac:dyDescent="0.25">
      <c r="A410" s="13" t="s">
        <v>78</v>
      </c>
      <c r="B410" s="13">
        <v>14479</v>
      </c>
      <c r="C410" s="13" t="s">
        <v>24</v>
      </c>
      <c r="D410" s="13" t="s">
        <v>24</v>
      </c>
      <c r="E410" s="13" t="s">
        <v>197</v>
      </c>
      <c r="F410" s="13" t="s">
        <v>335</v>
      </c>
    </row>
    <row r="411" spans="1:6" hidden="1" x14ac:dyDescent="0.25">
      <c r="A411" s="13" t="s">
        <v>78</v>
      </c>
      <c r="B411" s="13">
        <v>80195</v>
      </c>
      <c r="C411" s="13" t="s">
        <v>114</v>
      </c>
      <c r="D411" s="13" t="s">
        <v>1805</v>
      </c>
      <c r="E411" s="13" t="s">
        <v>197</v>
      </c>
      <c r="F411" s="13" t="s">
        <v>335</v>
      </c>
    </row>
    <row r="412" spans="1:6" hidden="1" x14ac:dyDescent="0.25">
      <c r="A412" s="13" t="s">
        <v>78</v>
      </c>
      <c r="B412" s="13">
        <v>82467</v>
      </c>
      <c r="C412" s="13" t="s">
        <v>36</v>
      </c>
      <c r="D412" s="13" t="s">
        <v>1948</v>
      </c>
      <c r="E412" s="13" t="s">
        <v>1969</v>
      </c>
      <c r="F412" s="13" t="s">
        <v>335</v>
      </c>
    </row>
    <row r="413" spans="1:6" hidden="1" x14ac:dyDescent="0.25">
      <c r="A413" s="13" t="s">
        <v>78</v>
      </c>
      <c r="B413" s="13">
        <v>81771</v>
      </c>
      <c r="C413" s="13" t="s">
        <v>356</v>
      </c>
      <c r="D413" s="13" t="s">
        <v>33</v>
      </c>
      <c r="E413" s="13" t="s">
        <v>2328</v>
      </c>
      <c r="F413" s="13" t="s">
        <v>335</v>
      </c>
    </row>
    <row r="414" spans="1:6" hidden="1" x14ac:dyDescent="0.25">
      <c r="A414" s="13" t="s">
        <v>78</v>
      </c>
      <c r="B414" s="13">
        <v>14416</v>
      </c>
      <c r="C414" s="13" t="s">
        <v>33</v>
      </c>
      <c r="D414" s="13" t="s">
        <v>33</v>
      </c>
      <c r="E414" s="13" t="s">
        <v>505</v>
      </c>
      <c r="F414" s="13" t="s">
        <v>335</v>
      </c>
    </row>
    <row r="415" spans="1:6" hidden="1" x14ac:dyDescent="0.25">
      <c r="A415" s="13" t="s">
        <v>78</v>
      </c>
      <c r="B415" s="13">
        <v>54684</v>
      </c>
      <c r="C415" s="13" t="s">
        <v>100</v>
      </c>
      <c r="D415" s="13" t="s">
        <v>100</v>
      </c>
      <c r="E415" s="13" t="s">
        <v>430</v>
      </c>
      <c r="F415" s="13" t="s">
        <v>335</v>
      </c>
    </row>
    <row r="416" spans="1:6" hidden="1" x14ac:dyDescent="0.25">
      <c r="A416" s="13" t="s">
        <v>78</v>
      </c>
      <c r="B416" s="13">
        <v>80375</v>
      </c>
      <c r="C416" s="13" t="s">
        <v>398</v>
      </c>
      <c r="D416" s="13" t="s">
        <v>14</v>
      </c>
      <c r="E416" s="13" t="s">
        <v>520</v>
      </c>
      <c r="F416" s="13" t="s">
        <v>335</v>
      </c>
    </row>
    <row r="417" spans="1:6" hidden="1" x14ac:dyDescent="0.25">
      <c r="A417" s="13" t="s">
        <v>78</v>
      </c>
      <c r="B417" s="13">
        <v>80377</v>
      </c>
      <c r="C417" s="13" t="s">
        <v>54</v>
      </c>
      <c r="D417" s="13" t="s">
        <v>14</v>
      </c>
      <c r="E417" s="13" t="s">
        <v>520</v>
      </c>
      <c r="F417" s="13" t="s">
        <v>335</v>
      </c>
    </row>
    <row r="418" spans="1:6" hidden="1" x14ac:dyDescent="0.25">
      <c r="A418" s="13" t="s">
        <v>78</v>
      </c>
      <c r="B418" s="13">
        <v>15472</v>
      </c>
      <c r="C418" s="13" t="s">
        <v>27</v>
      </c>
      <c r="D418" s="13" t="s">
        <v>27</v>
      </c>
      <c r="E418" s="13" t="s">
        <v>2523</v>
      </c>
      <c r="F418" s="13" t="s">
        <v>335</v>
      </c>
    </row>
    <row r="419" spans="1:6" hidden="1" x14ac:dyDescent="0.25">
      <c r="A419" s="13" t="s">
        <v>78</v>
      </c>
      <c r="B419" s="13">
        <v>82050</v>
      </c>
      <c r="C419" s="13" t="s">
        <v>61</v>
      </c>
      <c r="D419" s="13" t="s">
        <v>61</v>
      </c>
      <c r="E419" s="13" t="s">
        <v>293</v>
      </c>
      <c r="F419" s="13" t="s">
        <v>335</v>
      </c>
    </row>
    <row r="420" spans="1:6" hidden="1" x14ac:dyDescent="0.25">
      <c r="A420" s="13" t="s">
        <v>78</v>
      </c>
      <c r="B420" s="13">
        <v>80195</v>
      </c>
      <c r="C420" s="13" t="s">
        <v>114</v>
      </c>
      <c r="D420" s="13" t="s">
        <v>1805</v>
      </c>
      <c r="E420" s="13" t="s">
        <v>2404</v>
      </c>
      <c r="F420" s="13" t="s">
        <v>335</v>
      </c>
    </row>
    <row r="421" spans="1:6" hidden="1" x14ac:dyDescent="0.25">
      <c r="A421" s="13" t="s">
        <v>78</v>
      </c>
      <c r="B421" s="13">
        <v>81380</v>
      </c>
      <c r="C421" s="13" t="s">
        <v>327</v>
      </c>
      <c r="D421" s="13" t="s">
        <v>327</v>
      </c>
      <c r="E421" s="13" t="s">
        <v>2535</v>
      </c>
      <c r="F421" s="13" t="s">
        <v>335</v>
      </c>
    </row>
    <row r="422" spans="1:6" hidden="1" x14ac:dyDescent="0.25">
      <c r="A422" s="13" t="s">
        <v>78</v>
      </c>
      <c r="B422" s="13">
        <v>79581</v>
      </c>
      <c r="C422" s="13" t="s">
        <v>1933</v>
      </c>
      <c r="D422" s="13" t="s">
        <v>1933</v>
      </c>
      <c r="E422" s="13" t="s">
        <v>2369</v>
      </c>
      <c r="F422" s="13" t="s">
        <v>335</v>
      </c>
    </row>
    <row r="423" spans="1:6" hidden="1" x14ac:dyDescent="0.25">
      <c r="A423" s="13" t="s">
        <v>78</v>
      </c>
      <c r="B423" s="13">
        <v>82808</v>
      </c>
      <c r="C423" s="13" t="s">
        <v>1865</v>
      </c>
      <c r="D423" s="13" t="s">
        <v>47</v>
      </c>
      <c r="E423" s="13" t="s">
        <v>167</v>
      </c>
      <c r="F423" s="13" t="s">
        <v>335</v>
      </c>
    </row>
    <row r="424" spans="1:6" hidden="1" x14ac:dyDescent="0.25">
      <c r="A424" s="13" t="s">
        <v>78</v>
      </c>
      <c r="B424" s="13">
        <v>15501</v>
      </c>
      <c r="C424" s="13" t="s">
        <v>9</v>
      </c>
      <c r="D424" s="13" t="s">
        <v>9</v>
      </c>
      <c r="E424" s="13" t="s">
        <v>2533</v>
      </c>
      <c r="F424" s="13" t="s">
        <v>335</v>
      </c>
    </row>
    <row r="425" spans="1:6" hidden="1" x14ac:dyDescent="0.25">
      <c r="A425" s="13" t="s">
        <v>78</v>
      </c>
      <c r="B425" s="13">
        <v>14432</v>
      </c>
      <c r="C425" s="13" t="s">
        <v>2029</v>
      </c>
      <c r="D425" s="13" t="s">
        <v>2029</v>
      </c>
      <c r="E425" s="13" t="s">
        <v>143</v>
      </c>
      <c r="F425" s="13" t="s">
        <v>335</v>
      </c>
    </row>
    <row r="426" spans="1:6" hidden="1" x14ac:dyDescent="0.25">
      <c r="A426" s="13" t="s">
        <v>21</v>
      </c>
      <c r="B426" s="13">
        <v>81291</v>
      </c>
      <c r="C426" s="13" t="s">
        <v>2029</v>
      </c>
      <c r="D426" s="13" t="s">
        <v>2029</v>
      </c>
      <c r="E426" s="13" t="s">
        <v>143</v>
      </c>
      <c r="F426" s="13" t="s">
        <v>335</v>
      </c>
    </row>
    <row r="427" spans="1:6" hidden="1" x14ac:dyDescent="0.25">
      <c r="A427" s="13" t="s">
        <v>78</v>
      </c>
      <c r="B427" s="13">
        <v>79581</v>
      </c>
      <c r="C427" s="13" t="s">
        <v>1933</v>
      </c>
      <c r="D427" s="13" t="s">
        <v>1933</v>
      </c>
      <c r="E427" s="13" t="s">
        <v>179</v>
      </c>
      <c r="F427" s="13" t="s">
        <v>335</v>
      </c>
    </row>
    <row r="428" spans="1:6" hidden="1" x14ac:dyDescent="0.25">
      <c r="A428" s="13" t="s">
        <v>78</v>
      </c>
      <c r="B428" s="13">
        <v>80648</v>
      </c>
      <c r="C428" s="13" t="s">
        <v>40</v>
      </c>
      <c r="D428" s="13" t="s">
        <v>40</v>
      </c>
      <c r="E428" s="13" t="s">
        <v>1560</v>
      </c>
      <c r="F428" s="13" t="s">
        <v>335</v>
      </c>
    </row>
    <row r="429" spans="1:6" hidden="1" x14ac:dyDescent="0.25">
      <c r="A429" s="13" t="s">
        <v>78</v>
      </c>
      <c r="B429" s="13">
        <v>80047</v>
      </c>
      <c r="C429" s="13" t="s">
        <v>112</v>
      </c>
      <c r="D429" s="13" t="s">
        <v>112</v>
      </c>
      <c r="E429" s="13" t="s">
        <v>2335</v>
      </c>
      <c r="F429" s="13" t="s">
        <v>335</v>
      </c>
    </row>
    <row r="430" spans="1:6" hidden="1" x14ac:dyDescent="0.25">
      <c r="A430" s="13" t="s">
        <v>21</v>
      </c>
      <c r="B430" s="13">
        <v>81565</v>
      </c>
      <c r="C430" s="13" t="s">
        <v>67</v>
      </c>
      <c r="D430" s="13" t="s">
        <v>67</v>
      </c>
      <c r="E430" s="13" t="s">
        <v>165</v>
      </c>
      <c r="F430" s="13" t="s">
        <v>335</v>
      </c>
    </row>
    <row r="431" spans="1:6" hidden="1" x14ac:dyDescent="0.25">
      <c r="A431" s="13" t="s">
        <v>78</v>
      </c>
      <c r="B431" s="13">
        <v>79931</v>
      </c>
      <c r="C431" s="13" t="s">
        <v>67</v>
      </c>
      <c r="D431" s="13" t="s">
        <v>67</v>
      </c>
      <c r="E431" s="13" t="s">
        <v>165</v>
      </c>
      <c r="F431" s="13" t="s">
        <v>335</v>
      </c>
    </row>
    <row r="432" spans="1:6" hidden="1" x14ac:dyDescent="0.25">
      <c r="A432" s="13" t="s">
        <v>78</v>
      </c>
      <c r="B432" s="13">
        <v>83063</v>
      </c>
      <c r="C432" s="13" t="s">
        <v>2420</v>
      </c>
      <c r="D432" s="13" t="s">
        <v>2421</v>
      </c>
      <c r="E432" s="13" t="s">
        <v>622</v>
      </c>
      <c r="F432" s="13" t="s">
        <v>335</v>
      </c>
    </row>
    <row r="433" spans="1:6" hidden="1" x14ac:dyDescent="0.25">
      <c r="A433" s="13" t="s">
        <v>78</v>
      </c>
      <c r="B433" s="13">
        <v>83067</v>
      </c>
      <c r="C433" s="13" t="s">
        <v>2420</v>
      </c>
      <c r="D433" s="13" t="s">
        <v>2421</v>
      </c>
      <c r="E433" s="13" t="s">
        <v>622</v>
      </c>
      <c r="F433" s="13" t="s">
        <v>335</v>
      </c>
    </row>
    <row r="434" spans="1:6" hidden="1" x14ac:dyDescent="0.25">
      <c r="A434" s="13" t="s">
        <v>78</v>
      </c>
      <c r="B434" s="13">
        <v>12413</v>
      </c>
      <c r="C434" s="13" t="s">
        <v>51</v>
      </c>
      <c r="D434" s="13" t="s">
        <v>51</v>
      </c>
      <c r="E434" s="13" t="s">
        <v>815</v>
      </c>
      <c r="F434" s="13" t="s">
        <v>335</v>
      </c>
    </row>
    <row r="435" spans="1:6" hidden="1" x14ac:dyDescent="0.25">
      <c r="A435" s="13" t="s">
        <v>78</v>
      </c>
      <c r="B435" s="13">
        <v>15501</v>
      </c>
      <c r="C435" s="13" t="s">
        <v>9</v>
      </c>
      <c r="D435" s="13" t="s">
        <v>9</v>
      </c>
      <c r="E435" s="13" t="s">
        <v>524</v>
      </c>
      <c r="F435" s="13" t="s">
        <v>335</v>
      </c>
    </row>
    <row r="436" spans="1:6" hidden="1" x14ac:dyDescent="0.25">
      <c r="A436" s="13" t="s">
        <v>78</v>
      </c>
      <c r="B436" s="13">
        <v>15501</v>
      </c>
      <c r="C436" s="13" t="s">
        <v>9</v>
      </c>
      <c r="D436" s="13" t="s">
        <v>9</v>
      </c>
      <c r="E436" s="13" t="s">
        <v>2447</v>
      </c>
      <c r="F436" s="13" t="s">
        <v>335</v>
      </c>
    </row>
    <row r="437" spans="1:6" hidden="1" x14ac:dyDescent="0.25">
      <c r="A437" s="13" t="s">
        <v>78</v>
      </c>
      <c r="B437" s="13">
        <v>82010</v>
      </c>
      <c r="C437" s="13" t="s">
        <v>1856</v>
      </c>
      <c r="D437" s="13" t="s">
        <v>1857</v>
      </c>
      <c r="E437" s="13" t="s">
        <v>2536</v>
      </c>
      <c r="F437" s="13" t="s">
        <v>335</v>
      </c>
    </row>
    <row r="438" spans="1:6" hidden="1" x14ac:dyDescent="0.25">
      <c r="A438" s="13" t="s">
        <v>78</v>
      </c>
      <c r="B438" s="13">
        <v>82639</v>
      </c>
      <c r="C438" s="13" t="s">
        <v>1921</v>
      </c>
      <c r="D438" s="13" t="s">
        <v>1921</v>
      </c>
      <c r="E438" s="13" t="s">
        <v>1082</v>
      </c>
      <c r="F438" s="13" t="s">
        <v>335</v>
      </c>
    </row>
    <row r="439" spans="1:6" hidden="1" x14ac:dyDescent="0.25">
      <c r="A439" s="13" t="s">
        <v>21</v>
      </c>
      <c r="B439" s="13">
        <v>82639</v>
      </c>
      <c r="C439" s="13" t="s">
        <v>1921</v>
      </c>
      <c r="D439" s="13" t="s">
        <v>1921</v>
      </c>
      <c r="E439" s="13" t="s">
        <v>1082</v>
      </c>
      <c r="F439" s="13" t="s">
        <v>335</v>
      </c>
    </row>
    <row r="440" spans="1:6" hidden="1" x14ac:dyDescent="0.25">
      <c r="A440" s="13" t="s">
        <v>21</v>
      </c>
      <c r="B440" s="13">
        <v>79409</v>
      </c>
      <c r="C440" s="13" t="s">
        <v>63</v>
      </c>
      <c r="D440" s="13" t="s">
        <v>85</v>
      </c>
      <c r="E440" s="13" t="s">
        <v>195</v>
      </c>
      <c r="F440" s="13" t="s">
        <v>335</v>
      </c>
    </row>
    <row r="441" spans="1:6" hidden="1" x14ac:dyDescent="0.25">
      <c r="A441" s="13" t="s">
        <v>21</v>
      </c>
      <c r="B441" s="13">
        <v>82869</v>
      </c>
      <c r="C441" s="13" t="s">
        <v>63</v>
      </c>
      <c r="D441" s="13" t="s">
        <v>85</v>
      </c>
      <c r="E441" s="13" t="s">
        <v>195</v>
      </c>
      <c r="F441" s="13" t="s">
        <v>335</v>
      </c>
    </row>
    <row r="442" spans="1:6" hidden="1" x14ac:dyDescent="0.25">
      <c r="A442" s="13" t="s">
        <v>78</v>
      </c>
      <c r="B442" s="13">
        <v>79602</v>
      </c>
      <c r="C442" s="13" t="s">
        <v>63</v>
      </c>
      <c r="D442" s="13" t="s">
        <v>85</v>
      </c>
      <c r="E442" s="13" t="s">
        <v>195</v>
      </c>
      <c r="F442" s="13" t="s">
        <v>335</v>
      </c>
    </row>
    <row r="443" spans="1:6" hidden="1" x14ac:dyDescent="0.25">
      <c r="A443" s="13" t="s">
        <v>78</v>
      </c>
      <c r="B443" s="13">
        <v>80961</v>
      </c>
      <c r="C443" s="13" t="s">
        <v>85</v>
      </c>
      <c r="D443" s="13" t="s">
        <v>85</v>
      </c>
      <c r="E443" s="13" t="s">
        <v>2274</v>
      </c>
      <c r="F443" s="13" t="s">
        <v>335</v>
      </c>
    </row>
    <row r="444" spans="1:6" hidden="1" x14ac:dyDescent="0.25">
      <c r="A444" s="13" t="s">
        <v>78</v>
      </c>
      <c r="B444" s="13">
        <v>80240</v>
      </c>
      <c r="C444" s="13" t="s">
        <v>73</v>
      </c>
      <c r="D444" s="13" t="s">
        <v>73</v>
      </c>
      <c r="E444" s="13" t="s">
        <v>2197</v>
      </c>
      <c r="F444" s="13" t="s">
        <v>335</v>
      </c>
    </row>
    <row r="445" spans="1:6" hidden="1" x14ac:dyDescent="0.25">
      <c r="A445" s="13" t="s">
        <v>78</v>
      </c>
      <c r="B445" s="13">
        <v>15501</v>
      </c>
      <c r="C445" s="13" t="s">
        <v>9</v>
      </c>
      <c r="D445" s="13" t="s">
        <v>9</v>
      </c>
      <c r="E445" s="13" t="s">
        <v>1979</v>
      </c>
      <c r="F445" s="13" t="s">
        <v>335</v>
      </c>
    </row>
    <row r="446" spans="1:6" hidden="1" x14ac:dyDescent="0.25">
      <c r="A446" s="13" t="s">
        <v>78</v>
      </c>
      <c r="B446" s="13">
        <v>81794</v>
      </c>
      <c r="C446" s="13" t="s">
        <v>351</v>
      </c>
      <c r="D446" s="13" t="s">
        <v>351</v>
      </c>
      <c r="E446" s="13" t="s">
        <v>2379</v>
      </c>
      <c r="F446" s="13" t="s">
        <v>335</v>
      </c>
    </row>
    <row r="447" spans="1:6" hidden="1" x14ac:dyDescent="0.25">
      <c r="A447" s="13" t="s">
        <v>78</v>
      </c>
      <c r="B447" s="13">
        <v>80375</v>
      </c>
      <c r="C447" s="13" t="s">
        <v>398</v>
      </c>
      <c r="D447" s="13" t="s">
        <v>14</v>
      </c>
      <c r="E447" s="13" t="s">
        <v>1825</v>
      </c>
      <c r="F447" s="13" t="s">
        <v>335</v>
      </c>
    </row>
    <row r="448" spans="1:6" hidden="1" x14ac:dyDescent="0.25">
      <c r="A448" s="13" t="s">
        <v>78</v>
      </c>
      <c r="B448" s="13">
        <v>14479</v>
      </c>
      <c r="C448" s="13" t="s">
        <v>24</v>
      </c>
      <c r="D448" s="13" t="s">
        <v>24</v>
      </c>
      <c r="E448" s="13" t="s">
        <v>1986</v>
      </c>
      <c r="F448" s="13" t="s">
        <v>335</v>
      </c>
    </row>
    <row r="449" spans="1:6" hidden="1" x14ac:dyDescent="0.25">
      <c r="A449" s="13" t="s">
        <v>78</v>
      </c>
      <c r="B449" s="13">
        <v>82010</v>
      </c>
      <c r="C449" s="13" t="s">
        <v>1856</v>
      </c>
      <c r="D449" s="13" t="s">
        <v>1857</v>
      </c>
      <c r="E449" s="13" t="s">
        <v>2251</v>
      </c>
      <c r="F449" s="13" t="s">
        <v>335</v>
      </c>
    </row>
    <row r="450" spans="1:6" hidden="1" x14ac:dyDescent="0.25">
      <c r="A450" s="13" t="s">
        <v>78</v>
      </c>
      <c r="B450" s="13">
        <v>80026</v>
      </c>
      <c r="C450" s="13" t="s">
        <v>311</v>
      </c>
      <c r="D450" s="13" t="s">
        <v>2057</v>
      </c>
      <c r="E450" s="13" t="s">
        <v>2424</v>
      </c>
      <c r="F450" s="13" t="s">
        <v>335</v>
      </c>
    </row>
    <row r="451" spans="1:6" hidden="1" x14ac:dyDescent="0.25">
      <c r="A451" s="13" t="s">
        <v>78</v>
      </c>
      <c r="B451" s="13">
        <v>14378</v>
      </c>
      <c r="C451" s="13" t="s">
        <v>96</v>
      </c>
      <c r="D451" s="13" t="s">
        <v>96</v>
      </c>
      <c r="E451" s="13" t="s">
        <v>893</v>
      </c>
      <c r="F451" s="13" t="s">
        <v>335</v>
      </c>
    </row>
    <row r="452" spans="1:6" hidden="1" x14ac:dyDescent="0.25">
      <c r="A452" s="13" t="s">
        <v>78</v>
      </c>
      <c r="B452" s="13">
        <v>80359</v>
      </c>
      <c r="C452" s="13" t="s">
        <v>76</v>
      </c>
      <c r="D452" s="13" t="s">
        <v>76</v>
      </c>
      <c r="E452" s="13" t="s">
        <v>2345</v>
      </c>
      <c r="F452" s="13" t="s">
        <v>335</v>
      </c>
    </row>
    <row r="453" spans="1:6" hidden="1" x14ac:dyDescent="0.25">
      <c r="A453" s="13" t="s">
        <v>78</v>
      </c>
      <c r="B453" s="13">
        <v>81259</v>
      </c>
      <c r="C453" s="13" t="s">
        <v>320</v>
      </c>
      <c r="D453" s="13" t="s">
        <v>109</v>
      </c>
      <c r="E453" s="13" t="s">
        <v>1516</v>
      </c>
      <c r="F453" s="13" t="s">
        <v>335</v>
      </c>
    </row>
    <row r="454" spans="1:6" hidden="1" x14ac:dyDescent="0.25">
      <c r="A454" s="13" t="s">
        <v>78</v>
      </c>
      <c r="B454" s="13">
        <v>79931</v>
      </c>
      <c r="C454" s="13" t="s">
        <v>67</v>
      </c>
      <c r="D454" s="13" t="s">
        <v>67</v>
      </c>
      <c r="E454" s="13" t="s">
        <v>2277</v>
      </c>
      <c r="F454" s="13" t="s">
        <v>335</v>
      </c>
    </row>
    <row r="455" spans="1:6" hidden="1" x14ac:dyDescent="0.25">
      <c r="A455" s="13" t="s">
        <v>78</v>
      </c>
      <c r="B455" s="13">
        <v>80233</v>
      </c>
      <c r="C455" s="13" t="s">
        <v>72</v>
      </c>
      <c r="D455" s="13" t="s">
        <v>72</v>
      </c>
      <c r="E455" s="13" t="s">
        <v>340</v>
      </c>
      <c r="F455" s="13" t="s">
        <v>335</v>
      </c>
    </row>
    <row r="456" spans="1:6" hidden="1" x14ac:dyDescent="0.25">
      <c r="A456" s="13" t="s">
        <v>78</v>
      </c>
      <c r="B456" s="13">
        <v>9000</v>
      </c>
      <c r="C456" s="13" t="s">
        <v>1913</v>
      </c>
      <c r="D456" s="13" t="s">
        <v>1914</v>
      </c>
      <c r="E456" s="13" t="s">
        <v>822</v>
      </c>
      <c r="F456" s="13" t="s">
        <v>335</v>
      </c>
    </row>
    <row r="457" spans="1:6" hidden="1" x14ac:dyDescent="0.25">
      <c r="A457" s="13" t="s">
        <v>78</v>
      </c>
      <c r="B457" s="13">
        <v>122880</v>
      </c>
      <c r="C457" s="13" t="s">
        <v>9</v>
      </c>
      <c r="D457" s="13" t="s">
        <v>9</v>
      </c>
      <c r="E457" s="13" t="s">
        <v>2495</v>
      </c>
      <c r="F457" s="13" t="s">
        <v>335</v>
      </c>
    </row>
    <row r="458" spans="1:6" hidden="1" x14ac:dyDescent="0.25">
      <c r="A458" s="13" t="s">
        <v>78</v>
      </c>
      <c r="B458" s="13">
        <v>79258</v>
      </c>
      <c r="C458" s="13" t="s">
        <v>398</v>
      </c>
      <c r="D458" s="13" t="s">
        <v>14</v>
      </c>
      <c r="E458" s="13" t="s">
        <v>2282</v>
      </c>
      <c r="F458" s="13" t="s">
        <v>335</v>
      </c>
    </row>
    <row r="459" spans="1:6" hidden="1" x14ac:dyDescent="0.25">
      <c r="A459" s="13" t="s">
        <v>21</v>
      </c>
      <c r="B459" s="13">
        <v>83014</v>
      </c>
      <c r="C459" s="13" t="s">
        <v>2609</v>
      </c>
      <c r="D459" s="13" t="s">
        <v>1904</v>
      </c>
      <c r="E459" s="13" t="s">
        <v>1905</v>
      </c>
      <c r="F459" s="13" t="s">
        <v>335</v>
      </c>
    </row>
    <row r="460" spans="1:6" hidden="1" x14ac:dyDescent="0.25">
      <c r="A460" s="13" t="s">
        <v>21</v>
      </c>
      <c r="B460" s="13">
        <v>83013</v>
      </c>
      <c r="C460" s="13" t="s">
        <v>2610</v>
      </c>
      <c r="D460" s="13" t="s">
        <v>1904</v>
      </c>
      <c r="E460" s="13" t="s">
        <v>1905</v>
      </c>
      <c r="F460" s="13" t="s">
        <v>335</v>
      </c>
    </row>
    <row r="461" spans="1:6" hidden="1" x14ac:dyDescent="0.25">
      <c r="A461" s="13" t="s">
        <v>21</v>
      </c>
      <c r="B461" s="13">
        <v>82844</v>
      </c>
      <c r="C461" s="13" t="s">
        <v>1904</v>
      </c>
      <c r="D461" s="13" t="s">
        <v>1904</v>
      </c>
      <c r="E461" s="13" t="s">
        <v>1905</v>
      </c>
      <c r="F461" s="13" t="s">
        <v>335</v>
      </c>
    </row>
    <row r="462" spans="1:6" hidden="1" x14ac:dyDescent="0.25">
      <c r="A462" s="13" t="s">
        <v>78</v>
      </c>
      <c r="B462" s="13">
        <v>82844</v>
      </c>
      <c r="C462" s="13" t="s">
        <v>1904</v>
      </c>
      <c r="D462" s="13" t="s">
        <v>1904</v>
      </c>
      <c r="E462" s="13" t="s">
        <v>1905</v>
      </c>
      <c r="F462" s="13" t="s">
        <v>335</v>
      </c>
    </row>
    <row r="463" spans="1:6" hidden="1" x14ac:dyDescent="0.25">
      <c r="A463" s="13" t="s">
        <v>78</v>
      </c>
      <c r="B463" s="13">
        <v>82818</v>
      </c>
      <c r="C463" s="13" t="s">
        <v>1876</v>
      </c>
      <c r="D463" s="13" t="s">
        <v>267</v>
      </c>
      <c r="E463" s="13" t="s">
        <v>1877</v>
      </c>
      <c r="F463" s="13" t="s">
        <v>335</v>
      </c>
    </row>
    <row r="464" spans="1:6" hidden="1" x14ac:dyDescent="0.25">
      <c r="A464" s="13" t="s">
        <v>21</v>
      </c>
      <c r="B464" s="13">
        <v>82248</v>
      </c>
      <c r="C464" s="13" t="s">
        <v>1836</v>
      </c>
      <c r="D464" s="13" t="s">
        <v>267</v>
      </c>
      <c r="E464" s="13" t="s">
        <v>1877</v>
      </c>
      <c r="F464" s="13" t="s">
        <v>335</v>
      </c>
    </row>
    <row r="465" spans="1:6" hidden="1" x14ac:dyDescent="0.25">
      <c r="A465" s="13" t="s">
        <v>78</v>
      </c>
      <c r="B465" s="13">
        <v>82248</v>
      </c>
      <c r="C465" s="13" t="s">
        <v>1836</v>
      </c>
      <c r="D465" s="13" t="s">
        <v>267</v>
      </c>
      <c r="E465" s="13" t="s">
        <v>1877</v>
      </c>
      <c r="F465" s="13" t="s">
        <v>335</v>
      </c>
    </row>
    <row r="466" spans="1:6" hidden="1" x14ac:dyDescent="0.25">
      <c r="A466" s="13" t="s">
        <v>21</v>
      </c>
      <c r="B466" s="13">
        <v>83031</v>
      </c>
      <c r="C466" s="13" t="s">
        <v>2342</v>
      </c>
      <c r="D466" s="13" t="s">
        <v>267</v>
      </c>
      <c r="E466" s="13" t="s">
        <v>1877</v>
      </c>
      <c r="F466" s="13" t="s">
        <v>335</v>
      </c>
    </row>
    <row r="467" spans="1:6" hidden="1" x14ac:dyDescent="0.25">
      <c r="A467" s="13" t="s">
        <v>78</v>
      </c>
      <c r="B467" s="13">
        <v>83031</v>
      </c>
      <c r="C467" s="13" t="s">
        <v>2342</v>
      </c>
      <c r="D467" s="13" t="s">
        <v>267</v>
      </c>
      <c r="E467" s="13" t="s">
        <v>1877</v>
      </c>
      <c r="F467" s="13" t="s">
        <v>335</v>
      </c>
    </row>
    <row r="468" spans="1:6" hidden="1" x14ac:dyDescent="0.25">
      <c r="A468" s="13" t="s">
        <v>78</v>
      </c>
      <c r="B468" s="13">
        <v>80958</v>
      </c>
      <c r="C468" s="13" t="s">
        <v>1856</v>
      </c>
      <c r="D468" s="13" t="s">
        <v>1977</v>
      </c>
      <c r="E468" s="13" t="s">
        <v>235</v>
      </c>
      <c r="F468" s="13" t="s">
        <v>335</v>
      </c>
    </row>
    <row r="469" spans="1:6" hidden="1" x14ac:dyDescent="0.25">
      <c r="A469" s="13" t="s">
        <v>21</v>
      </c>
      <c r="B469" s="13">
        <v>123491</v>
      </c>
      <c r="C469" s="13" t="s">
        <v>15</v>
      </c>
      <c r="D469" s="13" t="s">
        <v>109</v>
      </c>
      <c r="E469" s="13" t="s">
        <v>1891</v>
      </c>
      <c r="F469" s="13" t="s">
        <v>335</v>
      </c>
    </row>
    <row r="470" spans="1:6" hidden="1" x14ac:dyDescent="0.25">
      <c r="A470" s="13" t="s">
        <v>78</v>
      </c>
      <c r="B470" s="13">
        <v>79791</v>
      </c>
      <c r="C470" s="13" t="s">
        <v>15</v>
      </c>
      <c r="D470" s="13" t="s">
        <v>109</v>
      </c>
      <c r="E470" s="13" t="s">
        <v>1891</v>
      </c>
      <c r="F470" s="13" t="s">
        <v>335</v>
      </c>
    </row>
    <row r="471" spans="1:6" hidden="1" x14ac:dyDescent="0.25">
      <c r="A471" s="13" t="s">
        <v>78</v>
      </c>
      <c r="B471" s="13">
        <v>12404</v>
      </c>
      <c r="C471" s="13" t="s">
        <v>267</v>
      </c>
      <c r="D471" s="13" t="s">
        <v>267</v>
      </c>
      <c r="E471" s="13" t="s">
        <v>2490</v>
      </c>
      <c r="F471" s="13" t="s">
        <v>335</v>
      </c>
    </row>
    <row r="472" spans="1:6" hidden="1" x14ac:dyDescent="0.25">
      <c r="A472" s="13" t="s">
        <v>21</v>
      </c>
      <c r="B472" s="13">
        <v>12262</v>
      </c>
      <c r="C472" s="13" t="s">
        <v>32</v>
      </c>
      <c r="D472" s="13" t="s">
        <v>32</v>
      </c>
      <c r="E472" s="13" t="s">
        <v>254</v>
      </c>
      <c r="F472" s="13" t="s">
        <v>335</v>
      </c>
    </row>
    <row r="473" spans="1:6" hidden="1" x14ac:dyDescent="0.25">
      <c r="A473" s="13" t="s">
        <v>78</v>
      </c>
      <c r="B473" s="13">
        <v>80961</v>
      </c>
      <c r="C473" s="13" t="s">
        <v>85</v>
      </c>
      <c r="D473" s="13" t="s">
        <v>85</v>
      </c>
      <c r="E473" s="13" t="s">
        <v>215</v>
      </c>
      <c r="F473" s="13" t="s">
        <v>335</v>
      </c>
    </row>
    <row r="474" spans="1:6" hidden="1" x14ac:dyDescent="0.25">
      <c r="A474" s="13" t="s">
        <v>78</v>
      </c>
      <c r="B474" s="13">
        <v>79386</v>
      </c>
      <c r="C474" s="13" t="s">
        <v>1814</v>
      </c>
      <c r="D474" s="13" t="s">
        <v>26</v>
      </c>
      <c r="E474" s="13" t="s">
        <v>186</v>
      </c>
      <c r="F474" s="13" t="s">
        <v>335</v>
      </c>
    </row>
    <row r="475" spans="1:6" hidden="1" x14ac:dyDescent="0.25">
      <c r="A475" s="13" t="s">
        <v>78</v>
      </c>
      <c r="B475" s="13">
        <v>12413</v>
      </c>
      <c r="C475" s="13" t="s">
        <v>51</v>
      </c>
      <c r="D475" s="13" t="s">
        <v>51</v>
      </c>
      <c r="E475" s="13" t="s">
        <v>170</v>
      </c>
      <c r="F475" s="13" t="s">
        <v>335</v>
      </c>
    </row>
    <row r="476" spans="1:6" hidden="1" x14ac:dyDescent="0.25">
      <c r="A476" s="13" t="s">
        <v>78</v>
      </c>
      <c r="B476" s="13">
        <v>79258</v>
      </c>
      <c r="C476" s="13" t="s">
        <v>398</v>
      </c>
      <c r="D476" s="13" t="s">
        <v>14</v>
      </c>
      <c r="E476" s="13" t="s">
        <v>362</v>
      </c>
      <c r="F476" s="13" t="s">
        <v>335</v>
      </c>
    </row>
    <row r="477" spans="1:6" hidden="1" x14ac:dyDescent="0.25">
      <c r="A477" s="13" t="s">
        <v>78</v>
      </c>
      <c r="B477" s="13">
        <v>80961</v>
      </c>
      <c r="C477" s="13" t="s">
        <v>85</v>
      </c>
      <c r="D477" s="13" t="s">
        <v>85</v>
      </c>
      <c r="E477" s="13" t="s">
        <v>2094</v>
      </c>
      <c r="F477" s="13" t="s">
        <v>335</v>
      </c>
    </row>
    <row r="478" spans="1:6" hidden="1" x14ac:dyDescent="0.25">
      <c r="A478" s="13" t="s">
        <v>78</v>
      </c>
      <c r="B478" s="13">
        <v>79931</v>
      </c>
      <c r="C478" s="13" t="s">
        <v>67</v>
      </c>
      <c r="D478" s="13" t="s">
        <v>67</v>
      </c>
      <c r="E478" s="13" t="s">
        <v>2295</v>
      </c>
      <c r="F478" s="13" t="s">
        <v>335</v>
      </c>
    </row>
    <row r="479" spans="1:6" hidden="1" x14ac:dyDescent="0.25">
      <c r="A479" s="13" t="s">
        <v>78</v>
      </c>
      <c r="B479" s="13">
        <v>80691</v>
      </c>
      <c r="C479" s="13" t="s">
        <v>134</v>
      </c>
      <c r="D479" s="13" t="s">
        <v>1882</v>
      </c>
      <c r="E479" s="13" t="s">
        <v>1883</v>
      </c>
      <c r="F479" s="13" t="s">
        <v>335</v>
      </c>
    </row>
    <row r="480" spans="1:6" hidden="1" x14ac:dyDescent="0.25">
      <c r="A480" s="13" t="s">
        <v>78</v>
      </c>
      <c r="B480" s="13">
        <v>82602</v>
      </c>
      <c r="C480" s="13" t="s">
        <v>2341</v>
      </c>
      <c r="D480" s="13" t="s">
        <v>1862</v>
      </c>
      <c r="E480" s="13" t="s">
        <v>407</v>
      </c>
      <c r="F480" s="13" t="s">
        <v>335</v>
      </c>
    </row>
    <row r="481" spans="1:6" hidden="1" x14ac:dyDescent="0.25">
      <c r="A481" s="13" t="s">
        <v>78</v>
      </c>
      <c r="B481" s="13">
        <v>81771</v>
      </c>
      <c r="C481" s="13" t="s">
        <v>356</v>
      </c>
      <c r="D481" s="13" t="s">
        <v>33</v>
      </c>
      <c r="E481" s="13" t="s">
        <v>2067</v>
      </c>
      <c r="F481" s="13" t="s">
        <v>335</v>
      </c>
    </row>
    <row r="482" spans="1:6" hidden="1" x14ac:dyDescent="0.25">
      <c r="A482" s="13" t="s">
        <v>21</v>
      </c>
      <c r="B482" s="13">
        <v>81349</v>
      </c>
      <c r="C482" s="13" t="s">
        <v>2173</v>
      </c>
      <c r="D482" s="13" t="s">
        <v>2173</v>
      </c>
      <c r="E482" s="13" t="s">
        <v>323</v>
      </c>
      <c r="F482" s="13" t="s">
        <v>335</v>
      </c>
    </row>
    <row r="483" spans="1:6" hidden="1" x14ac:dyDescent="0.25">
      <c r="A483" s="13" t="s">
        <v>78</v>
      </c>
      <c r="B483" s="13">
        <v>82781</v>
      </c>
      <c r="C483" s="13" t="s">
        <v>50</v>
      </c>
      <c r="D483" s="13" t="s">
        <v>50</v>
      </c>
      <c r="E483" s="13" t="s">
        <v>1544</v>
      </c>
      <c r="F483" s="13" t="s">
        <v>335</v>
      </c>
    </row>
    <row r="484" spans="1:6" hidden="1" x14ac:dyDescent="0.25">
      <c r="A484" s="13" t="s">
        <v>78</v>
      </c>
      <c r="B484" s="13">
        <v>80654</v>
      </c>
      <c r="C484" s="13" t="s">
        <v>131</v>
      </c>
      <c r="D484" s="13" t="s">
        <v>131</v>
      </c>
      <c r="E484" s="13" t="s">
        <v>247</v>
      </c>
      <c r="F484" s="13" t="s">
        <v>335</v>
      </c>
    </row>
    <row r="485" spans="1:6" hidden="1" x14ac:dyDescent="0.25">
      <c r="A485" s="13" t="s">
        <v>78</v>
      </c>
      <c r="B485" s="13">
        <v>80512</v>
      </c>
      <c r="C485" s="13" t="s">
        <v>296</v>
      </c>
      <c r="D485" s="13" t="s">
        <v>296</v>
      </c>
      <c r="E485" s="13" t="s">
        <v>279</v>
      </c>
      <c r="F485" s="13" t="s">
        <v>335</v>
      </c>
    </row>
    <row r="486" spans="1:6" hidden="1" x14ac:dyDescent="0.25">
      <c r="A486" s="13" t="s">
        <v>21</v>
      </c>
      <c r="B486" s="13">
        <v>82801</v>
      </c>
      <c r="C486" s="13" t="s">
        <v>2033</v>
      </c>
      <c r="D486" s="13" t="s">
        <v>2033</v>
      </c>
      <c r="E486" s="13" t="s">
        <v>2034</v>
      </c>
      <c r="F486" s="13" t="s">
        <v>335</v>
      </c>
    </row>
    <row r="487" spans="1:6" hidden="1" x14ac:dyDescent="0.25">
      <c r="A487" s="13" t="s">
        <v>78</v>
      </c>
      <c r="B487" s="13">
        <v>82801</v>
      </c>
      <c r="C487" s="13" t="s">
        <v>2033</v>
      </c>
      <c r="D487" s="13" t="s">
        <v>2033</v>
      </c>
      <c r="E487" s="13" t="s">
        <v>2034</v>
      </c>
      <c r="F487" s="13" t="s">
        <v>335</v>
      </c>
    </row>
    <row r="488" spans="1:6" hidden="1" x14ac:dyDescent="0.25">
      <c r="A488" s="13" t="s">
        <v>78</v>
      </c>
      <c r="B488" s="13">
        <v>79241</v>
      </c>
      <c r="C488" s="13" t="s">
        <v>106</v>
      </c>
      <c r="D488" s="13" t="s">
        <v>94</v>
      </c>
      <c r="E488" s="13" t="s">
        <v>1947</v>
      </c>
      <c r="F488" s="13" t="s">
        <v>335</v>
      </c>
    </row>
    <row r="489" spans="1:6" hidden="1" x14ac:dyDescent="0.25">
      <c r="A489" s="13" t="s">
        <v>78</v>
      </c>
      <c r="B489" s="13">
        <v>125262</v>
      </c>
      <c r="C489" s="13" t="s">
        <v>133</v>
      </c>
      <c r="D489" s="13" t="s">
        <v>19</v>
      </c>
      <c r="E489" s="13" t="s">
        <v>345</v>
      </c>
      <c r="F489" s="13" t="s">
        <v>335</v>
      </c>
    </row>
    <row r="490" spans="1:6" hidden="1" x14ac:dyDescent="0.25">
      <c r="A490" s="13" t="s">
        <v>78</v>
      </c>
      <c r="B490" s="13">
        <v>80493</v>
      </c>
      <c r="C490" s="13" t="s">
        <v>240</v>
      </c>
      <c r="D490" s="13" t="s">
        <v>1854</v>
      </c>
      <c r="E490" s="13" t="s">
        <v>1855</v>
      </c>
      <c r="F490" s="13" t="s">
        <v>335</v>
      </c>
    </row>
    <row r="491" spans="1:6" hidden="1" x14ac:dyDescent="0.25">
      <c r="A491" s="13" t="s">
        <v>78</v>
      </c>
      <c r="B491" s="13">
        <v>12416</v>
      </c>
      <c r="C491" s="13" t="s">
        <v>53</v>
      </c>
      <c r="D491" s="13" t="s">
        <v>53</v>
      </c>
      <c r="E491" s="13" t="s">
        <v>171</v>
      </c>
      <c r="F491" s="13" t="s">
        <v>335</v>
      </c>
    </row>
    <row r="492" spans="1:6" hidden="1" x14ac:dyDescent="0.25">
      <c r="A492" s="13" t="s">
        <v>78</v>
      </c>
      <c r="B492" s="13">
        <v>82759</v>
      </c>
      <c r="C492" s="13" t="s">
        <v>2115</v>
      </c>
      <c r="D492" s="13" t="s">
        <v>2115</v>
      </c>
      <c r="E492" s="13" t="s">
        <v>2337</v>
      </c>
      <c r="F492" s="13" t="s">
        <v>335</v>
      </c>
    </row>
    <row r="493" spans="1:6" hidden="1" x14ac:dyDescent="0.25">
      <c r="A493" s="13" t="s">
        <v>21</v>
      </c>
      <c r="B493" s="13">
        <v>82759</v>
      </c>
      <c r="C493" s="13" t="s">
        <v>2115</v>
      </c>
      <c r="D493" s="13" t="s">
        <v>2115</v>
      </c>
      <c r="E493" s="13" t="s">
        <v>2337</v>
      </c>
      <c r="F493" s="13" t="s">
        <v>335</v>
      </c>
    </row>
    <row r="494" spans="1:6" hidden="1" x14ac:dyDescent="0.25">
      <c r="A494" s="13" t="s">
        <v>78</v>
      </c>
      <c r="B494" s="13">
        <v>80343</v>
      </c>
      <c r="C494" s="13" t="s">
        <v>1824</v>
      </c>
      <c r="D494" s="13" t="s">
        <v>105</v>
      </c>
      <c r="E494" s="13" t="s">
        <v>2240</v>
      </c>
      <c r="F494" s="13" t="s">
        <v>335</v>
      </c>
    </row>
    <row r="495" spans="1:6" hidden="1" x14ac:dyDescent="0.25">
      <c r="A495" s="13" t="s">
        <v>78</v>
      </c>
      <c r="B495" s="13">
        <v>80493</v>
      </c>
      <c r="C495" s="13" t="s">
        <v>240</v>
      </c>
      <c r="D495" s="13" t="s">
        <v>1854</v>
      </c>
      <c r="E495" s="13" t="s">
        <v>2240</v>
      </c>
      <c r="F495" s="13" t="s">
        <v>335</v>
      </c>
    </row>
    <row r="496" spans="1:6" hidden="1" x14ac:dyDescent="0.25">
      <c r="A496" s="13" t="s">
        <v>78</v>
      </c>
      <c r="B496" s="13">
        <v>54684</v>
      </c>
      <c r="C496" s="13" t="s">
        <v>100</v>
      </c>
      <c r="D496" s="13" t="s">
        <v>100</v>
      </c>
      <c r="E496" s="13" t="s">
        <v>2240</v>
      </c>
      <c r="F496" s="13" t="s">
        <v>335</v>
      </c>
    </row>
    <row r="497" spans="1:6" hidden="1" x14ac:dyDescent="0.25">
      <c r="A497" s="13" t="s">
        <v>78</v>
      </c>
      <c r="B497" s="13">
        <v>82808</v>
      </c>
      <c r="C497" s="13" t="s">
        <v>1865</v>
      </c>
      <c r="D497" s="13" t="s">
        <v>47</v>
      </c>
      <c r="E497" s="13" t="s">
        <v>2240</v>
      </c>
      <c r="F497" s="13" t="s">
        <v>335</v>
      </c>
    </row>
    <row r="498" spans="1:6" hidden="1" x14ac:dyDescent="0.25">
      <c r="A498" s="13" t="s">
        <v>78</v>
      </c>
      <c r="B498" s="13">
        <v>79581</v>
      </c>
      <c r="C498" s="13" t="s">
        <v>1933</v>
      </c>
      <c r="D498" s="13" t="s">
        <v>1933</v>
      </c>
      <c r="E498" s="13" t="s">
        <v>2240</v>
      </c>
      <c r="F498" s="13" t="s">
        <v>335</v>
      </c>
    </row>
    <row r="499" spans="1:6" hidden="1" x14ac:dyDescent="0.25">
      <c r="A499" s="13" t="s">
        <v>21</v>
      </c>
      <c r="B499" s="13">
        <v>122394</v>
      </c>
      <c r="C499" s="13" t="s">
        <v>29</v>
      </c>
      <c r="D499" s="13" t="s">
        <v>32</v>
      </c>
      <c r="E499" s="13" t="s">
        <v>1842</v>
      </c>
      <c r="F499" s="13" t="s">
        <v>335</v>
      </c>
    </row>
    <row r="500" spans="1:6" hidden="1" x14ac:dyDescent="0.25">
      <c r="A500" s="13" t="s">
        <v>78</v>
      </c>
      <c r="B500" s="13">
        <v>82248</v>
      </c>
      <c r="C500" s="13" t="s">
        <v>1836</v>
      </c>
      <c r="D500" s="13" t="s">
        <v>267</v>
      </c>
      <c r="E500" s="13" t="s">
        <v>1837</v>
      </c>
      <c r="F500" s="13" t="s">
        <v>335</v>
      </c>
    </row>
    <row r="501" spans="1:6" hidden="1" x14ac:dyDescent="0.25">
      <c r="A501" s="13" t="s">
        <v>21</v>
      </c>
      <c r="B501" s="13">
        <v>82248</v>
      </c>
      <c r="C501" s="13" t="s">
        <v>1836</v>
      </c>
      <c r="D501" s="13" t="s">
        <v>267</v>
      </c>
      <c r="E501" s="13" t="s">
        <v>1837</v>
      </c>
      <c r="F501" s="13" t="s">
        <v>335</v>
      </c>
    </row>
    <row r="502" spans="1:6" hidden="1" x14ac:dyDescent="0.25">
      <c r="A502" s="13" t="s">
        <v>21</v>
      </c>
      <c r="B502" s="13">
        <v>83031</v>
      </c>
      <c r="C502" s="13" t="s">
        <v>2342</v>
      </c>
      <c r="D502" s="13" t="s">
        <v>267</v>
      </c>
      <c r="E502" s="13" t="s">
        <v>1837</v>
      </c>
      <c r="F502" s="13" t="s">
        <v>335</v>
      </c>
    </row>
    <row r="503" spans="1:6" hidden="1" x14ac:dyDescent="0.25">
      <c r="A503" s="13" t="s">
        <v>78</v>
      </c>
      <c r="B503" s="13">
        <v>83031</v>
      </c>
      <c r="C503" s="13" t="s">
        <v>2342</v>
      </c>
      <c r="D503" s="13" t="s">
        <v>267</v>
      </c>
      <c r="E503" s="13" t="s">
        <v>1837</v>
      </c>
      <c r="F503" s="13" t="s">
        <v>335</v>
      </c>
    </row>
    <row r="504" spans="1:6" hidden="1" x14ac:dyDescent="0.25">
      <c r="A504" s="13" t="s">
        <v>21</v>
      </c>
      <c r="B504" s="13">
        <v>81765</v>
      </c>
      <c r="C504" s="13" t="s">
        <v>1930</v>
      </c>
      <c r="D504" s="13" t="s">
        <v>1930</v>
      </c>
      <c r="E504" s="13" t="s">
        <v>1509</v>
      </c>
      <c r="F504" s="13" t="s">
        <v>335</v>
      </c>
    </row>
    <row r="505" spans="1:6" hidden="1" x14ac:dyDescent="0.25">
      <c r="A505" s="13" t="s">
        <v>78</v>
      </c>
      <c r="B505" s="13">
        <v>80322</v>
      </c>
      <c r="C505" s="13" t="s">
        <v>1807</v>
      </c>
      <c r="D505" s="13" t="s">
        <v>1808</v>
      </c>
      <c r="E505" s="13" t="s">
        <v>252</v>
      </c>
      <c r="F505" s="13" t="s">
        <v>335</v>
      </c>
    </row>
    <row r="506" spans="1:6" hidden="1" x14ac:dyDescent="0.25">
      <c r="A506" s="13" t="s">
        <v>78</v>
      </c>
      <c r="B506" s="13">
        <v>80320</v>
      </c>
      <c r="C506" s="13" t="s">
        <v>1807</v>
      </c>
      <c r="D506" s="13" t="s">
        <v>1808</v>
      </c>
      <c r="E506" s="13" t="s">
        <v>252</v>
      </c>
      <c r="F506" s="13" t="s">
        <v>335</v>
      </c>
    </row>
    <row r="507" spans="1:6" hidden="1" x14ac:dyDescent="0.25">
      <c r="A507" s="13" t="s">
        <v>78</v>
      </c>
      <c r="B507" s="13">
        <v>80323</v>
      </c>
      <c r="C507" s="13" t="s">
        <v>1807</v>
      </c>
      <c r="D507" s="13" t="s">
        <v>1808</v>
      </c>
      <c r="E507" s="13" t="s">
        <v>252</v>
      </c>
      <c r="F507" s="13" t="s">
        <v>335</v>
      </c>
    </row>
    <row r="508" spans="1:6" hidden="1" x14ac:dyDescent="0.25">
      <c r="A508" s="13" t="s">
        <v>78</v>
      </c>
      <c r="B508" s="13">
        <v>80324</v>
      </c>
      <c r="C508" s="13" t="s">
        <v>1807</v>
      </c>
      <c r="D508" s="13" t="s">
        <v>1808</v>
      </c>
      <c r="E508" s="13" t="s">
        <v>252</v>
      </c>
      <c r="F508" s="13" t="s">
        <v>335</v>
      </c>
    </row>
    <row r="509" spans="1:6" hidden="1" x14ac:dyDescent="0.25">
      <c r="A509" s="13" t="s">
        <v>78</v>
      </c>
      <c r="B509" s="13">
        <v>12413</v>
      </c>
      <c r="C509" s="13" t="s">
        <v>51</v>
      </c>
      <c r="D509" s="13" t="s">
        <v>51</v>
      </c>
      <c r="E509" s="13" t="s">
        <v>1741</v>
      </c>
      <c r="F509" s="13" t="s">
        <v>335</v>
      </c>
    </row>
    <row r="510" spans="1:6" hidden="1" x14ac:dyDescent="0.25">
      <c r="A510" s="13" t="s">
        <v>78</v>
      </c>
      <c r="B510" s="13">
        <v>79814</v>
      </c>
      <c r="C510" s="13" t="s">
        <v>35</v>
      </c>
      <c r="D510" s="13" t="s">
        <v>35</v>
      </c>
      <c r="E510" s="13" t="s">
        <v>337</v>
      </c>
      <c r="F510" s="13" t="s">
        <v>335</v>
      </c>
    </row>
    <row r="511" spans="1:6" hidden="1" x14ac:dyDescent="0.25">
      <c r="A511" s="13" t="s">
        <v>78</v>
      </c>
      <c r="B511" s="13">
        <v>79773</v>
      </c>
      <c r="C511" s="13" t="s">
        <v>65</v>
      </c>
      <c r="D511" s="13" t="s">
        <v>65</v>
      </c>
      <c r="E511" s="13" t="s">
        <v>2209</v>
      </c>
      <c r="F511" s="13" t="s">
        <v>335</v>
      </c>
    </row>
    <row r="512" spans="1:6" hidden="1" x14ac:dyDescent="0.25">
      <c r="A512" s="13" t="s">
        <v>78</v>
      </c>
      <c r="B512" s="13">
        <v>82010</v>
      </c>
      <c r="C512" s="13" t="s">
        <v>1856</v>
      </c>
      <c r="D512" s="13" t="s">
        <v>1857</v>
      </c>
      <c r="E512" s="13" t="s">
        <v>1577</v>
      </c>
      <c r="F512" s="13" t="s">
        <v>335</v>
      </c>
    </row>
    <row r="513" spans="1:6" hidden="1" x14ac:dyDescent="0.25">
      <c r="A513" s="13" t="s">
        <v>78</v>
      </c>
      <c r="B513" s="13">
        <v>82315</v>
      </c>
      <c r="C513" s="13" t="s">
        <v>2136</v>
      </c>
      <c r="D513" s="13" t="s">
        <v>2136</v>
      </c>
      <c r="E513" s="13" t="s">
        <v>2172</v>
      </c>
      <c r="F513" s="13" t="s">
        <v>335</v>
      </c>
    </row>
    <row r="514" spans="1:6" hidden="1" x14ac:dyDescent="0.25">
      <c r="A514" s="13" t="s">
        <v>78</v>
      </c>
      <c r="B514" s="13">
        <v>70172</v>
      </c>
      <c r="C514" s="13" t="s">
        <v>2232</v>
      </c>
      <c r="D514" s="13" t="s">
        <v>2612</v>
      </c>
      <c r="E514" s="13" t="s">
        <v>397</v>
      </c>
      <c r="F514" s="13" t="s">
        <v>335</v>
      </c>
    </row>
    <row r="515" spans="1:6" hidden="1" x14ac:dyDescent="0.25">
      <c r="A515" s="13" t="s">
        <v>78</v>
      </c>
      <c r="B515" s="13">
        <v>79978</v>
      </c>
      <c r="C515" s="13" t="s">
        <v>41</v>
      </c>
      <c r="D515" s="13" t="s">
        <v>41</v>
      </c>
      <c r="E515" s="13" t="s">
        <v>397</v>
      </c>
      <c r="F515" s="13" t="s">
        <v>335</v>
      </c>
    </row>
    <row r="516" spans="1:6" hidden="1" x14ac:dyDescent="0.25">
      <c r="A516" s="13" t="s">
        <v>21</v>
      </c>
      <c r="B516" s="13">
        <v>79978</v>
      </c>
      <c r="C516" s="13" t="s">
        <v>41</v>
      </c>
      <c r="D516" s="13" t="s">
        <v>41</v>
      </c>
      <c r="E516" s="13" t="s">
        <v>397</v>
      </c>
      <c r="F516" s="13" t="s">
        <v>335</v>
      </c>
    </row>
    <row r="517" spans="1:6" hidden="1" x14ac:dyDescent="0.25">
      <c r="A517" s="13" t="s">
        <v>78</v>
      </c>
      <c r="B517" s="13">
        <v>82010</v>
      </c>
      <c r="C517" s="13" t="s">
        <v>1856</v>
      </c>
      <c r="D517" s="13" t="s">
        <v>1857</v>
      </c>
      <c r="E517" s="13" t="s">
        <v>2044</v>
      </c>
      <c r="F517" s="13" t="s">
        <v>335</v>
      </c>
    </row>
    <row r="518" spans="1:6" hidden="1" x14ac:dyDescent="0.25">
      <c r="A518" s="13" t="s">
        <v>78</v>
      </c>
      <c r="B518" s="13">
        <v>125262</v>
      </c>
      <c r="C518" s="13" t="s">
        <v>133</v>
      </c>
      <c r="D518" s="13" t="s">
        <v>19</v>
      </c>
      <c r="E518" s="13" t="s">
        <v>2439</v>
      </c>
      <c r="F518" s="13" t="s">
        <v>335</v>
      </c>
    </row>
    <row r="519" spans="1:6" hidden="1" x14ac:dyDescent="0.25">
      <c r="A519" s="13" t="s">
        <v>78</v>
      </c>
      <c r="B519" s="13">
        <v>80667</v>
      </c>
      <c r="C519" s="13" t="s">
        <v>141</v>
      </c>
      <c r="D519" s="13" t="s">
        <v>141</v>
      </c>
      <c r="E519" s="13" t="s">
        <v>259</v>
      </c>
      <c r="F519" s="13" t="s">
        <v>335</v>
      </c>
    </row>
    <row r="520" spans="1:6" hidden="1" x14ac:dyDescent="0.25">
      <c r="A520" s="13" t="s">
        <v>78</v>
      </c>
      <c r="B520" s="13">
        <v>79852</v>
      </c>
      <c r="C520" s="13" t="s">
        <v>18</v>
      </c>
      <c r="D520" s="13" t="s">
        <v>18</v>
      </c>
      <c r="E520" s="13" t="s">
        <v>2544</v>
      </c>
      <c r="F520" s="13" t="s">
        <v>335</v>
      </c>
    </row>
    <row r="521" spans="1:6" hidden="1" x14ac:dyDescent="0.25">
      <c r="A521" s="13" t="s">
        <v>78</v>
      </c>
      <c r="B521" s="13">
        <v>81764</v>
      </c>
      <c r="C521" s="13" t="s">
        <v>2247</v>
      </c>
      <c r="D521" s="13" t="s">
        <v>2247</v>
      </c>
      <c r="E521" s="13" t="s">
        <v>2248</v>
      </c>
      <c r="F521" s="13" t="s">
        <v>335</v>
      </c>
    </row>
    <row r="522" spans="1:6" hidden="1" x14ac:dyDescent="0.25">
      <c r="A522" s="13" t="s">
        <v>78</v>
      </c>
      <c r="B522" s="13">
        <v>15501</v>
      </c>
      <c r="C522" s="13" t="s">
        <v>9</v>
      </c>
      <c r="D522" s="13" t="s">
        <v>9</v>
      </c>
      <c r="E522" s="13" t="s">
        <v>299</v>
      </c>
      <c r="F522" s="13" t="s">
        <v>335</v>
      </c>
    </row>
    <row r="523" spans="1:6" hidden="1" x14ac:dyDescent="0.25">
      <c r="A523" s="13" t="s">
        <v>78</v>
      </c>
      <c r="B523" s="13">
        <v>80375</v>
      </c>
      <c r="C523" s="13" t="s">
        <v>398</v>
      </c>
      <c r="D523" s="13" t="s">
        <v>14</v>
      </c>
      <c r="E523" s="13" t="s">
        <v>2291</v>
      </c>
      <c r="F523" s="13" t="s">
        <v>335</v>
      </c>
    </row>
    <row r="524" spans="1:6" hidden="1" x14ac:dyDescent="0.25">
      <c r="A524" s="13" t="s">
        <v>78</v>
      </c>
      <c r="B524" s="13">
        <v>80377</v>
      </c>
      <c r="C524" s="13" t="s">
        <v>54</v>
      </c>
      <c r="D524" s="13" t="s">
        <v>14</v>
      </c>
      <c r="E524" s="13" t="s">
        <v>2128</v>
      </c>
      <c r="F524" s="13" t="s">
        <v>335</v>
      </c>
    </row>
    <row r="525" spans="1:6" hidden="1" x14ac:dyDescent="0.25">
      <c r="A525" s="13" t="s">
        <v>78</v>
      </c>
      <c r="B525" s="13">
        <v>81565</v>
      </c>
      <c r="C525" s="13" t="s">
        <v>67</v>
      </c>
      <c r="D525" s="13" t="s">
        <v>67</v>
      </c>
      <c r="E525" s="13" t="s">
        <v>2565</v>
      </c>
      <c r="F525" s="13" t="s">
        <v>335</v>
      </c>
    </row>
    <row r="526" spans="1:6" hidden="1" x14ac:dyDescent="0.25">
      <c r="A526" s="13" t="s">
        <v>78</v>
      </c>
      <c r="B526" s="13">
        <v>80961</v>
      </c>
      <c r="C526" s="13" t="s">
        <v>85</v>
      </c>
      <c r="D526" s="13" t="s">
        <v>85</v>
      </c>
      <c r="E526" s="13" t="s">
        <v>2110</v>
      </c>
      <c r="F526" s="13" t="s">
        <v>335</v>
      </c>
    </row>
    <row r="527" spans="1:6" hidden="1" x14ac:dyDescent="0.25">
      <c r="A527" s="13" t="s">
        <v>78</v>
      </c>
      <c r="B527" s="13">
        <v>82207</v>
      </c>
      <c r="C527" s="13" t="s">
        <v>411</v>
      </c>
      <c r="D527" s="13" t="s">
        <v>85</v>
      </c>
      <c r="E527" s="13" t="s">
        <v>2110</v>
      </c>
      <c r="F527" s="13" t="s">
        <v>335</v>
      </c>
    </row>
    <row r="528" spans="1:6" hidden="1" x14ac:dyDescent="0.25">
      <c r="A528" s="13" t="s">
        <v>78</v>
      </c>
      <c r="B528" s="13">
        <v>144310</v>
      </c>
      <c r="C528" s="13" t="s">
        <v>58</v>
      </c>
      <c r="D528" s="13" t="s">
        <v>58</v>
      </c>
      <c r="E528" s="13" t="s">
        <v>2563</v>
      </c>
      <c r="F528" s="13" t="s">
        <v>335</v>
      </c>
    </row>
    <row r="529" spans="1:6" hidden="1" x14ac:dyDescent="0.25">
      <c r="A529" s="13" t="s">
        <v>78</v>
      </c>
      <c r="B529" s="13">
        <v>79581</v>
      </c>
      <c r="C529" s="13" t="s">
        <v>1933</v>
      </c>
      <c r="D529" s="13" t="s">
        <v>1933</v>
      </c>
      <c r="E529" s="13" t="s">
        <v>2347</v>
      </c>
      <c r="F529" s="13" t="s">
        <v>335</v>
      </c>
    </row>
    <row r="530" spans="1:6" hidden="1" x14ac:dyDescent="0.25">
      <c r="A530" s="13" t="s">
        <v>78</v>
      </c>
      <c r="B530" s="13">
        <v>79581</v>
      </c>
      <c r="C530" s="13" t="s">
        <v>1933</v>
      </c>
      <c r="D530" s="13" t="s">
        <v>1933</v>
      </c>
      <c r="E530" s="13" t="s">
        <v>1934</v>
      </c>
      <c r="F530" s="13" t="s">
        <v>335</v>
      </c>
    </row>
    <row r="531" spans="1:6" hidden="1" x14ac:dyDescent="0.25">
      <c r="A531" s="13" t="s">
        <v>78</v>
      </c>
      <c r="B531" s="13">
        <v>15781</v>
      </c>
      <c r="C531" s="13" t="s">
        <v>12</v>
      </c>
      <c r="D531" s="13" t="s">
        <v>12</v>
      </c>
      <c r="E531" s="13" t="s">
        <v>456</v>
      </c>
      <c r="F531" s="13" t="s">
        <v>335</v>
      </c>
    </row>
    <row r="532" spans="1:6" hidden="1" x14ac:dyDescent="0.25">
      <c r="A532" s="13" t="s">
        <v>78</v>
      </c>
      <c r="B532" s="13">
        <v>82708</v>
      </c>
      <c r="C532" s="13" t="s">
        <v>55</v>
      </c>
      <c r="D532" s="13" t="s">
        <v>55</v>
      </c>
      <c r="E532" s="13" t="s">
        <v>2387</v>
      </c>
      <c r="F532" s="13" t="s">
        <v>335</v>
      </c>
    </row>
    <row r="533" spans="1:6" hidden="1" x14ac:dyDescent="0.25">
      <c r="A533" s="13" t="s">
        <v>78</v>
      </c>
      <c r="B533" s="13">
        <v>81175</v>
      </c>
      <c r="C533" s="13" t="s">
        <v>1861</v>
      </c>
      <c r="D533" s="13" t="s">
        <v>1862</v>
      </c>
      <c r="E533" s="13" t="s">
        <v>2040</v>
      </c>
      <c r="F533" s="13" t="s">
        <v>335</v>
      </c>
    </row>
    <row r="534" spans="1:6" hidden="1" x14ac:dyDescent="0.25">
      <c r="A534" s="13" t="s">
        <v>78</v>
      </c>
      <c r="B534" s="13">
        <v>122880</v>
      </c>
      <c r="C534" s="13" t="s">
        <v>9</v>
      </c>
      <c r="D534" s="13" t="s">
        <v>9</v>
      </c>
      <c r="E534" s="13" t="s">
        <v>2470</v>
      </c>
      <c r="F534" s="13" t="s">
        <v>335</v>
      </c>
    </row>
    <row r="535" spans="1:6" hidden="1" x14ac:dyDescent="0.25">
      <c r="A535" s="13" t="s">
        <v>78</v>
      </c>
      <c r="B535" s="13">
        <v>79476</v>
      </c>
      <c r="C535" s="13" t="s">
        <v>25</v>
      </c>
      <c r="D535" s="13" t="s">
        <v>25</v>
      </c>
      <c r="E535" s="13" t="s">
        <v>2149</v>
      </c>
      <c r="F535" s="13" t="s">
        <v>335</v>
      </c>
    </row>
    <row r="536" spans="1:6" hidden="1" x14ac:dyDescent="0.25">
      <c r="A536" s="13" t="s">
        <v>78</v>
      </c>
      <c r="B536" s="13">
        <v>79475</v>
      </c>
      <c r="C536" s="13" t="s">
        <v>25</v>
      </c>
      <c r="D536" s="13" t="s">
        <v>25</v>
      </c>
      <c r="E536" s="13" t="s">
        <v>2149</v>
      </c>
      <c r="F536" s="13" t="s">
        <v>335</v>
      </c>
    </row>
    <row r="537" spans="1:6" hidden="1" x14ac:dyDescent="0.25">
      <c r="A537" s="13" t="s">
        <v>78</v>
      </c>
      <c r="B537" s="13">
        <v>81260</v>
      </c>
      <c r="C537" s="13" t="s">
        <v>319</v>
      </c>
      <c r="D537" s="13" t="s">
        <v>2164</v>
      </c>
      <c r="E537" s="13" t="s">
        <v>2645</v>
      </c>
      <c r="F537" s="13" t="s">
        <v>335</v>
      </c>
    </row>
    <row r="538" spans="1:6" hidden="1" x14ac:dyDescent="0.25">
      <c r="A538" s="13" t="s">
        <v>78</v>
      </c>
      <c r="B538" s="13">
        <v>15501</v>
      </c>
      <c r="C538" s="13" t="s">
        <v>9</v>
      </c>
      <c r="D538" s="13" t="s">
        <v>9</v>
      </c>
      <c r="E538" s="13" t="s">
        <v>1988</v>
      </c>
      <c r="F538" s="13" t="s">
        <v>335</v>
      </c>
    </row>
    <row r="539" spans="1:6" hidden="1" x14ac:dyDescent="0.25">
      <c r="A539" s="13" t="s">
        <v>78</v>
      </c>
      <c r="B539" s="13">
        <v>18857</v>
      </c>
      <c r="C539" s="13" t="s">
        <v>110</v>
      </c>
      <c r="D539" s="13" t="s">
        <v>110</v>
      </c>
      <c r="E539" s="13" t="s">
        <v>2031</v>
      </c>
      <c r="F539" s="13" t="s">
        <v>335</v>
      </c>
    </row>
    <row r="540" spans="1:6" hidden="1" x14ac:dyDescent="0.25">
      <c r="A540" s="13" t="s">
        <v>78</v>
      </c>
      <c r="B540" s="13">
        <v>12402</v>
      </c>
      <c r="C540" s="13" t="s">
        <v>49</v>
      </c>
      <c r="D540" s="13" t="s">
        <v>49</v>
      </c>
      <c r="E540" s="13" t="s">
        <v>683</v>
      </c>
      <c r="F540" s="13" t="s">
        <v>335</v>
      </c>
    </row>
    <row r="541" spans="1:6" hidden="1" x14ac:dyDescent="0.25">
      <c r="A541" s="13" t="s">
        <v>78</v>
      </c>
      <c r="B541" s="13">
        <v>123746</v>
      </c>
      <c r="C541" s="13" t="s">
        <v>44</v>
      </c>
      <c r="D541" s="13" t="s">
        <v>45</v>
      </c>
      <c r="E541" s="13" t="s">
        <v>221</v>
      </c>
      <c r="F541" s="13" t="s">
        <v>335</v>
      </c>
    </row>
    <row r="542" spans="1:6" hidden="1" x14ac:dyDescent="0.25">
      <c r="A542" s="13" t="s">
        <v>78</v>
      </c>
      <c r="B542" s="13">
        <v>79329</v>
      </c>
      <c r="C542" s="13" t="s">
        <v>79</v>
      </c>
      <c r="D542" s="13" t="s">
        <v>1829</v>
      </c>
      <c r="E542" s="13" t="s">
        <v>308</v>
      </c>
      <c r="F542" s="13" t="s">
        <v>335</v>
      </c>
    </row>
    <row r="543" spans="1:6" hidden="1" x14ac:dyDescent="0.25">
      <c r="A543" s="13" t="s">
        <v>78</v>
      </c>
      <c r="B543" s="13">
        <v>79725</v>
      </c>
      <c r="C543" s="13" t="s">
        <v>79</v>
      </c>
      <c r="D543" s="13" t="s">
        <v>1829</v>
      </c>
      <c r="E543" s="13" t="s">
        <v>308</v>
      </c>
      <c r="F543" s="13" t="s">
        <v>335</v>
      </c>
    </row>
    <row r="544" spans="1:6" hidden="1" x14ac:dyDescent="0.25">
      <c r="A544" s="13" t="s">
        <v>21</v>
      </c>
      <c r="B544" s="13">
        <v>12402</v>
      </c>
      <c r="C544" s="13" t="s">
        <v>49</v>
      </c>
      <c r="D544" s="13" t="s">
        <v>49</v>
      </c>
      <c r="E544" s="13" t="s">
        <v>2550</v>
      </c>
      <c r="F544" s="13" t="s">
        <v>335</v>
      </c>
    </row>
    <row r="545" spans="1:6" hidden="1" x14ac:dyDescent="0.25">
      <c r="A545" s="13" t="s">
        <v>78</v>
      </c>
      <c r="B545" s="13">
        <v>12402</v>
      </c>
      <c r="C545" s="13" t="s">
        <v>49</v>
      </c>
      <c r="D545" s="13" t="s">
        <v>49</v>
      </c>
      <c r="E545" s="13" t="s">
        <v>2550</v>
      </c>
      <c r="F545" s="13" t="s">
        <v>335</v>
      </c>
    </row>
    <row r="546" spans="1:6" hidden="1" x14ac:dyDescent="0.25">
      <c r="A546" s="13" t="s">
        <v>78</v>
      </c>
      <c r="B546" s="13">
        <v>82010</v>
      </c>
      <c r="C546" s="13" t="s">
        <v>1856</v>
      </c>
      <c r="D546" s="13" t="s">
        <v>1857</v>
      </c>
      <c r="E546" s="13" t="s">
        <v>1032</v>
      </c>
      <c r="F546" s="13" t="s">
        <v>335</v>
      </c>
    </row>
    <row r="547" spans="1:6" hidden="1" x14ac:dyDescent="0.25">
      <c r="A547" s="13" t="s">
        <v>78</v>
      </c>
      <c r="B547" s="13">
        <v>80667</v>
      </c>
      <c r="C547" s="13" t="s">
        <v>141</v>
      </c>
      <c r="D547" s="13" t="s">
        <v>141</v>
      </c>
      <c r="E547" s="13" t="s">
        <v>1860</v>
      </c>
      <c r="F547" s="13" t="s">
        <v>335</v>
      </c>
    </row>
    <row r="548" spans="1:6" hidden="1" x14ac:dyDescent="0.25">
      <c r="A548" s="13" t="s">
        <v>78</v>
      </c>
      <c r="B548" s="13">
        <v>80510</v>
      </c>
      <c r="C548" s="13" t="s">
        <v>1856</v>
      </c>
      <c r="D548" s="13" t="s">
        <v>1871</v>
      </c>
      <c r="E548" s="13" t="s">
        <v>2389</v>
      </c>
      <c r="F548" s="13" t="s">
        <v>335</v>
      </c>
    </row>
    <row r="549" spans="1:6" hidden="1" x14ac:dyDescent="0.25">
      <c r="A549" s="13" t="s">
        <v>78</v>
      </c>
      <c r="B549" s="13">
        <v>14498</v>
      </c>
      <c r="C549" s="13" t="s">
        <v>13</v>
      </c>
      <c r="D549" s="13" t="s">
        <v>1818</v>
      </c>
      <c r="E549" s="13" t="s">
        <v>341</v>
      </c>
      <c r="F549" s="13" t="s">
        <v>335</v>
      </c>
    </row>
    <row r="550" spans="1:6" hidden="1" x14ac:dyDescent="0.25">
      <c r="A550" s="13" t="s">
        <v>78</v>
      </c>
      <c r="B550" s="13">
        <v>79744</v>
      </c>
      <c r="C550" s="13" t="s">
        <v>13</v>
      </c>
      <c r="D550" s="13" t="s">
        <v>1818</v>
      </c>
      <c r="E550" s="13" t="s">
        <v>341</v>
      </c>
      <c r="F550" s="13" t="s">
        <v>335</v>
      </c>
    </row>
    <row r="551" spans="1:6" hidden="1" x14ac:dyDescent="0.25">
      <c r="A551" s="13" t="s">
        <v>78</v>
      </c>
      <c r="B551" s="13">
        <v>81565</v>
      </c>
      <c r="C551" s="13" t="s">
        <v>67</v>
      </c>
      <c r="D551" s="13" t="s">
        <v>67</v>
      </c>
      <c r="E551" s="13" t="s">
        <v>2382</v>
      </c>
      <c r="F551" s="13" t="s">
        <v>335</v>
      </c>
    </row>
    <row r="552" spans="1:6" hidden="1" x14ac:dyDescent="0.25">
      <c r="A552" s="13" t="s">
        <v>21</v>
      </c>
      <c r="B552" s="13">
        <v>81565</v>
      </c>
      <c r="C552" s="13" t="s">
        <v>67</v>
      </c>
      <c r="D552" s="13" t="s">
        <v>67</v>
      </c>
      <c r="E552" s="13" t="s">
        <v>2382</v>
      </c>
      <c r="F552" s="13" t="s">
        <v>335</v>
      </c>
    </row>
    <row r="553" spans="1:6" hidden="1" x14ac:dyDescent="0.25">
      <c r="A553" s="13" t="s">
        <v>78</v>
      </c>
      <c r="B553" s="13">
        <v>79793</v>
      </c>
      <c r="C553" s="13" t="s">
        <v>1840</v>
      </c>
      <c r="D553" s="13" t="s">
        <v>1840</v>
      </c>
      <c r="E553" s="13" t="s">
        <v>2388</v>
      </c>
      <c r="F553" s="13" t="s">
        <v>335</v>
      </c>
    </row>
    <row r="554" spans="1:6" hidden="1" x14ac:dyDescent="0.25">
      <c r="A554" s="13" t="s">
        <v>78</v>
      </c>
      <c r="B554" s="13">
        <v>79449</v>
      </c>
      <c r="C554" s="13" t="s">
        <v>83</v>
      </c>
      <c r="D554" s="13" t="s">
        <v>83</v>
      </c>
      <c r="E554" s="13" t="s">
        <v>200</v>
      </c>
      <c r="F554" s="13" t="s">
        <v>335</v>
      </c>
    </row>
    <row r="555" spans="1:6" hidden="1" x14ac:dyDescent="0.25">
      <c r="A555" s="13" t="s">
        <v>78</v>
      </c>
      <c r="B555" s="13">
        <v>79752</v>
      </c>
      <c r="C555" s="13" t="s">
        <v>91</v>
      </c>
      <c r="D555" s="13" t="s">
        <v>83</v>
      </c>
      <c r="E555" s="13" t="s">
        <v>200</v>
      </c>
      <c r="F555" s="13" t="s">
        <v>335</v>
      </c>
    </row>
    <row r="556" spans="1:6" hidden="1" x14ac:dyDescent="0.25">
      <c r="A556" s="13" t="s">
        <v>78</v>
      </c>
      <c r="B556" s="13">
        <v>80240</v>
      </c>
      <c r="C556" s="13" t="s">
        <v>73</v>
      </c>
      <c r="D556" s="13" t="s">
        <v>73</v>
      </c>
      <c r="E556" s="13" t="s">
        <v>181</v>
      </c>
      <c r="F556" s="13" t="s">
        <v>335</v>
      </c>
    </row>
    <row r="557" spans="1:6" hidden="1" x14ac:dyDescent="0.25">
      <c r="A557" s="13" t="s">
        <v>78</v>
      </c>
      <c r="B557" s="13">
        <v>81772</v>
      </c>
      <c r="C557" s="13" t="s">
        <v>92</v>
      </c>
      <c r="D557" s="13" t="s">
        <v>92</v>
      </c>
      <c r="E557" s="13" t="s">
        <v>2457</v>
      </c>
      <c r="F557" s="13" t="s">
        <v>335</v>
      </c>
    </row>
    <row r="558" spans="1:6" hidden="1" x14ac:dyDescent="0.25">
      <c r="A558" s="13" t="s">
        <v>21</v>
      </c>
      <c r="B558" s="13">
        <v>81200</v>
      </c>
      <c r="C558" s="13" t="s">
        <v>2141</v>
      </c>
      <c r="D558" s="13" t="s">
        <v>2142</v>
      </c>
      <c r="E558" s="13" t="s">
        <v>2143</v>
      </c>
      <c r="F558" s="13" t="s">
        <v>335</v>
      </c>
    </row>
    <row r="559" spans="1:6" hidden="1" x14ac:dyDescent="0.25">
      <c r="A559" s="13" t="s">
        <v>21</v>
      </c>
      <c r="B559" s="13">
        <v>12402</v>
      </c>
      <c r="C559" s="13" t="s">
        <v>49</v>
      </c>
      <c r="D559" s="13" t="s">
        <v>49</v>
      </c>
      <c r="E559" s="13" t="s">
        <v>2113</v>
      </c>
      <c r="F559" s="13" t="s">
        <v>335</v>
      </c>
    </row>
    <row r="560" spans="1:6" hidden="1" x14ac:dyDescent="0.25">
      <c r="A560" s="13" t="s">
        <v>78</v>
      </c>
      <c r="B560" s="13">
        <v>12402</v>
      </c>
      <c r="C560" s="13" t="s">
        <v>49</v>
      </c>
      <c r="D560" s="13" t="s">
        <v>49</v>
      </c>
      <c r="E560" s="13" t="s">
        <v>2113</v>
      </c>
      <c r="F560" s="13" t="s">
        <v>335</v>
      </c>
    </row>
    <row r="561" spans="1:6" hidden="1" x14ac:dyDescent="0.25">
      <c r="A561" s="13" t="s">
        <v>78</v>
      </c>
      <c r="B561" s="13">
        <v>81380</v>
      </c>
      <c r="C561" s="13" t="s">
        <v>327</v>
      </c>
      <c r="D561" s="13" t="s">
        <v>327</v>
      </c>
      <c r="E561" s="13" t="s">
        <v>2194</v>
      </c>
      <c r="F561" s="13" t="s">
        <v>335</v>
      </c>
    </row>
    <row r="562" spans="1:6" hidden="1" x14ac:dyDescent="0.25">
      <c r="A562" s="13" t="s">
        <v>78</v>
      </c>
      <c r="B562" s="13">
        <v>81380</v>
      </c>
      <c r="C562" s="13" t="s">
        <v>327</v>
      </c>
      <c r="D562" s="13" t="s">
        <v>327</v>
      </c>
      <c r="E562" s="13" t="s">
        <v>2554</v>
      </c>
      <c r="F562" s="13" t="s">
        <v>335</v>
      </c>
    </row>
    <row r="563" spans="1:6" hidden="1" x14ac:dyDescent="0.25">
      <c r="A563" s="13" t="s">
        <v>78</v>
      </c>
      <c r="B563" s="13">
        <v>16705</v>
      </c>
      <c r="C563" s="13" t="s">
        <v>36</v>
      </c>
      <c r="D563" s="13" t="s">
        <v>36</v>
      </c>
      <c r="E563" s="13" t="s">
        <v>312</v>
      </c>
      <c r="F563" s="13" t="s">
        <v>335</v>
      </c>
    </row>
    <row r="564" spans="1:6" hidden="1" x14ac:dyDescent="0.25">
      <c r="A564" s="13" t="s">
        <v>21</v>
      </c>
      <c r="B564" s="13">
        <v>81760</v>
      </c>
      <c r="C564" s="13" t="s">
        <v>2615</v>
      </c>
      <c r="D564" s="13" t="s">
        <v>2331</v>
      </c>
      <c r="E564" s="13" t="s">
        <v>2332</v>
      </c>
      <c r="F564" s="13" t="s">
        <v>335</v>
      </c>
    </row>
    <row r="565" spans="1:6" hidden="1" x14ac:dyDescent="0.25">
      <c r="A565" s="13" t="s">
        <v>21</v>
      </c>
      <c r="B565" s="13">
        <v>81761</v>
      </c>
      <c r="C565" s="13" t="s">
        <v>355</v>
      </c>
      <c r="D565" s="13" t="s">
        <v>2331</v>
      </c>
      <c r="E565" s="13" t="s">
        <v>2332</v>
      </c>
      <c r="F565" s="13" t="s">
        <v>335</v>
      </c>
    </row>
    <row r="566" spans="1:6" hidden="1" x14ac:dyDescent="0.25">
      <c r="A566" s="13" t="s">
        <v>21</v>
      </c>
      <c r="B566" s="13">
        <v>81762</v>
      </c>
      <c r="C566" s="13" t="s">
        <v>2614</v>
      </c>
      <c r="D566" s="13" t="s">
        <v>2331</v>
      </c>
      <c r="E566" s="13" t="s">
        <v>2332</v>
      </c>
      <c r="F566" s="13" t="s">
        <v>335</v>
      </c>
    </row>
    <row r="567" spans="1:6" hidden="1" x14ac:dyDescent="0.25">
      <c r="A567" s="13" t="s">
        <v>21</v>
      </c>
      <c r="B567" s="13">
        <v>80066</v>
      </c>
      <c r="C567" s="13" t="s">
        <v>2635</v>
      </c>
      <c r="D567" s="13" t="s">
        <v>2472</v>
      </c>
      <c r="E567" s="13" t="s">
        <v>2636</v>
      </c>
      <c r="F567" s="13" t="s">
        <v>335</v>
      </c>
    </row>
    <row r="568" spans="1:6" hidden="1" x14ac:dyDescent="0.25">
      <c r="A568" s="13" t="s">
        <v>78</v>
      </c>
      <c r="B568" s="13">
        <v>80066</v>
      </c>
      <c r="C568" s="13" t="s">
        <v>2635</v>
      </c>
      <c r="D568" s="13" t="s">
        <v>2472</v>
      </c>
      <c r="E568" s="13" t="s">
        <v>2636</v>
      </c>
      <c r="F568" s="13" t="s">
        <v>335</v>
      </c>
    </row>
    <row r="569" spans="1:6" hidden="1" x14ac:dyDescent="0.25">
      <c r="A569" s="13" t="s">
        <v>78</v>
      </c>
      <c r="B569" s="13">
        <v>80314</v>
      </c>
      <c r="C569" s="13" t="s">
        <v>2246</v>
      </c>
      <c r="D569" s="13" t="s">
        <v>2246</v>
      </c>
      <c r="E569" s="13" t="s">
        <v>183</v>
      </c>
      <c r="F569" s="13" t="s">
        <v>335</v>
      </c>
    </row>
    <row r="570" spans="1:6" hidden="1" x14ac:dyDescent="0.25">
      <c r="A570" s="13" t="s">
        <v>78</v>
      </c>
      <c r="B570" s="13">
        <v>80233</v>
      </c>
      <c r="C570" s="13" t="s">
        <v>72</v>
      </c>
      <c r="D570" s="13" t="s">
        <v>72</v>
      </c>
      <c r="E570" s="13" t="s">
        <v>2506</v>
      </c>
      <c r="F570" s="13" t="s">
        <v>335</v>
      </c>
    </row>
    <row r="571" spans="1:6" hidden="1" x14ac:dyDescent="0.25">
      <c r="A571" s="13" t="s">
        <v>78</v>
      </c>
      <c r="B571" s="13">
        <v>80218</v>
      </c>
      <c r="C571" s="13" t="s">
        <v>71</v>
      </c>
      <c r="D571" s="13" t="s">
        <v>71</v>
      </c>
      <c r="E571" s="13" t="s">
        <v>307</v>
      </c>
      <c r="F571" s="13" t="s">
        <v>335</v>
      </c>
    </row>
    <row r="572" spans="1:6" hidden="1" x14ac:dyDescent="0.25">
      <c r="A572" s="13" t="s">
        <v>21</v>
      </c>
      <c r="B572" s="13">
        <v>81738</v>
      </c>
      <c r="C572" s="13" t="s">
        <v>1814</v>
      </c>
      <c r="D572" s="13" t="s">
        <v>26</v>
      </c>
      <c r="E572" s="13" t="s">
        <v>2367</v>
      </c>
      <c r="F572" s="13" t="s">
        <v>335</v>
      </c>
    </row>
    <row r="573" spans="1:6" hidden="1" x14ac:dyDescent="0.25">
      <c r="A573" s="13" t="s">
        <v>78</v>
      </c>
      <c r="B573" s="13">
        <v>82010</v>
      </c>
      <c r="C573" s="13" t="s">
        <v>1856</v>
      </c>
      <c r="D573" s="13" t="s">
        <v>1857</v>
      </c>
      <c r="E573" s="13" t="s">
        <v>2119</v>
      </c>
      <c r="F573" s="13" t="s">
        <v>335</v>
      </c>
    </row>
    <row r="574" spans="1:6" hidden="1" x14ac:dyDescent="0.25">
      <c r="A574" s="13" t="s">
        <v>78</v>
      </c>
      <c r="B574" s="13">
        <v>81772</v>
      </c>
      <c r="C574" s="13" t="s">
        <v>92</v>
      </c>
      <c r="D574" s="13" t="s">
        <v>92</v>
      </c>
      <c r="E574" s="13" t="s">
        <v>2336</v>
      </c>
      <c r="F574" s="13" t="s">
        <v>335</v>
      </c>
    </row>
    <row r="575" spans="1:6" hidden="1" x14ac:dyDescent="0.25">
      <c r="A575" s="13" t="s">
        <v>78</v>
      </c>
      <c r="B575" s="13">
        <v>144310</v>
      </c>
      <c r="C575" s="13" t="s">
        <v>58</v>
      </c>
      <c r="D575" s="13" t="s">
        <v>58</v>
      </c>
      <c r="E575" s="13" t="s">
        <v>2229</v>
      </c>
      <c r="F575" s="13" t="s">
        <v>335</v>
      </c>
    </row>
    <row r="576" spans="1:6" hidden="1" x14ac:dyDescent="0.25">
      <c r="A576" s="13" t="s">
        <v>21</v>
      </c>
      <c r="B576" s="13">
        <v>81647</v>
      </c>
      <c r="C576" s="13" t="s">
        <v>372</v>
      </c>
      <c r="D576" s="13" t="s">
        <v>372</v>
      </c>
      <c r="E576" s="13" t="s">
        <v>2329</v>
      </c>
      <c r="F576" s="13" t="s">
        <v>335</v>
      </c>
    </row>
    <row r="577" spans="1:6" hidden="1" x14ac:dyDescent="0.25">
      <c r="A577" s="13" t="s">
        <v>21</v>
      </c>
      <c r="B577" s="13">
        <v>80515</v>
      </c>
      <c r="C577" s="13" t="s">
        <v>124</v>
      </c>
      <c r="D577" s="13" t="s">
        <v>124</v>
      </c>
      <c r="E577" s="13" t="s">
        <v>2041</v>
      </c>
      <c r="F577" s="13" t="s">
        <v>335</v>
      </c>
    </row>
    <row r="578" spans="1:6" hidden="1" x14ac:dyDescent="0.25">
      <c r="A578" s="13" t="s">
        <v>78</v>
      </c>
      <c r="B578" s="13">
        <v>80375</v>
      </c>
      <c r="C578" s="13" t="s">
        <v>398</v>
      </c>
      <c r="D578" s="13" t="s">
        <v>14</v>
      </c>
      <c r="E578" s="13" t="s">
        <v>2100</v>
      </c>
      <c r="F578" s="13" t="s">
        <v>335</v>
      </c>
    </row>
    <row r="579" spans="1:6" hidden="1" x14ac:dyDescent="0.25">
      <c r="A579" s="13" t="s">
        <v>78</v>
      </c>
      <c r="B579" s="13">
        <v>15501</v>
      </c>
      <c r="C579" s="13" t="s">
        <v>9</v>
      </c>
      <c r="D579" s="13" t="s">
        <v>9</v>
      </c>
      <c r="E579" s="13" t="s">
        <v>2153</v>
      </c>
      <c r="F579" s="13" t="s">
        <v>335</v>
      </c>
    </row>
    <row r="580" spans="1:6" hidden="1" x14ac:dyDescent="0.25">
      <c r="A580" s="13" t="s">
        <v>21</v>
      </c>
      <c r="B580" s="13">
        <v>81595</v>
      </c>
      <c r="C580" s="13" t="s">
        <v>1873</v>
      </c>
      <c r="D580" s="13" t="s">
        <v>1874</v>
      </c>
      <c r="E580" s="13" t="s">
        <v>369</v>
      </c>
      <c r="F580" s="13" t="s">
        <v>335</v>
      </c>
    </row>
    <row r="581" spans="1:6" hidden="1" x14ac:dyDescent="0.25">
      <c r="A581" s="13" t="s">
        <v>78</v>
      </c>
      <c r="B581" s="13">
        <v>82768</v>
      </c>
      <c r="C581" s="13" t="s">
        <v>115</v>
      </c>
      <c r="D581" s="13" t="s">
        <v>33</v>
      </c>
      <c r="E581" s="13" t="s">
        <v>414</v>
      </c>
      <c r="F581" s="13" t="s">
        <v>335</v>
      </c>
    </row>
    <row r="582" spans="1:6" hidden="1" x14ac:dyDescent="0.25">
      <c r="A582" s="13" t="s">
        <v>78</v>
      </c>
      <c r="B582" s="13">
        <v>82255</v>
      </c>
      <c r="C582" s="13" t="s">
        <v>115</v>
      </c>
      <c r="D582" s="13" t="s">
        <v>33</v>
      </c>
      <c r="E582" s="13" t="s">
        <v>414</v>
      </c>
      <c r="F582" s="13" t="s">
        <v>335</v>
      </c>
    </row>
    <row r="583" spans="1:6" hidden="1" x14ac:dyDescent="0.25">
      <c r="A583" s="13" t="s">
        <v>78</v>
      </c>
      <c r="B583" s="13">
        <v>79773</v>
      </c>
      <c r="C583" s="13" t="s">
        <v>65</v>
      </c>
      <c r="D583" s="13" t="s">
        <v>65</v>
      </c>
      <c r="E583" s="13" t="s">
        <v>2011</v>
      </c>
      <c r="F583" s="13" t="s">
        <v>335</v>
      </c>
    </row>
    <row r="584" spans="1:6" hidden="1" x14ac:dyDescent="0.25">
      <c r="A584" s="13" t="s">
        <v>78</v>
      </c>
      <c r="B584" s="13">
        <v>14419</v>
      </c>
      <c r="C584" s="13" t="s">
        <v>34</v>
      </c>
      <c r="D584" s="13" t="s">
        <v>33</v>
      </c>
      <c r="E584" s="13" t="s">
        <v>217</v>
      </c>
      <c r="F584" s="13" t="s">
        <v>335</v>
      </c>
    </row>
    <row r="585" spans="1:6" hidden="1" x14ac:dyDescent="0.25">
      <c r="A585" s="13" t="s">
        <v>78</v>
      </c>
      <c r="B585" s="13">
        <v>81847</v>
      </c>
      <c r="C585" s="13" t="s">
        <v>410</v>
      </c>
      <c r="D585" s="13" t="s">
        <v>2063</v>
      </c>
      <c r="E585" s="13" t="s">
        <v>2064</v>
      </c>
      <c r="F585" s="13" t="s">
        <v>335</v>
      </c>
    </row>
    <row r="586" spans="1:6" hidden="1" x14ac:dyDescent="0.25">
      <c r="A586" s="13" t="s">
        <v>78</v>
      </c>
      <c r="B586" s="13">
        <v>15471</v>
      </c>
      <c r="C586" s="13" t="s">
        <v>27</v>
      </c>
      <c r="D586" s="13" t="s">
        <v>27</v>
      </c>
      <c r="E586" s="13" t="s">
        <v>1615</v>
      </c>
      <c r="F586" s="13" t="s">
        <v>335</v>
      </c>
    </row>
    <row r="587" spans="1:6" hidden="1" x14ac:dyDescent="0.25">
      <c r="A587" s="13" t="s">
        <v>78</v>
      </c>
      <c r="B587" s="13">
        <v>82846</v>
      </c>
      <c r="C587" s="13" t="s">
        <v>2156</v>
      </c>
      <c r="D587" s="13" t="s">
        <v>2156</v>
      </c>
      <c r="E587" s="13" t="s">
        <v>2157</v>
      </c>
      <c r="F587" s="13" t="s">
        <v>335</v>
      </c>
    </row>
    <row r="588" spans="1:6" hidden="1" x14ac:dyDescent="0.25">
      <c r="A588" s="13" t="s">
        <v>21</v>
      </c>
      <c r="B588" s="13">
        <v>80834</v>
      </c>
      <c r="C588" s="13" t="s">
        <v>1925</v>
      </c>
      <c r="D588" s="13" t="s">
        <v>1925</v>
      </c>
      <c r="E588" s="13" t="s">
        <v>688</v>
      </c>
      <c r="F588" s="13" t="s">
        <v>335</v>
      </c>
    </row>
    <row r="589" spans="1:6" hidden="1" x14ac:dyDescent="0.25">
      <c r="A589" s="13" t="s">
        <v>78</v>
      </c>
      <c r="B589" s="13">
        <v>80834</v>
      </c>
      <c r="C589" s="13" t="s">
        <v>1925</v>
      </c>
      <c r="D589" s="13" t="s">
        <v>1925</v>
      </c>
      <c r="E589" s="13" t="s">
        <v>688</v>
      </c>
      <c r="F589" s="13" t="s">
        <v>335</v>
      </c>
    </row>
    <row r="590" spans="1:6" hidden="1" x14ac:dyDescent="0.25">
      <c r="A590" s="13" t="s">
        <v>78</v>
      </c>
      <c r="B590" s="13">
        <v>81344</v>
      </c>
      <c r="C590" s="13" t="s">
        <v>365</v>
      </c>
      <c r="D590" s="13" t="s">
        <v>365</v>
      </c>
      <c r="E590" s="13" t="s">
        <v>688</v>
      </c>
      <c r="F590" s="13" t="s">
        <v>335</v>
      </c>
    </row>
    <row r="591" spans="1:6" hidden="1" x14ac:dyDescent="0.25">
      <c r="A591" s="13" t="s">
        <v>78</v>
      </c>
      <c r="B591" s="13">
        <v>80990</v>
      </c>
      <c r="C591" s="13" t="s">
        <v>315</v>
      </c>
      <c r="D591" s="13" t="s">
        <v>107</v>
      </c>
      <c r="E591" s="13" t="s">
        <v>256</v>
      </c>
      <c r="F591" s="13" t="s">
        <v>335</v>
      </c>
    </row>
    <row r="592" spans="1:6" hidden="1" x14ac:dyDescent="0.25">
      <c r="A592" s="13" t="s">
        <v>78</v>
      </c>
      <c r="B592" s="13">
        <v>82865</v>
      </c>
      <c r="C592" s="13" t="s">
        <v>1893</v>
      </c>
      <c r="D592" s="13" t="s">
        <v>1893</v>
      </c>
      <c r="E592" s="13" t="s">
        <v>2442</v>
      </c>
      <c r="F592" s="13" t="s">
        <v>335</v>
      </c>
    </row>
    <row r="593" spans="1:6" hidden="1" x14ac:dyDescent="0.25">
      <c r="A593" s="13" t="s">
        <v>78</v>
      </c>
      <c r="B593" s="13">
        <v>14334</v>
      </c>
      <c r="C593" s="13" t="s">
        <v>102</v>
      </c>
      <c r="D593" s="13" t="s">
        <v>102</v>
      </c>
      <c r="E593" s="13" t="s">
        <v>2273</v>
      </c>
      <c r="F593" s="13" t="s">
        <v>335</v>
      </c>
    </row>
    <row r="594" spans="1:6" hidden="1" x14ac:dyDescent="0.25">
      <c r="A594" s="13" t="s">
        <v>21</v>
      </c>
      <c r="B594" s="13">
        <v>82695</v>
      </c>
      <c r="C594" s="13" t="s">
        <v>363</v>
      </c>
      <c r="D594" s="13" t="s">
        <v>363</v>
      </c>
      <c r="E594" s="13" t="s">
        <v>261</v>
      </c>
      <c r="F594" s="13" t="s">
        <v>335</v>
      </c>
    </row>
    <row r="595" spans="1:6" hidden="1" x14ac:dyDescent="0.25">
      <c r="A595" s="13" t="s">
        <v>78</v>
      </c>
      <c r="B595" s="13">
        <v>15781</v>
      </c>
      <c r="C595" s="13" t="s">
        <v>12</v>
      </c>
      <c r="D595" s="13" t="s">
        <v>12</v>
      </c>
      <c r="E595" s="13" t="s">
        <v>1761</v>
      </c>
      <c r="F595" s="13" t="s">
        <v>335</v>
      </c>
    </row>
    <row r="596" spans="1:6" hidden="1" x14ac:dyDescent="0.25">
      <c r="A596" s="13" t="s">
        <v>78</v>
      </c>
      <c r="B596" s="13">
        <v>15471</v>
      </c>
      <c r="C596" s="13" t="s">
        <v>27</v>
      </c>
      <c r="D596" s="13" t="s">
        <v>27</v>
      </c>
      <c r="E596" s="13" t="s">
        <v>2503</v>
      </c>
      <c r="F596" s="13" t="s">
        <v>335</v>
      </c>
    </row>
    <row r="597" spans="1:6" hidden="1" x14ac:dyDescent="0.25">
      <c r="A597" s="13" t="s">
        <v>78</v>
      </c>
      <c r="B597" s="13">
        <v>18857</v>
      </c>
      <c r="C597" s="13" t="s">
        <v>110</v>
      </c>
      <c r="D597" s="13" t="s">
        <v>110</v>
      </c>
      <c r="E597" s="13" t="s">
        <v>2308</v>
      </c>
      <c r="F597" s="13" t="s">
        <v>335</v>
      </c>
    </row>
    <row r="598" spans="1:6" hidden="1" x14ac:dyDescent="0.25">
      <c r="A598" s="13" t="s">
        <v>78</v>
      </c>
      <c r="B598" s="13">
        <v>82807</v>
      </c>
      <c r="C598" s="13" t="s">
        <v>2047</v>
      </c>
      <c r="D598" s="13" t="s">
        <v>24</v>
      </c>
      <c r="E598" s="13" t="s">
        <v>2348</v>
      </c>
      <c r="F598" s="13" t="s">
        <v>335</v>
      </c>
    </row>
    <row r="599" spans="1:6" hidden="1" x14ac:dyDescent="0.25">
      <c r="A599" s="13" t="s">
        <v>21</v>
      </c>
      <c r="B599" s="13">
        <v>80515</v>
      </c>
      <c r="C599" s="13" t="s">
        <v>124</v>
      </c>
      <c r="D599" s="13" t="s">
        <v>124</v>
      </c>
      <c r="E599" s="13" t="s">
        <v>146</v>
      </c>
      <c r="F599" s="13" t="s">
        <v>335</v>
      </c>
    </row>
    <row r="600" spans="1:6" hidden="1" x14ac:dyDescent="0.25">
      <c r="A600" s="13" t="s">
        <v>78</v>
      </c>
      <c r="B600" s="13">
        <v>80515</v>
      </c>
      <c r="C600" s="13" t="s">
        <v>124</v>
      </c>
      <c r="D600" s="13" t="s">
        <v>124</v>
      </c>
      <c r="E600" s="13" t="s">
        <v>146</v>
      </c>
      <c r="F600" s="13" t="s">
        <v>335</v>
      </c>
    </row>
    <row r="601" spans="1:6" hidden="1" x14ac:dyDescent="0.25">
      <c r="A601" s="13" t="s">
        <v>78</v>
      </c>
      <c r="B601" s="13">
        <v>144310</v>
      </c>
      <c r="C601" s="13" t="s">
        <v>58</v>
      </c>
      <c r="D601" s="13" t="s">
        <v>58</v>
      </c>
      <c r="E601" s="13" t="s">
        <v>2214</v>
      </c>
      <c r="F601" s="13" t="s">
        <v>335</v>
      </c>
    </row>
    <row r="602" spans="1:6" hidden="1" x14ac:dyDescent="0.25">
      <c r="A602" s="13" t="s">
        <v>78</v>
      </c>
      <c r="B602" s="13">
        <v>79963</v>
      </c>
      <c r="C602" s="13" t="s">
        <v>94</v>
      </c>
      <c r="D602" s="13" t="s">
        <v>94</v>
      </c>
      <c r="E602" s="13" t="s">
        <v>2249</v>
      </c>
      <c r="F602" s="13" t="s">
        <v>335</v>
      </c>
    </row>
    <row r="603" spans="1:6" hidden="1" x14ac:dyDescent="0.25">
      <c r="A603" s="13" t="s">
        <v>78</v>
      </c>
      <c r="B603" s="13">
        <v>79400</v>
      </c>
      <c r="C603" s="13" t="s">
        <v>81</v>
      </c>
      <c r="D603" s="13" t="s">
        <v>94</v>
      </c>
      <c r="E603" s="13" t="s">
        <v>2249</v>
      </c>
      <c r="F603" s="13" t="s">
        <v>335</v>
      </c>
    </row>
    <row r="604" spans="1:6" hidden="1" x14ac:dyDescent="0.25">
      <c r="A604" s="13" t="s">
        <v>78</v>
      </c>
      <c r="B604" s="13">
        <v>80111</v>
      </c>
      <c r="C604" s="13" t="s">
        <v>2009</v>
      </c>
      <c r="D604" s="13" t="s">
        <v>152</v>
      </c>
      <c r="E604" s="13" t="s">
        <v>2169</v>
      </c>
      <c r="F604" s="13" t="s">
        <v>335</v>
      </c>
    </row>
    <row r="605" spans="1:6" hidden="1" x14ac:dyDescent="0.25">
      <c r="A605" s="13" t="s">
        <v>21</v>
      </c>
      <c r="B605" s="13">
        <v>80217</v>
      </c>
      <c r="C605" s="13" t="s">
        <v>42</v>
      </c>
      <c r="D605" s="13" t="s">
        <v>42</v>
      </c>
      <c r="E605" s="13" t="s">
        <v>157</v>
      </c>
      <c r="F605" s="13" t="s">
        <v>335</v>
      </c>
    </row>
    <row r="606" spans="1:6" hidden="1" x14ac:dyDescent="0.25">
      <c r="A606" s="13" t="s">
        <v>21</v>
      </c>
      <c r="B606" s="13">
        <v>125478</v>
      </c>
      <c r="C606" s="13" t="s">
        <v>2086</v>
      </c>
      <c r="D606" s="13" t="s">
        <v>42</v>
      </c>
      <c r="E606" s="13" t="s">
        <v>157</v>
      </c>
      <c r="F606" s="13" t="s">
        <v>335</v>
      </c>
    </row>
    <row r="607" spans="1:6" hidden="1" x14ac:dyDescent="0.25">
      <c r="A607" s="13" t="s">
        <v>21</v>
      </c>
      <c r="B607" s="13">
        <v>125565</v>
      </c>
      <c r="C607" s="13" t="s">
        <v>140</v>
      </c>
      <c r="D607" s="13" t="s">
        <v>140</v>
      </c>
      <c r="E607" s="13" t="s">
        <v>2217</v>
      </c>
      <c r="F607" s="13" t="s">
        <v>335</v>
      </c>
    </row>
    <row r="608" spans="1:6" hidden="1" x14ac:dyDescent="0.25">
      <c r="A608" s="13" t="s">
        <v>78</v>
      </c>
      <c r="B608" s="13">
        <v>125565</v>
      </c>
      <c r="C608" s="13" t="s">
        <v>140</v>
      </c>
      <c r="D608" s="13" t="s">
        <v>140</v>
      </c>
      <c r="E608" s="13" t="s">
        <v>2217</v>
      </c>
      <c r="F608" s="13" t="s">
        <v>335</v>
      </c>
    </row>
    <row r="609" spans="1:6" hidden="1" x14ac:dyDescent="0.25">
      <c r="A609" s="13" t="s">
        <v>78</v>
      </c>
      <c r="B609" s="13">
        <v>144548</v>
      </c>
      <c r="C609" s="13" t="s">
        <v>338</v>
      </c>
      <c r="D609" s="13" t="s">
        <v>338</v>
      </c>
      <c r="E609" s="13" t="s">
        <v>219</v>
      </c>
      <c r="F609" s="13" t="s">
        <v>335</v>
      </c>
    </row>
    <row r="610" spans="1:6" hidden="1" x14ac:dyDescent="0.25">
      <c r="A610" s="13" t="s">
        <v>21</v>
      </c>
      <c r="B610" s="13">
        <v>144548</v>
      </c>
      <c r="C610" s="13" t="s">
        <v>338</v>
      </c>
      <c r="D610" s="13" t="s">
        <v>338</v>
      </c>
      <c r="E610" s="13" t="s">
        <v>219</v>
      </c>
      <c r="F610" s="13" t="s">
        <v>335</v>
      </c>
    </row>
    <row r="611" spans="1:6" hidden="1" x14ac:dyDescent="0.25">
      <c r="A611" s="13" t="s">
        <v>78</v>
      </c>
      <c r="B611" s="13">
        <v>144548</v>
      </c>
      <c r="C611" s="13" t="s">
        <v>338</v>
      </c>
      <c r="D611" s="13" t="s">
        <v>338</v>
      </c>
      <c r="E611" s="13" t="s">
        <v>1945</v>
      </c>
      <c r="F611" s="13" t="s">
        <v>335</v>
      </c>
    </row>
    <row r="612" spans="1:6" hidden="1" x14ac:dyDescent="0.25">
      <c r="A612" s="13" t="s">
        <v>78</v>
      </c>
      <c r="B612" s="13">
        <v>144310</v>
      </c>
      <c r="C612" s="13" t="s">
        <v>58</v>
      </c>
      <c r="D612" s="13" t="s">
        <v>58</v>
      </c>
      <c r="E612" s="13" t="s">
        <v>2154</v>
      </c>
      <c r="F612" s="13" t="s">
        <v>335</v>
      </c>
    </row>
    <row r="613" spans="1:6" hidden="1" x14ac:dyDescent="0.25">
      <c r="A613" s="13" t="s">
        <v>21</v>
      </c>
      <c r="B613" s="13">
        <v>122886</v>
      </c>
      <c r="C613" s="13" t="s">
        <v>1795</v>
      </c>
      <c r="D613" s="13" t="s">
        <v>10</v>
      </c>
      <c r="E613" s="13" t="s">
        <v>1822</v>
      </c>
      <c r="F613" s="13" t="s">
        <v>335</v>
      </c>
    </row>
    <row r="614" spans="1:6" hidden="1" x14ac:dyDescent="0.25">
      <c r="A614" s="13" t="s">
        <v>78</v>
      </c>
      <c r="B614" s="13">
        <v>80509</v>
      </c>
      <c r="C614" s="13" t="s">
        <v>1856</v>
      </c>
      <c r="D614" s="13" t="s">
        <v>2370</v>
      </c>
      <c r="E614" s="13" t="s">
        <v>2520</v>
      </c>
      <c r="F614" s="13" t="s">
        <v>335</v>
      </c>
    </row>
    <row r="615" spans="1:6" hidden="1" x14ac:dyDescent="0.25">
      <c r="A615" s="13" t="s">
        <v>78</v>
      </c>
      <c r="B615" s="13">
        <v>75777</v>
      </c>
      <c r="C615" s="13" t="s">
        <v>94</v>
      </c>
      <c r="D615" s="13" t="s">
        <v>94</v>
      </c>
      <c r="E615" s="13" t="s">
        <v>204</v>
      </c>
      <c r="F615" s="13" t="s">
        <v>335</v>
      </c>
    </row>
    <row r="616" spans="1:6" hidden="1" x14ac:dyDescent="0.25">
      <c r="A616" s="13" t="s">
        <v>78</v>
      </c>
      <c r="B616" s="13">
        <v>79258</v>
      </c>
      <c r="C616" s="13" t="s">
        <v>398</v>
      </c>
      <c r="D616" s="13" t="s">
        <v>14</v>
      </c>
      <c r="E616" s="13" t="s">
        <v>461</v>
      </c>
      <c r="F616" s="13" t="s">
        <v>335</v>
      </c>
    </row>
    <row r="617" spans="1:6" hidden="1" x14ac:dyDescent="0.25">
      <c r="A617" s="13" t="s">
        <v>21</v>
      </c>
      <c r="B617" s="13">
        <v>80107</v>
      </c>
      <c r="C617" s="13" t="s">
        <v>70</v>
      </c>
      <c r="D617" s="13" t="s">
        <v>70</v>
      </c>
      <c r="E617" s="13" t="s">
        <v>586</v>
      </c>
      <c r="F617" s="13" t="s">
        <v>335</v>
      </c>
    </row>
    <row r="618" spans="1:6" hidden="1" x14ac:dyDescent="0.25">
      <c r="A618" s="13" t="s">
        <v>78</v>
      </c>
      <c r="B618" s="13">
        <v>80650</v>
      </c>
      <c r="C618" s="13" t="s">
        <v>130</v>
      </c>
      <c r="D618" s="13" t="s">
        <v>130</v>
      </c>
      <c r="E618" s="13" t="s">
        <v>405</v>
      </c>
      <c r="F618" s="13" t="s">
        <v>335</v>
      </c>
    </row>
    <row r="619" spans="1:6" hidden="1" x14ac:dyDescent="0.25">
      <c r="A619" s="13" t="s">
        <v>78</v>
      </c>
      <c r="B619" s="13">
        <v>144310</v>
      </c>
      <c r="C619" s="13" t="s">
        <v>58</v>
      </c>
      <c r="D619" s="13" t="s">
        <v>58</v>
      </c>
      <c r="E619" s="13" t="s">
        <v>2198</v>
      </c>
      <c r="F619" s="13" t="s">
        <v>335</v>
      </c>
    </row>
    <row r="620" spans="1:6" hidden="1" x14ac:dyDescent="0.25">
      <c r="A620" s="13" t="s">
        <v>21</v>
      </c>
      <c r="B620" s="13">
        <v>81765</v>
      </c>
      <c r="C620" s="13" t="s">
        <v>1930</v>
      </c>
      <c r="D620" s="13" t="s">
        <v>1930</v>
      </c>
      <c r="E620" s="13" t="s">
        <v>2556</v>
      </c>
      <c r="F620" s="13" t="s">
        <v>335</v>
      </c>
    </row>
    <row r="621" spans="1:6" hidden="1" x14ac:dyDescent="0.25">
      <c r="A621" s="13" t="s">
        <v>78</v>
      </c>
      <c r="B621" s="13">
        <v>79964</v>
      </c>
      <c r="C621" s="13" t="s">
        <v>95</v>
      </c>
      <c r="D621" s="13" t="s">
        <v>107</v>
      </c>
      <c r="E621" s="13" t="s">
        <v>1943</v>
      </c>
      <c r="F621" s="13" t="s">
        <v>335</v>
      </c>
    </row>
    <row r="622" spans="1:6" hidden="1" x14ac:dyDescent="0.25">
      <c r="A622" s="13" t="s">
        <v>78</v>
      </c>
      <c r="B622" s="13">
        <v>80667</v>
      </c>
      <c r="C622" s="13" t="s">
        <v>141</v>
      </c>
      <c r="D622" s="13" t="s">
        <v>141</v>
      </c>
      <c r="E622" s="13" t="s">
        <v>260</v>
      </c>
      <c r="F622" s="13" t="s">
        <v>335</v>
      </c>
    </row>
    <row r="623" spans="1:6" hidden="1" x14ac:dyDescent="0.25">
      <c r="A623" s="13" t="s">
        <v>21</v>
      </c>
      <c r="B623" s="13">
        <v>80667</v>
      </c>
      <c r="C623" s="13" t="s">
        <v>141</v>
      </c>
      <c r="D623" s="13" t="s">
        <v>141</v>
      </c>
      <c r="E623" s="13" t="s">
        <v>260</v>
      </c>
      <c r="F623" s="13" t="s">
        <v>335</v>
      </c>
    </row>
    <row r="624" spans="1:6" hidden="1" x14ac:dyDescent="0.25">
      <c r="A624" s="13" t="s">
        <v>21</v>
      </c>
      <c r="B624" s="13">
        <v>83029</v>
      </c>
      <c r="C624" s="13" t="s">
        <v>141</v>
      </c>
      <c r="D624" s="13" t="s">
        <v>141</v>
      </c>
      <c r="E624" s="13" t="s">
        <v>260</v>
      </c>
      <c r="F624" s="13" t="s">
        <v>335</v>
      </c>
    </row>
    <row r="625" spans="1:6" hidden="1" x14ac:dyDescent="0.25">
      <c r="A625" s="13" t="s">
        <v>78</v>
      </c>
      <c r="B625" s="13">
        <v>80386</v>
      </c>
      <c r="C625" s="13" t="s">
        <v>77</v>
      </c>
      <c r="D625" s="13" t="s">
        <v>77</v>
      </c>
      <c r="E625" s="13" t="s">
        <v>2319</v>
      </c>
      <c r="F625" s="13" t="s">
        <v>335</v>
      </c>
    </row>
    <row r="626" spans="1:6" hidden="1" x14ac:dyDescent="0.25">
      <c r="A626" s="13" t="s">
        <v>78</v>
      </c>
      <c r="B626" s="13">
        <v>80404</v>
      </c>
      <c r="C626" s="13" t="s">
        <v>1983</v>
      </c>
      <c r="D626" s="13" t="s">
        <v>1984</v>
      </c>
      <c r="E626" s="13" t="s">
        <v>349</v>
      </c>
      <c r="F626" s="13" t="s">
        <v>335</v>
      </c>
    </row>
    <row r="627" spans="1:6" hidden="1" x14ac:dyDescent="0.25">
      <c r="A627" s="13" t="s">
        <v>78</v>
      </c>
      <c r="B627" s="13">
        <v>15501</v>
      </c>
      <c r="C627" s="13" t="s">
        <v>9</v>
      </c>
      <c r="D627" s="13" t="s">
        <v>9</v>
      </c>
      <c r="E627" s="13" t="s">
        <v>2493</v>
      </c>
      <c r="F627" s="13" t="s">
        <v>335</v>
      </c>
    </row>
    <row r="628" spans="1:6" hidden="1" x14ac:dyDescent="0.25">
      <c r="A628" s="13" t="s">
        <v>78</v>
      </c>
      <c r="B628" s="13">
        <v>81643</v>
      </c>
      <c r="C628" s="13" t="s">
        <v>93</v>
      </c>
      <c r="D628" s="13" t="s">
        <v>1903</v>
      </c>
      <c r="E628" s="13" t="s">
        <v>2479</v>
      </c>
      <c r="F628" s="13" t="s">
        <v>335</v>
      </c>
    </row>
    <row r="629" spans="1:6" hidden="1" x14ac:dyDescent="0.25">
      <c r="A629" s="13" t="s">
        <v>78</v>
      </c>
      <c r="B629" s="13">
        <v>15501</v>
      </c>
      <c r="C629" s="13" t="s">
        <v>9</v>
      </c>
      <c r="D629" s="13" t="s">
        <v>9</v>
      </c>
      <c r="E629" s="13" t="s">
        <v>2268</v>
      </c>
      <c r="F629" s="13" t="s">
        <v>335</v>
      </c>
    </row>
    <row r="630" spans="1:6" hidden="1" x14ac:dyDescent="0.25">
      <c r="A630" s="13" t="s">
        <v>21</v>
      </c>
      <c r="B630" s="13">
        <v>82869</v>
      </c>
      <c r="C630" s="13" t="s">
        <v>63</v>
      </c>
      <c r="D630" s="13" t="s">
        <v>85</v>
      </c>
      <c r="E630" s="13" t="s">
        <v>2647</v>
      </c>
      <c r="F630" s="13" t="s">
        <v>335</v>
      </c>
    </row>
    <row r="631" spans="1:6" hidden="1" x14ac:dyDescent="0.25">
      <c r="A631" s="13" t="s">
        <v>78</v>
      </c>
      <c r="B631" s="13">
        <v>80573</v>
      </c>
      <c r="C631" s="13" t="s">
        <v>127</v>
      </c>
      <c r="D631" s="13" t="s">
        <v>1974</v>
      </c>
      <c r="E631" s="13" t="s">
        <v>451</v>
      </c>
      <c r="F631" s="13" t="s">
        <v>335</v>
      </c>
    </row>
    <row r="632" spans="1:6" hidden="1" x14ac:dyDescent="0.25">
      <c r="A632" s="13" t="s">
        <v>78</v>
      </c>
      <c r="B632" s="13">
        <v>80958</v>
      </c>
      <c r="C632" s="13" t="s">
        <v>1856</v>
      </c>
      <c r="D632" s="13" t="s">
        <v>1977</v>
      </c>
      <c r="E632" s="13" t="s">
        <v>2244</v>
      </c>
      <c r="F632" s="13" t="s">
        <v>335</v>
      </c>
    </row>
    <row r="633" spans="1:6" hidden="1" x14ac:dyDescent="0.25">
      <c r="A633" s="13" t="s">
        <v>78</v>
      </c>
      <c r="B633" s="13">
        <v>80386</v>
      </c>
      <c r="C633" s="13" t="s">
        <v>77</v>
      </c>
      <c r="D633" s="13" t="s">
        <v>77</v>
      </c>
      <c r="E633" s="13" t="s">
        <v>2144</v>
      </c>
      <c r="F633" s="13" t="s">
        <v>335</v>
      </c>
    </row>
    <row r="634" spans="1:6" hidden="1" x14ac:dyDescent="0.25">
      <c r="A634" s="13" t="s">
        <v>78</v>
      </c>
      <c r="B634" s="13">
        <v>79746</v>
      </c>
      <c r="C634" s="13" t="s">
        <v>90</v>
      </c>
      <c r="D634" s="13" t="s">
        <v>90</v>
      </c>
      <c r="E634" s="13" t="s">
        <v>291</v>
      </c>
      <c r="F634" s="13" t="s">
        <v>335</v>
      </c>
    </row>
    <row r="635" spans="1:6" hidden="1" x14ac:dyDescent="0.25">
      <c r="A635" s="13" t="s">
        <v>78</v>
      </c>
      <c r="B635" s="13">
        <v>15501</v>
      </c>
      <c r="C635" s="13" t="s">
        <v>9</v>
      </c>
      <c r="D635" s="13" t="s">
        <v>9</v>
      </c>
      <c r="E635" s="13" t="s">
        <v>1628</v>
      </c>
      <c r="F635" s="13" t="s">
        <v>335</v>
      </c>
    </row>
    <row r="636" spans="1:6" hidden="1" x14ac:dyDescent="0.25">
      <c r="A636" s="13" t="s">
        <v>21</v>
      </c>
      <c r="B636" s="13">
        <v>124633</v>
      </c>
      <c r="C636" s="13" t="s">
        <v>120</v>
      </c>
      <c r="D636" s="13" t="s">
        <v>120</v>
      </c>
      <c r="E636" s="13" t="s">
        <v>234</v>
      </c>
      <c r="F636" s="13" t="s">
        <v>335</v>
      </c>
    </row>
    <row r="637" spans="1:6" hidden="1" x14ac:dyDescent="0.25">
      <c r="A637" s="13" t="s">
        <v>78</v>
      </c>
      <c r="B637" s="13">
        <v>16705</v>
      </c>
      <c r="C637" s="13" t="s">
        <v>36</v>
      </c>
      <c r="D637" s="13" t="s">
        <v>36</v>
      </c>
      <c r="E637" s="13" t="s">
        <v>2259</v>
      </c>
      <c r="F637" s="13" t="s">
        <v>335</v>
      </c>
    </row>
    <row r="638" spans="1:6" hidden="1" x14ac:dyDescent="0.25">
      <c r="A638" s="13" t="s">
        <v>78</v>
      </c>
      <c r="B638" s="13">
        <v>80573</v>
      </c>
      <c r="C638" s="13" t="s">
        <v>127</v>
      </c>
      <c r="D638" s="13" t="s">
        <v>1974</v>
      </c>
      <c r="E638" s="13" t="s">
        <v>243</v>
      </c>
      <c r="F638" s="13" t="s">
        <v>335</v>
      </c>
    </row>
    <row r="639" spans="1:6" hidden="1" x14ac:dyDescent="0.25">
      <c r="A639" s="13" t="s">
        <v>78</v>
      </c>
      <c r="B639" s="13">
        <v>80573</v>
      </c>
      <c r="C639" s="13" t="s">
        <v>127</v>
      </c>
      <c r="D639" s="13" t="s">
        <v>1974</v>
      </c>
      <c r="E639" s="13" t="s">
        <v>611</v>
      </c>
      <c r="F639" s="13" t="s">
        <v>335</v>
      </c>
    </row>
    <row r="640" spans="1:6" hidden="1" x14ac:dyDescent="0.25">
      <c r="A640" s="13" t="s">
        <v>78</v>
      </c>
      <c r="B640" s="13">
        <v>80958</v>
      </c>
      <c r="C640" s="13" t="s">
        <v>1856</v>
      </c>
      <c r="D640" s="13" t="s">
        <v>1977</v>
      </c>
      <c r="E640" s="13" t="s">
        <v>2562</v>
      </c>
      <c r="F640" s="13" t="s">
        <v>335</v>
      </c>
    </row>
    <row r="641" spans="1:6" hidden="1" x14ac:dyDescent="0.25">
      <c r="A641" s="13" t="s">
        <v>78</v>
      </c>
      <c r="B641" s="13">
        <v>79309</v>
      </c>
      <c r="C641" s="13" t="s">
        <v>108</v>
      </c>
      <c r="D641" s="13" t="s">
        <v>107</v>
      </c>
      <c r="E641" s="13" t="s">
        <v>2187</v>
      </c>
      <c r="F641" s="13" t="s">
        <v>335</v>
      </c>
    </row>
    <row r="642" spans="1:6" hidden="1" x14ac:dyDescent="0.25">
      <c r="A642" s="13" t="s">
        <v>78</v>
      </c>
      <c r="B642" s="13">
        <v>80343</v>
      </c>
      <c r="C642" s="13" t="s">
        <v>1824</v>
      </c>
      <c r="D642" s="13" t="s">
        <v>105</v>
      </c>
      <c r="E642" s="13" t="s">
        <v>213</v>
      </c>
      <c r="F642" s="13" t="s">
        <v>335</v>
      </c>
    </row>
    <row r="643" spans="1:6" hidden="1" x14ac:dyDescent="0.25">
      <c r="A643" s="13" t="s">
        <v>78</v>
      </c>
      <c r="B643" s="13">
        <v>80958</v>
      </c>
      <c r="C643" s="13" t="s">
        <v>1856</v>
      </c>
      <c r="D643" s="13" t="s">
        <v>1977</v>
      </c>
      <c r="E643" s="13" t="s">
        <v>627</v>
      </c>
      <c r="F643" s="13" t="s">
        <v>335</v>
      </c>
    </row>
    <row r="644" spans="1:6" hidden="1" x14ac:dyDescent="0.25">
      <c r="A644" s="13" t="s">
        <v>78</v>
      </c>
      <c r="B644" s="13">
        <v>82808</v>
      </c>
      <c r="C644" s="13" t="s">
        <v>1865</v>
      </c>
      <c r="D644" s="13" t="s">
        <v>47</v>
      </c>
      <c r="E644" s="13" t="s">
        <v>1868</v>
      </c>
      <c r="F644" s="13" t="s">
        <v>335</v>
      </c>
    </row>
    <row r="645" spans="1:6" hidden="1" x14ac:dyDescent="0.25">
      <c r="A645" s="13" t="s">
        <v>78</v>
      </c>
      <c r="B645" s="13">
        <v>144310</v>
      </c>
      <c r="C645" s="13" t="s">
        <v>58</v>
      </c>
      <c r="D645" s="13" t="s">
        <v>58</v>
      </c>
      <c r="E645" s="13" t="s">
        <v>2049</v>
      </c>
      <c r="F645" s="13" t="s">
        <v>335</v>
      </c>
    </row>
    <row r="646" spans="1:6" hidden="1" x14ac:dyDescent="0.25">
      <c r="A646" s="13" t="s">
        <v>78</v>
      </c>
      <c r="B646" s="13">
        <v>79309</v>
      </c>
      <c r="C646" s="13" t="s">
        <v>108</v>
      </c>
      <c r="D646" s="13" t="s">
        <v>107</v>
      </c>
      <c r="E646" s="13" t="s">
        <v>2061</v>
      </c>
      <c r="F646" s="13" t="s">
        <v>335</v>
      </c>
    </row>
    <row r="647" spans="1:6" hidden="1" x14ac:dyDescent="0.25">
      <c r="A647" s="13" t="s">
        <v>78</v>
      </c>
      <c r="B647" s="13">
        <v>81643</v>
      </c>
      <c r="C647" s="13" t="s">
        <v>93</v>
      </c>
      <c r="D647" s="13" t="s">
        <v>1903</v>
      </c>
      <c r="E647" s="13" t="s">
        <v>371</v>
      </c>
      <c r="F647" s="13" t="s">
        <v>335</v>
      </c>
    </row>
    <row r="648" spans="1:6" hidden="1" x14ac:dyDescent="0.25">
      <c r="A648" s="13" t="s">
        <v>78</v>
      </c>
      <c r="B648" s="13">
        <v>81665</v>
      </c>
      <c r="C648" s="13" t="s">
        <v>93</v>
      </c>
      <c r="D648" s="13" t="s">
        <v>1903</v>
      </c>
      <c r="E648" s="13" t="s">
        <v>371</v>
      </c>
      <c r="F648" s="13" t="s">
        <v>335</v>
      </c>
    </row>
    <row r="649" spans="1:6" hidden="1" x14ac:dyDescent="0.25">
      <c r="A649" s="13" t="s">
        <v>78</v>
      </c>
      <c r="B649" s="13">
        <v>80386</v>
      </c>
      <c r="C649" s="13" t="s">
        <v>77</v>
      </c>
      <c r="D649" s="13" t="s">
        <v>77</v>
      </c>
      <c r="E649" s="13" t="s">
        <v>2634</v>
      </c>
      <c r="F649" s="13" t="s">
        <v>335</v>
      </c>
    </row>
    <row r="650" spans="1:6" hidden="1" x14ac:dyDescent="0.25">
      <c r="A650" s="13" t="s">
        <v>78</v>
      </c>
      <c r="B650" s="13">
        <v>15501</v>
      </c>
      <c r="C650" s="13" t="s">
        <v>9</v>
      </c>
      <c r="D650" s="13" t="s">
        <v>9</v>
      </c>
      <c r="E650" s="13" t="s">
        <v>2122</v>
      </c>
      <c r="F650" s="13" t="s">
        <v>335</v>
      </c>
    </row>
    <row r="651" spans="1:6" hidden="1" x14ac:dyDescent="0.25">
      <c r="A651" s="13" t="s">
        <v>78</v>
      </c>
      <c r="B651" s="13">
        <v>15501</v>
      </c>
      <c r="C651" s="13" t="s">
        <v>9</v>
      </c>
      <c r="D651" s="13" t="s">
        <v>9</v>
      </c>
      <c r="E651" s="13" t="s">
        <v>2302</v>
      </c>
      <c r="F651" s="13" t="s">
        <v>335</v>
      </c>
    </row>
    <row r="652" spans="1:6" hidden="1" x14ac:dyDescent="0.25">
      <c r="A652" s="13" t="s">
        <v>78</v>
      </c>
      <c r="B652" s="13">
        <v>79581</v>
      </c>
      <c r="C652" s="13" t="s">
        <v>1933</v>
      </c>
      <c r="D652" s="13" t="s">
        <v>1933</v>
      </c>
      <c r="E652" s="13" t="s">
        <v>357</v>
      </c>
      <c r="F652" s="13" t="s">
        <v>335</v>
      </c>
    </row>
    <row r="653" spans="1:6" hidden="1" x14ac:dyDescent="0.25">
      <c r="A653" s="13" t="s">
        <v>78</v>
      </c>
      <c r="B653" s="13">
        <v>79453</v>
      </c>
      <c r="C653" s="13" t="s">
        <v>398</v>
      </c>
      <c r="D653" s="13" t="s">
        <v>14</v>
      </c>
      <c r="E653" s="13" t="s">
        <v>2054</v>
      </c>
      <c r="F653" s="13" t="s">
        <v>335</v>
      </c>
    </row>
    <row r="654" spans="1:6" hidden="1" x14ac:dyDescent="0.25">
      <c r="A654" s="13" t="s">
        <v>78</v>
      </c>
      <c r="B654" s="13">
        <v>79798</v>
      </c>
      <c r="C654" s="13" t="s">
        <v>54</v>
      </c>
      <c r="D654" s="13" t="s">
        <v>14</v>
      </c>
      <c r="E654" s="13" t="s">
        <v>2054</v>
      </c>
      <c r="F654" s="13" t="s">
        <v>335</v>
      </c>
    </row>
    <row r="655" spans="1:6" hidden="1" x14ac:dyDescent="0.25">
      <c r="A655" s="13" t="s">
        <v>78</v>
      </c>
      <c r="B655" s="13">
        <v>15781</v>
      </c>
      <c r="C655" s="13" t="s">
        <v>12</v>
      </c>
      <c r="D655" s="13" t="s">
        <v>12</v>
      </c>
      <c r="E655" s="13" t="s">
        <v>879</v>
      </c>
      <c r="F655" s="13" t="s">
        <v>335</v>
      </c>
    </row>
    <row r="656" spans="1:6" hidden="1" x14ac:dyDescent="0.25">
      <c r="A656" s="13" t="s">
        <v>78</v>
      </c>
      <c r="B656" s="13">
        <v>79793</v>
      </c>
      <c r="C656" s="13" t="s">
        <v>1840</v>
      </c>
      <c r="D656" s="13" t="s">
        <v>1840</v>
      </c>
      <c r="E656" s="13" t="s">
        <v>173</v>
      </c>
      <c r="F656" s="13" t="s">
        <v>335</v>
      </c>
    </row>
    <row r="657" spans="1:6" hidden="1" x14ac:dyDescent="0.25">
      <c r="A657" s="13" t="s">
        <v>78</v>
      </c>
      <c r="B657" s="13">
        <v>80754</v>
      </c>
      <c r="C657" s="13" t="s">
        <v>354</v>
      </c>
      <c r="D657" s="13" t="s">
        <v>64</v>
      </c>
      <c r="E657" s="13" t="s">
        <v>2269</v>
      </c>
      <c r="F657" s="13" t="s">
        <v>335</v>
      </c>
    </row>
    <row r="658" spans="1:6" hidden="1" x14ac:dyDescent="0.25">
      <c r="A658" s="13" t="s">
        <v>78</v>
      </c>
      <c r="B658" s="13">
        <v>14479</v>
      </c>
      <c r="C658" s="13" t="s">
        <v>24</v>
      </c>
      <c r="D658" s="13" t="s">
        <v>24</v>
      </c>
      <c r="E658" s="13" t="s">
        <v>284</v>
      </c>
      <c r="F658" s="13" t="s">
        <v>335</v>
      </c>
    </row>
    <row r="659" spans="1:6" hidden="1" x14ac:dyDescent="0.25">
      <c r="A659" s="13" t="s">
        <v>21</v>
      </c>
      <c r="B659" s="13">
        <v>79372</v>
      </c>
      <c r="C659" s="13" t="s">
        <v>1810</v>
      </c>
      <c r="D659" s="13" t="s">
        <v>1811</v>
      </c>
      <c r="E659" s="13" t="s">
        <v>269</v>
      </c>
      <c r="F659" s="13" t="s">
        <v>335</v>
      </c>
    </row>
    <row r="660" spans="1:6" hidden="1" x14ac:dyDescent="0.25">
      <c r="A660" s="13" t="s">
        <v>78</v>
      </c>
      <c r="B660" s="13">
        <v>82920</v>
      </c>
      <c r="C660" s="13" t="s">
        <v>1926</v>
      </c>
      <c r="D660" s="13" t="s">
        <v>1926</v>
      </c>
      <c r="E660" s="13" t="s">
        <v>2077</v>
      </c>
      <c r="F660" s="13" t="s">
        <v>335</v>
      </c>
    </row>
    <row r="661" spans="1:6" hidden="1" x14ac:dyDescent="0.25">
      <c r="A661" s="13" t="s">
        <v>78</v>
      </c>
      <c r="B661" s="13">
        <v>75777</v>
      </c>
      <c r="C661" s="13" t="s">
        <v>94</v>
      </c>
      <c r="D661" s="13" t="s">
        <v>94</v>
      </c>
      <c r="E661" s="13" t="s">
        <v>1407</v>
      </c>
      <c r="F661" s="13" t="s">
        <v>335</v>
      </c>
    </row>
    <row r="662" spans="1:6" hidden="1" x14ac:dyDescent="0.25">
      <c r="A662" s="13" t="s">
        <v>78</v>
      </c>
      <c r="B662" s="13">
        <v>75779</v>
      </c>
      <c r="C662" s="13" t="s">
        <v>2617</v>
      </c>
      <c r="D662" s="13" t="s">
        <v>94</v>
      </c>
      <c r="E662" s="13" t="s">
        <v>1407</v>
      </c>
      <c r="F662" s="13" t="s">
        <v>335</v>
      </c>
    </row>
    <row r="663" spans="1:6" hidden="1" x14ac:dyDescent="0.25">
      <c r="A663" s="13" t="s">
        <v>78</v>
      </c>
      <c r="B663" s="13">
        <v>79241</v>
      </c>
      <c r="C663" s="13" t="s">
        <v>106</v>
      </c>
      <c r="D663" s="13" t="s">
        <v>94</v>
      </c>
      <c r="E663" s="13" t="s">
        <v>1407</v>
      </c>
      <c r="F663" s="13" t="s">
        <v>335</v>
      </c>
    </row>
    <row r="664" spans="1:6" hidden="1" x14ac:dyDescent="0.25">
      <c r="A664" s="13" t="s">
        <v>78</v>
      </c>
      <c r="B664" s="13">
        <v>80347</v>
      </c>
      <c r="C664" s="13" t="s">
        <v>75</v>
      </c>
      <c r="D664" s="13" t="s">
        <v>75</v>
      </c>
      <c r="E664" s="13" t="s">
        <v>2220</v>
      </c>
      <c r="F664" s="13" t="s">
        <v>335</v>
      </c>
    </row>
    <row r="665" spans="1:6" hidden="1" x14ac:dyDescent="0.25">
      <c r="A665" s="13" t="s">
        <v>21</v>
      </c>
      <c r="B665" s="13">
        <v>83118</v>
      </c>
      <c r="C665" s="13" t="s">
        <v>2426</v>
      </c>
      <c r="D665" s="13" t="s">
        <v>2426</v>
      </c>
      <c r="E665" s="13" t="s">
        <v>2220</v>
      </c>
      <c r="F665" s="13" t="s">
        <v>335</v>
      </c>
    </row>
    <row r="666" spans="1:6" hidden="1" x14ac:dyDescent="0.25">
      <c r="A666" s="13" t="s">
        <v>78</v>
      </c>
      <c r="B666" s="13">
        <v>82467</v>
      </c>
      <c r="C666" s="13" t="s">
        <v>36</v>
      </c>
      <c r="D666" s="13" t="s">
        <v>1948</v>
      </c>
      <c r="E666" s="13" t="s">
        <v>2183</v>
      </c>
      <c r="F666" s="13" t="s">
        <v>335</v>
      </c>
    </row>
    <row r="667" spans="1:6" hidden="1" x14ac:dyDescent="0.25">
      <c r="A667" s="13" t="s">
        <v>78</v>
      </c>
      <c r="B667" s="13">
        <v>80375</v>
      </c>
      <c r="C667" s="13" t="s">
        <v>398</v>
      </c>
      <c r="D667" s="13" t="s">
        <v>14</v>
      </c>
      <c r="E667" s="13" t="s">
        <v>630</v>
      </c>
      <c r="F667" s="13" t="s">
        <v>335</v>
      </c>
    </row>
    <row r="668" spans="1:6" hidden="1" x14ac:dyDescent="0.25">
      <c r="A668" s="13" t="s">
        <v>21</v>
      </c>
      <c r="B668" s="13">
        <v>81718</v>
      </c>
      <c r="C668" s="13" t="s">
        <v>334</v>
      </c>
      <c r="D668" s="13" t="s">
        <v>334</v>
      </c>
      <c r="E668" s="13" t="s">
        <v>376</v>
      </c>
      <c r="F668" s="13" t="s">
        <v>335</v>
      </c>
    </row>
    <row r="669" spans="1:6" hidden="1" x14ac:dyDescent="0.25">
      <c r="A669" s="13" t="s">
        <v>78</v>
      </c>
      <c r="B669" s="13">
        <v>79693</v>
      </c>
      <c r="C669" s="13" t="s">
        <v>89</v>
      </c>
      <c r="D669" s="13" t="s">
        <v>89</v>
      </c>
      <c r="E669" s="13" t="s">
        <v>196</v>
      </c>
      <c r="F669" s="13" t="s">
        <v>335</v>
      </c>
    </row>
    <row r="670" spans="1:6" hidden="1" x14ac:dyDescent="0.25">
      <c r="A670" s="13" t="s">
        <v>78</v>
      </c>
      <c r="B670" s="13">
        <v>79604</v>
      </c>
      <c r="C670" s="13" t="s">
        <v>2616</v>
      </c>
      <c r="D670" s="13" t="s">
        <v>2616</v>
      </c>
      <c r="E670" s="13" t="s">
        <v>196</v>
      </c>
      <c r="F670" s="13" t="s">
        <v>335</v>
      </c>
    </row>
    <row r="671" spans="1:6" hidden="1" x14ac:dyDescent="0.25">
      <c r="A671" s="13" t="s">
        <v>78</v>
      </c>
      <c r="B671" s="13">
        <v>80754</v>
      </c>
      <c r="C671" s="13" t="s">
        <v>354</v>
      </c>
      <c r="D671" s="13" t="s">
        <v>64</v>
      </c>
      <c r="E671" s="13" t="s">
        <v>2098</v>
      </c>
      <c r="F671" s="13" t="s">
        <v>335</v>
      </c>
    </row>
    <row r="672" spans="1:6" hidden="1" x14ac:dyDescent="0.25">
      <c r="A672" s="13" t="s">
        <v>78</v>
      </c>
      <c r="B672" s="13">
        <v>80107</v>
      </c>
      <c r="C672" s="13" t="s">
        <v>70</v>
      </c>
      <c r="D672" s="13" t="s">
        <v>70</v>
      </c>
      <c r="E672" s="13" t="s">
        <v>2456</v>
      </c>
      <c r="F672" s="13" t="s">
        <v>335</v>
      </c>
    </row>
    <row r="673" spans="1:6" hidden="1" x14ac:dyDescent="0.25">
      <c r="A673" s="13" t="s">
        <v>78</v>
      </c>
      <c r="B673" s="13">
        <v>80227</v>
      </c>
      <c r="C673" s="13" t="s">
        <v>398</v>
      </c>
      <c r="D673" s="13" t="s">
        <v>14</v>
      </c>
      <c r="E673" s="13" t="s">
        <v>1804</v>
      </c>
      <c r="F673" s="13" t="s">
        <v>335</v>
      </c>
    </row>
    <row r="674" spans="1:6" hidden="1" x14ac:dyDescent="0.25">
      <c r="A674" s="13" t="s">
        <v>78</v>
      </c>
      <c r="B674" s="13">
        <v>79985</v>
      </c>
      <c r="C674" s="13" t="s">
        <v>398</v>
      </c>
      <c r="D674" s="13" t="s">
        <v>14</v>
      </c>
      <c r="E674" s="13" t="s">
        <v>1804</v>
      </c>
      <c r="F674" s="13" t="s">
        <v>335</v>
      </c>
    </row>
    <row r="675" spans="1:6" hidden="1" x14ac:dyDescent="0.25">
      <c r="A675" s="13" t="s">
        <v>78</v>
      </c>
      <c r="B675" s="13">
        <v>79804</v>
      </c>
      <c r="C675" s="13" t="s">
        <v>54</v>
      </c>
      <c r="D675" s="13" t="s">
        <v>14</v>
      </c>
      <c r="E675" s="13" t="s">
        <v>1504</v>
      </c>
      <c r="F675" s="13" t="s">
        <v>335</v>
      </c>
    </row>
    <row r="676" spans="1:6" hidden="1" x14ac:dyDescent="0.25">
      <c r="A676" s="13" t="s">
        <v>78</v>
      </c>
      <c r="B676" s="13">
        <v>79460</v>
      </c>
      <c r="C676" s="13" t="s">
        <v>398</v>
      </c>
      <c r="D676" s="13" t="s">
        <v>14</v>
      </c>
      <c r="E676" s="13" t="s">
        <v>2474</v>
      </c>
      <c r="F676" s="13" t="s">
        <v>335</v>
      </c>
    </row>
    <row r="677" spans="1:6" hidden="1" x14ac:dyDescent="0.25">
      <c r="A677" s="13" t="s">
        <v>78</v>
      </c>
      <c r="B677" s="13">
        <v>79799</v>
      </c>
      <c r="C677" s="13" t="s">
        <v>54</v>
      </c>
      <c r="D677" s="13" t="s">
        <v>14</v>
      </c>
      <c r="E677" s="13" t="s">
        <v>2185</v>
      </c>
      <c r="F677" s="13" t="s">
        <v>335</v>
      </c>
    </row>
    <row r="678" spans="1:6" hidden="1" x14ac:dyDescent="0.25">
      <c r="A678" s="13" t="s">
        <v>78</v>
      </c>
      <c r="B678" s="13">
        <v>79956</v>
      </c>
      <c r="C678" s="13" t="s">
        <v>17</v>
      </c>
      <c r="D678" s="13" t="s">
        <v>17</v>
      </c>
      <c r="E678" s="13" t="s">
        <v>724</v>
      </c>
      <c r="F678" s="13" t="s">
        <v>335</v>
      </c>
    </row>
    <row r="679" spans="1:6" hidden="1" x14ac:dyDescent="0.25">
      <c r="A679" s="13" t="s">
        <v>78</v>
      </c>
      <c r="B679" s="13">
        <v>75777</v>
      </c>
      <c r="C679" s="13" t="s">
        <v>94</v>
      </c>
      <c r="D679" s="13" t="s">
        <v>94</v>
      </c>
      <c r="E679" s="13" t="s">
        <v>1845</v>
      </c>
      <c r="F679" s="13" t="s">
        <v>335</v>
      </c>
    </row>
    <row r="680" spans="1:6" hidden="1" x14ac:dyDescent="0.25">
      <c r="A680" s="13" t="s">
        <v>78</v>
      </c>
      <c r="B680" s="13">
        <v>79241</v>
      </c>
      <c r="C680" s="13" t="s">
        <v>106</v>
      </c>
      <c r="D680" s="13" t="s">
        <v>94</v>
      </c>
      <c r="E680" s="13" t="s">
        <v>1845</v>
      </c>
      <c r="F680" s="13" t="s">
        <v>335</v>
      </c>
    </row>
    <row r="681" spans="1:6" hidden="1" x14ac:dyDescent="0.25">
      <c r="A681" s="13" t="s">
        <v>78</v>
      </c>
      <c r="B681" s="13">
        <v>80576</v>
      </c>
      <c r="C681" s="13" t="s">
        <v>128</v>
      </c>
      <c r="D681" s="13" t="s">
        <v>128</v>
      </c>
      <c r="E681" s="13" t="s">
        <v>151</v>
      </c>
      <c r="F681" s="13" t="s">
        <v>335</v>
      </c>
    </row>
    <row r="682" spans="1:6" hidden="1" x14ac:dyDescent="0.25">
      <c r="A682" s="13" t="s">
        <v>21</v>
      </c>
      <c r="B682" s="13">
        <v>80576</v>
      </c>
      <c r="C682" s="13" t="s">
        <v>128</v>
      </c>
      <c r="D682" s="13" t="s">
        <v>128</v>
      </c>
      <c r="E682" s="13" t="s">
        <v>151</v>
      </c>
      <c r="F682" s="13" t="s">
        <v>335</v>
      </c>
    </row>
    <row r="683" spans="1:6" hidden="1" x14ac:dyDescent="0.25">
      <c r="A683" s="13" t="s">
        <v>78</v>
      </c>
      <c r="B683" s="13">
        <v>79806</v>
      </c>
      <c r="C683" s="13" t="s">
        <v>54</v>
      </c>
      <c r="D683" s="13" t="s">
        <v>14</v>
      </c>
      <c r="E683" s="13" t="s">
        <v>2363</v>
      </c>
      <c r="F683" s="13" t="s">
        <v>335</v>
      </c>
    </row>
    <row r="684" spans="1:6" hidden="1" x14ac:dyDescent="0.25">
      <c r="A684" s="13" t="s">
        <v>78</v>
      </c>
      <c r="B684" s="13">
        <v>80565</v>
      </c>
      <c r="C684" s="13" t="s">
        <v>123</v>
      </c>
      <c r="D684" s="13" t="s">
        <v>123</v>
      </c>
      <c r="E684" s="13" t="s">
        <v>313</v>
      </c>
      <c r="F684" s="13" t="s">
        <v>335</v>
      </c>
    </row>
    <row r="685" spans="1:6" hidden="1" x14ac:dyDescent="0.25">
      <c r="A685" s="13" t="s">
        <v>78</v>
      </c>
      <c r="B685" s="13">
        <v>80392</v>
      </c>
      <c r="C685" s="13" t="s">
        <v>51</v>
      </c>
      <c r="D685" s="13" t="s">
        <v>51</v>
      </c>
      <c r="E685" s="13" t="s">
        <v>1919</v>
      </c>
      <c r="F685" s="13" t="s">
        <v>335</v>
      </c>
    </row>
    <row r="686" spans="1:6" hidden="1" x14ac:dyDescent="0.25">
      <c r="A686" s="13" t="s">
        <v>78</v>
      </c>
      <c r="B686" s="13">
        <v>80392</v>
      </c>
      <c r="C686" s="13" t="s">
        <v>51</v>
      </c>
      <c r="D686" s="13" t="s">
        <v>51</v>
      </c>
      <c r="E686" s="13" t="s">
        <v>1337</v>
      </c>
      <c r="F686" s="13" t="s">
        <v>335</v>
      </c>
    </row>
    <row r="687" spans="1:6" hidden="1" x14ac:dyDescent="0.25">
      <c r="A687" s="13" t="s">
        <v>78</v>
      </c>
      <c r="B687" s="13">
        <v>79806</v>
      </c>
      <c r="C687" s="13" t="s">
        <v>54</v>
      </c>
      <c r="D687" s="13" t="s">
        <v>14</v>
      </c>
      <c r="E687" s="13" t="s">
        <v>2641</v>
      </c>
      <c r="F687" s="13" t="s">
        <v>335</v>
      </c>
    </row>
    <row r="688" spans="1:6" hidden="1" x14ac:dyDescent="0.25">
      <c r="A688" s="13" t="s">
        <v>78</v>
      </c>
      <c r="B688" s="13">
        <v>80132</v>
      </c>
      <c r="C688" s="13" t="s">
        <v>16</v>
      </c>
      <c r="D688" s="13" t="s">
        <v>16</v>
      </c>
      <c r="E688" s="13" t="s">
        <v>2216</v>
      </c>
      <c r="F688" s="13" t="s">
        <v>335</v>
      </c>
    </row>
    <row r="689" spans="1:6" hidden="1" x14ac:dyDescent="0.25">
      <c r="A689" s="13" t="s">
        <v>78</v>
      </c>
      <c r="B689" s="13">
        <v>82471</v>
      </c>
      <c r="C689" s="13" t="s">
        <v>1937</v>
      </c>
      <c r="D689" s="13" t="s">
        <v>47</v>
      </c>
      <c r="E689" s="13" t="s">
        <v>1938</v>
      </c>
      <c r="F689" s="13" t="s">
        <v>335</v>
      </c>
    </row>
    <row r="690" spans="1:6" hidden="1" x14ac:dyDescent="0.25">
      <c r="A690" s="13" t="s">
        <v>78</v>
      </c>
      <c r="B690" s="13">
        <v>80233</v>
      </c>
      <c r="C690" s="13" t="s">
        <v>72</v>
      </c>
      <c r="D690" s="13" t="s">
        <v>72</v>
      </c>
      <c r="E690" s="13" t="s">
        <v>1597</v>
      </c>
      <c r="F690" s="13" t="s">
        <v>335</v>
      </c>
    </row>
    <row r="691" spans="1:6" hidden="1" x14ac:dyDescent="0.25">
      <c r="A691" s="13" t="s">
        <v>78</v>
      </c>
      <c r="B691" s="13">
        <v>80375</v>
      </c>
      <c r="C691" s="13" t="s">
        <v>398</v>
      </c>
      <c r="D691" s="13" t="s">
        <v>14</v>
      </c>
      <c r="E691" s="13" t="s">
        <v>2127</v>
      </c>
      <c r="F691" s="13" t="s">
        <v>335</v>
      </c>
    </row>
    <row r="692" spans="1:6" hidden="1" x14ac:dyDescent="0.25">
      <c r="A692" s="13" t="s">
        <v>78</v>
      </c>
      <c r="B692" s="13">
        <v>80667</v>
      </c>
      <c r="C692" s="13" t="s">
        <v>141</v>
      </c>
      <c r="D692" s="13" t="s">
        <v>141</v>
      </c>
      <c r="E692" s="13" t="s">
        <v>2006</v>
      </c>
      <c r="F692" s="13" t="s">
        <v>335</v>
      </c>
    </row>
    <row r="693" spans="1:6" hidden="1" x14ac:dyDescent="0.25">
      <c r="A693" s="13" t="s">
        <v>21</v>
      </c>
      <c r="B693" s="13">
        <v>80667</v>
      </c>
      <c r="C693" s="13" t="s">
        <v>141</v>
      </c>
      <c r="D693" s="13" t="s">
        <v>141</v>
      </c>
      <c r="E693" s="13" t="s">
        <v>2006</v>
      </c>
      <c r="F693" s="13" t="s">
        <v>335</v>
      </c>
    </row>
    <row r="694" spans="1:6" hidden="1" x14ac:dyDescent="0.25">
      <c r="A694" s="13" t="s">
        <v>78</v>
      </c>
      <c r="B694" s="13">
        <v>144310</v>
      </c>
      <c r="C694" s="13" t="s">
        <v>58</v>
      </c>
      <c r="D694" s="13" t="s">
        <v>58</v>
      </c>
      <c r="E694" s="13" t="s">
        <v>2017</v>
      </c>
      <c r="F694" s="13" t="s">
        <v>335</v>
      </c>
    </row>
    <row r="695" spans="1:6" hidden="1" x14ac:dyDescent="0.25">
      <c r="A695" s="13" t="s">
        <v>78</v>
      </c>
      <c r="B695" s="13">
        <v>95014</v>
      </c>
      <c r="C695" s="13" t="s">
        <v>1889</v>
      </c>
      <c r="D695" s="13" t="s">
        <v>104</v>
      </c>
      <c r="E695" s="13" t="s">
        <v>1890</v>
      </c>
      <c r="F695" s="13" t="s">
        <v>335</v>
      </c>
    </row>
    <row r="696" spans="1:6" hidden="1" x14ac:dyDescent="0.25">
      <c r="A696" s="13" t="s">
        <v>78</v>
      </c>
      <c r="B696" s="13">
        <v>95005</v>
      </c>
      <c r="C696" s="13" t="s">
        <v>303</v>
      </c>
      <c r="D696" s="13" t="s">
        <v>104</v>
      </c>
      <c r="E696" s="13" t="s">
        <v>1892</v>
      </c>
      <c r="F696" s="13" t="s">
        <v>335</v>
      </c>
    </row>
    <row r="697" spans="1:6" hidden="1" x14ac:dyDescent="0.25">
      <c r="A697" s="13" t="s">
        <v>78</v>
      </c>
      <c r="B697" s="13">
        <v>12395</v>
      </c>
      <c r="C697" s="13" t="s">
        <v>10</v>
      </c>
      <c r="D697" s="13" t="s">
        <v>10</v>
      </c>
      <c r="E697" s="13" t="s">
        <v>1760</v>
      </c>
      <c r="F697" s="13" t="s">
        <v>335</v>
      </c>
    </row>
    <row r="698" spans="1:6" hidden="1" x14ac:dyDescent="0.25">
      <c r="A698" s="13" t="s">
        <v>78</v>
      </c>
      <c r="B698" s="13">
        <v>79386</v>
      </c>
      <c r="C698" s="13" t="s">
        <v>1814</v>
      </c>
      <c r="D698" s="13" t="s">
        <v>26</v>
      </c>
      <c r="E698" s="13" t="s">
        <v>2004</v>
      </c>
      <c r="F698" s="13" t="s">
        <v>335</v>
      </c>
    </row>
    <row r="699" spans="1:6" hidden="1" x14ac:dyDescent="0.25">
      <c r="A699" s="13" t="s">
        <v>78</v>
      </c>
      <c r="B699" s="13">
        <v>80064</v>
      </c>
      <c r="C699" s="13" t="s">
        <v>2095</v>
      </c>
      <c r="D699" s="13" t="s">
        <v>26</v>
      </c>
      <c r="E699" s="13" t="s">
        <v>2004</v>
      </c>
      <c r="F699" s="13" t="s">
        <v>335</v>
      </c>
    </row>
    <row r="700" spans="1:6" hidden="1" x14ac:dyDescent="0.25">
      <c r="A700" s="13" t="s">
        <v>78</v>
      </c>
      <c r="B700" s="13">
        <v>80754</v>
      </c>
      <c r="C700" s="13" t="s">
        <v>354</v>
      </c>
      <c r="D700" s="13" t="s">
        <v>64</v>
      </c>
      <c r="E700" s="13" t="s">
        <v>2004</v>
      </c>
      <c r="F700" s="13" t="s">
        <v>335</v>
      </c>
    </row>
    <row r="701" spans="1:6" hidden="1" x14ac:dyDescent="0.25">
      <c r="A701" s="13" t="s">
        <v>78</v>
      </c>
      <c r="B701" s="13">
        <v>80753</v>
      </c>
      <c r="C701" s="13" t="s">
        <v>354</v>
      </c>
      <c r="D701" s="13" t="s">
        <v>64</v>
      </c>
      <c r="E701" s="13" t="s">
        <v>2004</v>
      </c>
      <c r="F701" s="13" t="s">
        <v>335</v>
      </c>
    </row>
    <row r="702" spans="1:6" hidden="1" x14ac:dyDescent="0.25">
      <c r="A702" s="13" t="s">
        <v>78</v>
      </c>
      <c r="B702" s="13">
        <v>80754</v>
      </c>
      <c r="C702" s="13" t="s">
        <v>354</v>
      </c>
      <c r="D702" s="13" t="s">
        <v>64</v>
      </c>
      <c r="E702" s="13" t="s">
        <v>1853</v>
      </c>
      <c r="F702" s="13" t="s">
        <v>335</v>
      </c>
    </row>
    <row r="703" spans="1:6" hidden="1" x14ac:dyDescent="0.25">
      <c r="A703" s="13" t="s">
        <v>78</v>
      </c>
      <c r="B703" s="13">
        <v>79407</v>
      </c>
      <c r="C703" s="13" t="s">
        <v>64</v>
      </c>
      <c r="D703" s="13" t="s">
        <v>64</v>
      </c>
      <c r="E703" s="13" t="s">
        <v>1507</v>
      </c>
      <c r="F703" s="13" t="s">
        <v>335</v>
      </c>
    </row>
    <row r="704" spans="1:6" hidden="1" x14ac:dyDescent="0.25">
      <c r="A704" s="13" t="s">
        <v>78</v>
      </c>
      <c r="B704" s="13">
        <v>80628</v>
      </c>
      <c r="C704" s="13" t="s">
        <v>129</v>
      </c>
      <c r="D704" s="13" t="s">
        <v>129</v>
      </c>
      <c r="E704" s="13" t="s">
        <v>382</v>
      </c>
      <c r="F704" s="13" t="s">
        <v>335</v>
      </c>
    </row>
    <row r="705" spans="1:6" hidden="1" x14ac:dyDescent="0.25">
      <c r="A705" s="13" t="s">
        <v>78</v>
      </c>
      <c r="B705" s="13">
        <v>80111</v>
      </c>
      <c r="C705" s="13" t="s">
        <v>2009</v>
      </c>
      <c r="D705" s="13" t="s">
        <v>152</v>
      </c>
      <c r="E705" s="13" t="s">
        <v>2283</v>
      </c>
      <c r="F705" s="13" t="s">
        <v>335</v>
      </c>
    </row>
    <row r="706" spans="1:6" hidden="1" x14ac:dyDescent="0.25">
      <c r="A706" s="13" t="s">
        <v>78</v>
      </c>
      <c r="B706" s="13">
        <v>80320</v>
      </c>
      <c r="C706" s="13" t="s">
        <v>1807</v>
      </c>
      <c r="D706" s="13" t="s">
        <v>1808</v>
      </c>
      <c r="E706" s="13" t="s">
        <v>2626</v>
      </c>
      <c r="F706" s="13" t="s">
        <v>335</v>
      </c>
    </row>
    <row r="707" spans="1:6" hidden="1" x14ac:dyDescent="0.25">
      <c r="A707" s="13" t="s">
        <v>78</v>
      </c>
      <c r="B707" s="13">
        <v>79965</v>
      </c>
      <c r="C707" s="13" t="s">
        <v>292</v>
      </c>
      <c r="D707" s="13" t="s">
        <v>1801</v>
      </c>
      <c r="E707" s="13" t="s">
        <v>2159</v>
      </c>
      <c r="F707" s="13" t="s">
        <v>335</v>
      </c>
    </row>
    <row r="708" spans="1:6" hidden="1" x14ac:dyDescent="0.25">
      <c r="A708" s="13" t="s">
        <v>78</v>
      </c>
      <c r="B708" s="13">
        <v>81348</v>
      </c>
      <c r="C708" s="13" t="s">
        <v>325</v>
      </c>
      <c r="D708" s="13" t="s">
        <v>1801</v>
      </c>
      <c r="E708" s="13" t="s">
        <v>2159</v>
      </c>
      <c r="F708" s="13" t="s">
        <v>335</v>
      </c>
    </row>
    <row r="709" spans="1:6" hidden="1" x14ac:dyDescent="0.25">
      <c r="A709" s="13" t="s">
        <v>78</v>
      </c>
      <c r="B709" s="13">
        <v>95007</v>
      </c>
      <c r="C709" s="13" t="s">
        <v>104</v>
      </c>
      <c r="D709" s="13" t="s">
        <v>104</v>
      </c>
      <c r="E709" s="13" t="s">
        <v>360</v>
      </c>
      <c r="F709" s="13" t="s">
        <v>335</v>
      </c>
    </row>
    <row r="710" spans="1:6" hidden="1" x14ac:dyDescent="0.25">
      <c r="A710" s="13" t="s">
        <v>78</v>
      </c>
      <c r="B710" s="13">
        <v>95009</v>
      </c>
      <c r="C710" s="13" t="s">
        <v>104</v>
      </c>
      <c r="D710" s="13" t="s">
        <v>104</v>
      </c>
      <c r="E710" s="13" t="s">
        <v>360</v>
      </c>
      <c r="F710" s="13" t="s">
        <v>335</v>
      </c>
    </row>
    <row r="711" spans="1:6" hidden="1" x14ac:dyDescent="0.25">
      <c r="A711" s="13" t="s">
        <v>78</v>
      </c>
      <c r="B711" s="13">
        <v>95007</v>
      </c>
      <c r="C711" s="13" t="s">
        <v>104</v>
      </c>
      <c r="D711" s="13" t="s">
        <v>104</v>
      </c>
      <c r="E711" s="13" t="s">
        <v>2208</v>
      </c>
      <c r="F711" s="13" t="s">
        <v>335</v>
      </c>
    </row>
    <row r="712" spans="1:6" hidden="1" x14ac:dyDescent="0.25">
      <c r="A712" s="13" t="s">
        <v>78</v>
      </c>
      <c r="B712" s="13">
        <v>95005</v>
      </c>
      <c r="C712" s="13" t="s">
        <v>303</v>
      </c>
      <c r="D712" s="13" t="s">
        <v>104</v>
      </c>
      <c r="E712" s="13" t="s">
        <v>275</v>
      </c>
      <c r="F712" s="13" t="s">
        <v>335</v>
      </c>
    </row>
    <row r="713" spans="1:6" hidden="1" x14ac:dyDescent="0.25">
      <c r="A713" s="13" t="s">
        <v>78</v>
      </c>
      <c r="B713" s="13">
        <v>95014</v>
      </c>
      <c r="C713" s="13" t="s">
        <v>1889</v>
      </c>
      <c r="D713" s="13" t="s">
        <v>104</v>
      </c>
      <c r="E713" s="13" t="s">
        <v>275</v>
      </c>
      <c r="F713" s="13" t="s">
        <v>335</v>
      </c>
    </row>
    <row r="714" spans="1:6" hidden="1" x14ac:dyDescent="0.25">
      <c r="A714" s="13" t="s">
        <v>78</v>
      </c>
      <c r="B714" s="13">
        <v>80493</v>
      </c>
      <c r="C714" s="13" t="s">
        <v>240</v>
      </c>
      <c r="D714" s="13" t="s">
        <v>1854</v>
      </c>
      <c r="E714" s="13" t="s">
        <v>2120</v>
      </c>
      <c r="F714" s="13" t="s">
        <v>335</v>
      </c>
    </row>
    <row r="715" spans="1:6" hidden="1" x14ac:dyDescent="0.25">
      <c r="A715" s="13" t="s">
        <v>78</v>
      </c>
      <c r="B715" s="13">
        <v>18857</v>
      </c>
      <c r="C715" s="13" t="s">
        <v>110</v>
      </c>
      <c r="D715" s="13" t="s">
        <v>110</v>
      </c>
      <c r="E715" s="13" t="s">
        <v>2527</v>
      </c>
      <c r="F715" s="13" t="s">
        <v>335</v>
      </c>
    </row>
    <row r="716" spans="1:6" hidden="1" x14ac:dyDescent="0.25">
      <c r="A716" s="13" t="s">
        <v>78</v>
      </c>
      <c r="B716" s="13">
        <v>80749</v>
      </c>
      <c r="C716" s="13" t="s">
        <v>343</v>
      </c>
      <c r="D716" s="13" t="s">
        <v>1886</v>
      </c>
      <c r="E716" s="13" t="s">
        <v>2150</v>
      </c>
      <c r="F716" s="13" t="s">
        <v>335</v>
      </c>
    </row>
    <row r="717" spans="1:6" hidden="1" x14ac:dyDescent="0.25">
      <c r="A717" s="13" t="s">
        <v>78</v>
      </c>
      <c r="B717" s="13">
        <v>79965</v>
      </c>
      <c r="C717" s="13" t="s">
        <v>292</v>
      </c>
      <c r="D717" s="13" t="s">
        <v>1801</v>
      </c>
      <c r="E717" s="13" t="s">
        <v>1821</v>
      </c>
      <c r="F717" s="13" t="s">
        <v>335</v>
      </c>
    </row>
    <row r="718" spans="1:6" hidden="1" x14ac:dyDescent="0.25">
      <c r="A718" s="13" t="s">
        <v>78</v>
      </c>
      <c r="B718" s="13">
        <v>15471</v>
      </c>
      <c r="C718" s="13" t="s">
        <v>27</v>
      </c>
      <c r="D718" s="13" t="s">
        <v>27</v>
      </c>
      <c r="E718" s="13" t="s">
        <v>304</v>
      </c>
      <c r="F718" s="13" t="s">
        <v>335</v>
      </c>
    </row>
    <row r="719" spans="1:6" hidden="1" x14ac:dyDescent="0.25">
      <c r="A719" s="13" t="s">
        <v>78</v>
      </c>
      <c r="B719" s="13">
        <v>15470</v>
      </c>
      <c r="C719" s="13" t="s">
        <v>27</v>
      </c>
      <c r="D719" s="13" t="s">
        <v>27</v>
      </c>
      <c r="E719" s="13" t="s">
        <v>304</v>
      </c>
      <c r="F719" s="13" t="s">
        <v>335</v>
      </c>
    </row>
    <row r="720" spans="1:6" hidden="1" x14ac:dyDescent="0.25">
      <c r="A720" s="13" t="s">
        <v>78</v>
      </c>
      <c r="B720" s="13">
        <v>80576</v>
      </c>
      <c r="C720" s="13" t="s">
        <v>128</v>
      </c>
      <c r="D720" s="13" t="s">
        <v>128</v>
      </c>
      <c r="E720" s="13" t="s">
        <v>2126</v>
      </c>
      <c r="F720" s="13" t="s">
        <v>335</v>
      </c>
    </row>
    <row r="721" spans="1:6" hidden="1" x14ac:dyDescent="0.25">
      <c r="A721" s="13" t="s">
        <v>78</v>
      </c>
      <c r="B721" s="13">
        <v>12413</v>
      </c>
      <c r="C721" s="13" t="s">
        <v>51</v>
      </c>
      <c r="D721" s="13" t="s">
        <v>51</v>
      </c>
      <c r="E721" s="13" t="s">
        <v>2542</v>
      </c>
      <c r="F721" s="13" t="s">
        <v>335</v>
      </c>
    </row>
    <row r="722" spans="1:6" hidden="1" x14ac:dyDescent="0.25">
      <c r="A722" s="13" t="s">
        <v>78</v>
      </c>
      <c r="B722" s="13">
        <v>79375</v>
      </c>
      <c r="C722" s="13" t="s">
        <v>62</v>
      </c>
      <c r="D722" s="13" t="s">
        <v>62</v>
      </c>
      <c r="E722" s="13" t="s">
        <v>177</v>
      </c>
      <c r="F722" s="13" t="s">
        <v>335</v>
      </c>
    </row>
    <row r="723" spans="1:6" hidden="1" x14ac:dyDescent="0.25">
      <c r="A723" s="13" t="s">
        <v>21</v>
      </c>
      <c r="B723" s="13">
        <v>82695</v>
      </c>
      <c r="C723" s="13" t="s">
        <v>363</v>
      </c>
      <c r="D723" s="13" t="s">
        <v>363</v>
      </c>
      <c r="E723" s="13" t="s">
        <v>2405</v>
      </c>
      <c r="F723" s="13" t="s">
        <v>335</v>
      </c>
    </row>
    <row r="724" spans="1:6" hidden="1" x14ac:dyDescent="0.25">
      <c r="A724" s="13" t="s">
        <v>78</v>
      </c>
      <c r="B724" s="13">
        <v>81203</v>
      </c>
      <c r="C724" s="13" t="s">
        <v>86</v>
      </c>
      <c r="D724" s="13" t="s">
        <v>1981</v>
      </c>
      <c r="E724" s="13" t="s">
        <v>316</v>
      </c>
      <c r="F724" s="13" t="s">
        <v>335</v>
      </c>
    </row>
    <row r="725" spans="1:6" hidden="1" x14ac:dyDescent="0.25">
      <c r="A725" s="13" t="s">
        <v>78</v>
      </c>
      <c r="B725" s="13">
        <v>80111</v>
      </c>
      <c r="C725" s="13" t="s">
        <v>2009</v>
      </c>
      <c r="D725" s="13" t="s">
        <v>152</v>
      </c>
      <c r="E725" s="13" t="s">
        <v>2504</v>
      </c>
      <c r="F725" s="13" t="s">
        <v>335</v>
      </c>
    </row>
    <row r="726" spans="1:6" hidden="1" x14ac:dyDescent="0.25">
      <c r="A726" s="13" t="s">
        <v>78</v>
      </c>
      <c r="B726" s="13">
        <v>81380</v>
      </c>
      <c r="C726" s="13" t="s">
        <v>327</v>
      </c>
      <c r="D726" s="13" t="s">
        <v>327</v>
      </c>
      <c r="E726" s="13" t="s">
        <v>2651</v>
      </c>
      <c r="F726" s="13" t="s">
        <v>335</v>
      </c>
    </row>
    <row r="727" spans="1:6" hidden="1" x14ac:dyDescent="0.25">
      <c r="A727" s="13" t="s">
        <v>78</v>
      </c>
      <c r="B727" s="13">
        <v>80961</v>
      </c>
      <c r="C727" s="13" t="s">
        <v>85</v>
      </c>
      <c r="D727" s="13" t="s">
        <v>85</v>
      </c>
      <c r="E727" s="13" t="s">
        <v>1396</v>
      </c>
      <c r="F727" s="13" t="s">
        <v>335</v>
      </c>
    </row>
    <row r="728" spans="1:6" hidden="1" x14ac:dyDescent="0.25">
      <c r="A728" s="13" t="s">
        <v>78</v>
      </c>
      <c r="B728" s="13">
        <v>80961</v>
      </c>
      <c r="C728" s="13" t="s">
        <v>85</v>
      </c>
      <c r="D728" s="13" t="s">
        <v>85</v>
      </c>
      <c r="E728" s="13" t="s">
        <v>2419</v>
      </c>
      <c r="F728" s="13" t="s">
        <v>335</v>
      </c>
    </row>
    <row r="729" spans="1:6" hidden="1" x14ac:dyDescent="0.25">
      <c r="A729" s="13" t="s">
        <v>78</v>
      </c>
      <c r="B729" s="13">
        <v>81249</v>
      </c>
      <c r="C729" s="13" t="s">
        <v>317</v>
      </c>
      <c r="D729" s="13" t="s">
        <v>1801</v>
      </c>
      <c r="E729" s="13" t="s">
        <v>957</v>
      </c>
      <c r="F729" s="13" t="s">
        <v>335</v>
      </c>
    </row>
    <row r="730" spans="1:6" hidden="1" x14ac:dyDescent="0.25">
      <c r="A730" s="13" t="s">
        <v>78</v>
      </c>
      <c r="B730" s="13">
        <v>82361</v>
      </c>
      <c r="C730" s="13" t="s">
        <v>2391</v>
      </c>
      <c r="D730" s="13" t="s">
        <v>2392</v>
      </c>
      <c r="E730" s="13" t="s">
        <v>2393</v>
      </c>
      <c r="F730" s="13" t="s">
        <v>335</v>
      </c>
    </row>
    <row r="731" spans="1:6" hidden="1" x14ac:dyDescent="0.25">
      <c r="A731" s="13" t="s">
        <v>78</v>
      </c>
      <c r="B731" s="13">
        <v>80359</v>
      </c>
      <c r="C731" s="13" t="s">
        <v>76</v>
      </c>
      <c r="D731" s="13" t="s">
        <v>76</v>
      </c>
      <c r="E731" s="13" t="s">
        <v>2278</v>
      </c>
      <c r="F731" s="13" t="s">
        <v>335</v>
      </c>
    </row>
    <row r="732" spans="1:6" hidden="1" x14ac:dyDescent="0.25">
      <c r="A732" s="13" t="s">
        <v>78</v>
      </c>
      <c r="B732" s="13">
        <v>79956</v>
      </c>
      <c r="C732" s="13" t="s">
        <v>17</v>
      </c>
      <c r="D732" s="13" t="s">
        <v>17</v>
      </c>
      <c r="E732" s="13" t="s">
        <v>1126</v>
      </c>
      <c r="F732" s="13" t="s">
        <v>335</v>
      </c>
    </row>
    <row r="733" spans="1:6" hidden="1" x14ac:dyDescent="0.25">
      <c r="A733" s="13" t="s">
        <v>78</v>
      </c>
      <c r="B733" s="13">
        <v>80480</v>
      </c>
      <c r="C733" s="13" t="s">
        <v>38</v>
      </c>
      <c r="D733" s="13" t="s">
        <v>38</v>
      </c>
      <c r="E733" s="13" t="s">
        <v>2134</v>
      </c>
      <c r="F733" s="13" t="s">
        <v>335</v>
      </c>
    </row>
    <row r="734" spans="1:6" hidden="1" x14ac:dyDescent="0.25">
      <c r="A734" s="13" t="s">
        <v>78</v>
      </c>
      <c r="B734" s="13">
        <v>14479</v>
      </c>
      <c r="C734" s="13" t="s">
        <v>24</v>
      </c>
      <c r="D734" s="13" t="s">
        <v>24</v>
      </c>
      <c r="E734" s="13" t="s">
        <v>282</v>
      </c>
      <c r="F734" s="13" t="s">
        <v>335</v>
      </c>
    </row>
    <row r="735" spans="1:6" hidden="1" x14ac:dyDescent="0.25">
      <c r="A735" s="13" t="s">
        <v>78</v>
      </c>
      <c r="B735" s="13">
        <v>80195</v>
      </c>
      <c r="C735" s="13" t="s">
        <v>114</v>
      </c>
      <c r="D735" s="13" t="s">
        <v>1805</v>
      </c>
      <c r="E735" s="13" t="s">
        <v>282</v>
      </c>
      <c r="F735" s="13" t="s">
        <v>335</v>
      </c>
    </row>
    <row r="736" spans="1:6" hidden="1" x14ac:dyDescent="0.25">
      <c r="A736" s="13" t="s">
        <v>78</v>
      </c>
      <c r="B736" s="13">
        <v>14479</v>
      </c>
      <c r="C736" s="13" t="s">
        <v>24</v>
      </c>
      <c r="D736" s="13" t="s">
        <v>24</v>
      </c>
      <c r="E736" s="13" t="s">
        <v>583</v>
      </c>
      <c r="F736" s="13" t="s">
        <v>335</v>
      </c>
    </row>
    <row r="737" spans="1:6" hidden="1" x14ac:dyDescent="0.25">
      <c r="A737" s="13" t="s">
        <v>78</v>
      </c>
      <c r="B737" s="13">
        <v>80195</v>
      </c>
      <c r="C737" s="13" t="s">
        <v>114</v>
      </c>
      <c r="D737" s="13" t="s">
        <v>1805</v>
      </c>
      <c r="E737" s="13" t="s">
        <v>583</v>
      </c>
      <c r="F737" s="13" t="s">
        <v>335</v>
      </c>
    </row>
    <row r="738" spans="1:6" hidden="1" x14ac:dyDescent="0.25">
      <c r="A738" s="13" t="s">
        <v>78</v>
      </c>
      <c r="B738" s="13">
        <v>81203</v>
      </c>
      <c r="C738" s="13" t="s">
        <v>86</v>
      </c>
      <c r="D738" s="13" t="s">
        <v>1981</v>
      </c>
      <c r="E738" s="13" t="s">
        <v>1748</v>
      </c>
      <c r="F738" s="13" t="s">
        <v>335</v>
      </c>
    </row>
    <row r="739" spans="1:6" hidden="1" x14ac:dyDescent="0.25">
      <c r="A739" s="13" t="s">
        <v>78</v>
      </c>
      <c r="B739" s="13">
        <v>16705</v>
      </c>
      <c r="C739" s="13" t="s">
        <v>36</v>
      </c>
      <c r="D739" s="13" t="s">
        <v>36</v>
      </c>
      <c r="E739" s="13" t="s">
        <v>1831</v>
      </c>
      <c r="F739" s="13" t="s">
        <v>335</v>
      </c>
    </row>
    <row r="740" spans="1:6" hidden="1" x14ac:dyDescent="0.25">
      <c r="A740" s="13" t="s">
        <v>78</v>
      </c>
      <c r="B740" s="13">
        <v>12413</v>
      </c>
      <c r="C740" s="13" t="s">
        <v>51</v>
      </c>
      <c r="D740" s="13" t="s">
        <v>51</v>
      </c>
      <c r="E740" s="13" t="s">
        <v>1963</v>
      </c>
      <c r="F740" s="13" t="s">
        <v>335</v>
      </c>
    </row>
    <row r="741" spans="1:6" hidden="1" x14ac:dyDescent="0.25">
      <c r="A741" s="13" t="s">
        <v>78</v>
      </c>
      <c r="B741" s="13">
        <v>14479</v>
      </c>
      <c r="C741" s="13" t="s">
        <v>24</v>
      </c>
      <c r="D741" s="13" t="s">
        <v>24</v>
      </c>
      <c r="E741" s="13" t="s">
        <v>1809</v>
      </c>
      <c r="F741" s="13" t="s">
        <v>335</v>
      </c>
    </row>
    <row r="742" spans="1:6" hidden="1" x14ac:dyDescent="0.25">
      <c r="A742" s="13" t="s">
        <v>21</v>
      </c>
      <c r="B742" s="13">
        <v>82831</v>
      </c>
      <c r="C742" s="13" t="s">
        <v>2260</v>
      </c>
      <c r="D742" s="13" t="s">
        <v>1899</v>
      </c>
      <c r="E742" s="13" t="s">
        <v>2531</v>
      </c>
      <c r="F742" s="13" t="s">
        <v>335</v>
      </c>
    </row>
    <row r="743" spans="1:6" hidden="1" x14ac:dyDescent="0.25">
      <c r="A743" s="13" t="s">
        <v>78</v>
      </c>
      <c r="B743" s="13">
        <v>80240</v>
      </c>
      <c r="C743" s="13" t="s">
        <v>73</v>
      </c>
      <c r="D743" s="13" t="s">
        <v>73</v>
      </c>
      <c r="E743" s="13" t="s">
        <v>2234</v>
      </c>
      <c r="F743" s="13" t="s">
        <v>335</v>
      </c>
    </row>
    <row r="744" spans="1:6" hidden="1" x14ac:dyDescent="0.25">
      <c r="A744" s="13" t="s">
        <v>78</v>
      </c>
      <c r="B744" s="13">
        <v>81199</v>
      </c>
      <c r="C744" s="13" t="s">
        <v>300</v>
      </c>
      <c r="D744" s="13" t="s">
        <v>300</v>
      </c>
      <c r="E744" s="13" t="s">
        <v>390</v>
      </c>
      <c r="F744" s="13" t="s">
        <v>335</v>
      </c>
    </row>
    <row r="745" spans="1:6" hidden="1" x14ac:dyDescent="0.25">
      <c r="A745" s="13" t="s">
        <v>78</v>
      </c>
      <c r="B745" s="13">
        <v>79956</v>
      </c>
      <c r="C745" s="13" t="s">
        <v>17</v>
      </c>
      <c r="D745" s="13" t="s">
        <v>17</v>
      </c>
      <c r="E745" s="13" t="s">
        <v>2213</v>
      </c>
      <c r="F745" s="13" t="s">
        <v>335</v>
      </c>
    </row>
    <row r="746" spans="1:6" hidden="1" x14ac:dyDescent="0.25">
      <c r="A746" s="13" t="s">
        <v>78</v>
      </c>
      <c r="B746" s="13">
        <v>79460</v>
      </c>
      <c r="C746" s="13" t="s">
        <v>398</v>
      </c>
      <c r="D746" s="13" t="s">
        <v>14</v>
      </c>
      <c r="E746" s="13" t="s">
        <v>242</v>
      </c>
      <c r="F746" s="13" t="s">
        <v>335</v>
      </c>
    </row>
    <row r="747" spans="1:6" hidden="1" x14ac:dyDescent="0.25">
      <c r="A747" s="13" t="s">
        <v>78</v>
      </c>
      <c r="B747" s="13">
        <v>80005</v>
      </c>
      <c r="C747" s="13" t="s">
        <v>97</v>
      </c>
      <c r="D747" s="13" t="s">
        <v>1914</v>
      </c>
      <c r="E747" s="13" t="s">
        <v>347</v>
      </c>
      <c r="F747" s="13" t="s">
        <v>335</v>
      </c>
    </row>
    <row r="748" spans="1:6" hidden="1" x14ac:dyDescent="0.25">
      <c r="A748" s="13" t="s">
        <v>78</v>
      </c>
      <c r="B748" s="13">
        <v>9000</v>
      </c>
      <c r="C748" s="13" t="s">
        <v>1913</v>
      </c>
      <c r="D748" s="13" t="s">
        <v>1914</v>
      </c>
      <c r="E748" s="13" t="s">
        <v>347</v>
      </c>
      <c r="F748" s="13" t="s">
        <v>335</v>
      </c>
    </row>
    <row r="749" spans="1:6" hidden="1" x14ac:dyDescent="0.25">
      <c r="A749" s="13" t="s">
        <v>78</v>
      </c>
      <c r="B749" s="13">
        <v>75777</v>
      </c>
      <c r="C749" s="13" t="s">
        <v>94</v>
      </c>
      <c r="D749" s="13" t="s">
        <v>94</v>
      </c>
      <c r="E749" s="13" t="s">
        <v>211</v>
      </c>
      <c r="F749" s="13" t="s">
        <v>335</v>
      </c>
    </row>
    <row r="750" spans="1:6" hidden="1" x14ac:dyDescent="0.25">
      <c r="A750" s="13" t="s">
        <v>78</v>
      </c>
      <c r="B750" s="13">
        <v>75779</v>
      </c>
      <c r="C750" s="13" t="s">
        <v>2617</v>
      </c>
      <c r="D750" s="13" t="s">
        <v>94</v>
      </c>
      <c r="E750" s="13" t="s">
        <v>211</v>
      </c>
      <c r="F750" s="13" t="s">
        <v>335</v>
      </c>
    </row>
    <row r="751" spans="1:6" hidden="1" x14ac:dyDescent="0.25">
      <c r="A751" s="13" t="s">
        <v>78</v>
      </c>
      <c r="B751" s="13">
        <v>79241</v>
      </c>
      <c r="C751" s="13" t="s">
        <v>106</v>
      </c>
      <c r="D751" s="13" t="s">
        <v>94</v>
      </c>
      <c r="E751" s="13" t="s">
        <v>211</v>
      </c>
      <c r="F751" s="13" t="s">
        <v>335</v>
      </c>
    </row>
    <row r="752" spans="1:6" hidden="1" x14ac:dyDescent="0.25">
      <c r="A752" s="13" t="s">
        <v>78</v>
      </c>
      <c r="B752" s="13">
        <v>75380</v>
      </c>
      <c r="C752" s="13" t="s">
        <v>101</v>
      </c>
      <c r="D752" s="13" t="s">
        <v>1823</v>
      </c>
      <c r="E752" s="13" t="s">
        <v>2368</v>
      </c>
      <c r="F752" s="13" t="s">
        <v>335</v>
      </c>
    </row>
    <row r="753" spans="1:6" hidden="1" x14ac:dyDescent="0.25">
      <c r="A753" s="13" t="s">
        <v>78</v>
      </c>
      <c r="B753" s="13">
        <v>81541</v>
      </c>
      <c r="C753" s="13" t="s">
        <v>2046</v>
      </c>
      <c r="D753" s="13" t="s">
        <v>33</v>
      </c>
      <c r="E753" s="13" t="s">
        <v>218</v>
      </c>
      <c r="F753" s="13" t="s">
        <v>335</v>
      </c>
    </row>
    <row r="754" spans="1:6" hidden="1" x14ac:dyDescent="0.25">
      <c r="A754" s="13" t="s">
        <v>78</v>
      </c>
      <c r="B754" s="13">
        <v>80769</v>
      </c>
      <c r="C754" s="13" t="s">
        <v>11</v>
      </c>
      <c r="D754" s="13" t="s">
        <v>1886</v>
      </c>
      <c r="E754" s="13" t="s">
        <v>962</v>
      </c>
      <c r="F754" s="13" t="s">
        <v>335</v>
      </c>
    </row>
    <row r="755" spans="1:6" hidden="1" x14ac:dyDescent="0.25">
      <c r="A755" s="13" t="s">
        <v>78</v>
      </c>
      <c r="B755" s="13">
        <v>82706</v>
      </c>
      <c r="C755" s="13" t="s">
        <v>1926</v>
      </c>
      <c r="D755" s="13" t="s">
        <v>1886</v>
      </c>
      <c r="E755" s="13" t="s">
        <v>962</v>
      </c>
      <c r="F755" s="13" t="s">
        <v>335</v>
      </c>
    </row>
    <row r="756" spans="1:6" hidden="1" x14ac:dyDescent="0.25">
      <c r="A756" s="13" t="s">
        <v>78</v>
      </c>
      <c r="B756" s="13">
        <v>95007</v>
      </c>
      <c r="C756" s="13" t="s">
        <v>104</v>
      </c>
      <c r="D756" s="13" t="s">
        <v>104</v>
      </c>
      <c r="E756" s="13" t="s">
        <v>1895</v>
      </c>
      <c r="F756" s="13" t="s">
        <v>335</v>
      </c>
    </row>
    <row r="757" spans="1:6" hidden="1" x14ac:dyDescent="0.25">
      <c r="A757" s="13" t="s">
        <v>78</v>
      </c>
      <c r="B757" s="13">
        <v>95009</v>
      </c>
      <c r="C757" s="13" t="s">
        <v>104</v>
      </c>
      <c r="D757" s="13" t="s">
        <v>104</v>
      </c>
      <c r="E757" s="13" t="s">
        <v>1895</v>
      </c>
      <c r="F757" s="13" t="s">
        <v>335</v>
      </c>
    </row>
    <row r="758" spans="1:6" hidden="1" x14ac:dyDescent="0.25">
      <c r="A758" s="13" t="s">
        <v>78</v>
      </c>
      <c r="B758" s="13">
        <v>80240</v>
      </c>
      <c r="C758" s="13" t="s">
        <v>73</v>
      </c>
      <c r="D758" s="13" t="s">
        <v>73</v>
      </c>
      <c r="E758" s="13" t="s">
        <v>2381</v>
      </c>
      <c r="F758" s="13" t="s">
        <v>335</v>
      </c>
    </row>
    <row r="759" spans="1:6" hidden="1" x14ac:dyDescent="0.25">
      <c r="A759" s="13" t="s">
        <v>78</v>
      </c>
      <c r="B759" s="13">
        <v>15781</v>
      </c>
      <c r="C759" s="13" t="s">
        <v>12</v>
      </c>
      <c r="D759" s="13" t="s">
        <v>12</v>
      </c>
      <c r="E759" s="13" t="s">
        <v>949</v>
      </c>
      <c r="F759" s="13" t="s">
        <v>335</v>
      </c>
    </row>
    <row r="760" spans="1:6" hidden="1" x14ac:dyDescent="0.25">
      <c r="A760" s="13" t="s">
        <v>78</v>
      </c>
      <c r="B760" s="13">
        <v>80441</v>
      </c>
      <c r="C760" s="13" t="s">
        <v>122</v>
      </c>
      <c r="D760" s="13" t="s">
        <v>125</v>
      </c>
      <c r="E760" s="13" t="s">
        <v>949</v>
      </c>
      <c r="F760" s="13" t="s">
        <v>335</v>
      </c>
    </row>
    <row r="761" spans="1:6" hidden="1" x14ac:dyDescent="0.25">
      <c r="A761" s="13" t="s">
        <v>21</v>
      </c>
      <c r="B761" s="13">
        <v>82869</v>
      </c>
      <c r="C761" s="13" t="s">
        <v>63</v>
      </c>
      <c r="D761" s="13" t="s">
        <v>85</v>
      </c>
      <c r="E761" s="13" t="s">
        <v>2559</v>
      </c>
      <c r="F761" s="13" t="s">
        <v>335</v>
      </c>
    </row>
    <row r="762" spans="1:6" hidden="1" x14ac:dyDescent="0.25">
      <c r="A762" s="13" t="s">
        <v>78</v>
      </c>
      <c r="B762" s="13">
        <v>18857</v>
      </c>
      <c r="C762" s="13" t="s">
        <v>110</v>
      </c>
      <c r="D762" s="13" t="s">
        <v>110</v>
      </c>
      <c r="E762" s="13" t="s">
        <v>1045</v>
      </c>
      <c r="F762" s="13" t="s">
        <v>335</v>
      </c>
    </row>
    <row r="763" spans="1:6" hidden="1" x14ac:dyDescent="0.25">
      <c r="A763" s="13" t="s">
        <v>78</v>
      </c>
      <c r="B763" s="13">
        <v>80510</v>
      </c>
      <c r="C763" s="13" t="s">
        <v>1856</v>
      </c>
      <c r="D763" s="13" t="s">
        <v>1871</v>
      </c>
      <c r="E763" s="13" t="s">
        <v>1750</v>
      </c>
      <c r="F763" s="13" t="s">
        <v>335</v>
      </c>
    </row>
    <row r="764" spans="1:6" hidden="1" x14ac:dyDescent="0.25">
      <c r="A764" s="13" t="s">
        <v>78</v>
      </c>
      <c r="B764" s="13">
        <v>80958</v>
      </c>
      <c r="C764" s="13" t="s">
        <v>1856</v>
      </c>
      <c r="D764" s="13" t="s">
        <v>1977</v>
      </c>
      <c r="E764" s="13" t="s">
        <v>1750</v>
      </c>
      <c r="F764" s="13" t="s">
        <v>335</v>
      </c>
    </row>
    <row r="765" spans="1:6" hidden="1" x14ac:dyDescent="0.25">
      <c r="A765" s="13" t="s">
        <v>78</v>
      </c>
      <c r="B765" s="13">
        <v>80509</v>
      </c>
      <c r="C765" s="13" t="s">
        <v>1856</v>
      </c>
      <c r="D765" s="13" t="s">
        <v>2370</v>
      </c>
      <c r="E765" s="13" t="s">
        <v>1750</v>
      </c>
      <c r="F765" s="13" t="s">
        <v>335</v>
      </c>
    </row>
    <row r="766" spans="1:6" hidden="1" x14ac:dyDescent="0.25">
      <c r="A766" s="13" t="s">
        <v>78</v>
      </c>
      <c r="B766" s="13">
        <v>14416</v>
      </c>
      <c r="C766" s="13" t="s">
        <v>33</v>
      </c>
      <c r="D766" s="13" t="s">
        <v>33</v>
      </c>
      <c r="E766" s="13" t="s">
        <v>1936</v>
      </c>
      <c r="F766" s="13" t="s">
        <v>335</v>
      </c>
    </row>
    <row r="767" spans="1:6" hidden="1" x14ac:dyDescent="0.25">
      <c r="A767" s="13" t="s">
        <v>78</v>
      </c>
      <c r="B767" s="13">
        <v>81771</v>
      </c>
      <c r="C767" s="13" t="s">
        <v>356</v>
      </c>
      <c r="D767" s="13" t="s">
        <v>33</v>
      </c>
      <c r="E767" s="13" t="s">
        <v>1936</v>
      </c>
      <c r="F767" s="13" t="s">
        <v>335</v>
      </c>
    </row>
    <row r="768" spans="1:6" hidden="1" x14ac:dyDescent="0.25">
      <c r="A768" s="13" t="s">
        <v>21</v>
      </c>
      <c r="B768" s="13">
        <v>123491</v>
      </c>
      <c r="C768" s="13" t="s">
        <v>15</v>
      </c>
      <c r="D768" s="13" t="s">
        <v>109</v>
      </c>
      <c r="E768" s="13" t="s">
        <v>1907</v>
      </c>
      <c r="F768" s="13" t="s">
        <v>335</v>
      </c>
    </row>
    <row r="769" spans="1:6" hidden="1" x14ac:dyDescent="0.25">
      <c r="A769" s="13" t="s">
        <v>78</v>
      </c>
      <c r="B769" s="13">
        <v>81794</v>
      </c>
      <c r="C769" s="13" t="s">
        <v>351</v>
      </c>
      <c r="D769" s="13" t="s">
        <v>351</v>
      </c>
      <c r="E769" s="13" t="s">
        <v>2526</v>
      </c>
      <c r="F769" s="13" t="s">
        <v>335</v>
      </c>
    </row>
    <row r="770" spans="1:6" hidden="1" x14ac:dyDescent="0.25">
      <c r="A770" s="13" t="s">
        <v>78</v>
      </c>
      <c r="B770" s="13">
        <v>79329</v>
      </c>
      <c r="C770" s="13" t="s">
        <v>79</v>
      </c>
      <c r="D770" s="13" t="s">
        <v>1829</v>
      </c>
      <c r="E770" s="13" t="s">
        <v>2643</v>
      </c>
      <c r="F770" s="13" t="s">
        <v>335</v>
      </c>
    </row>
    <row r="771" spans="1:6" hidden="1" x14ac:dyDescent="0.25">
      <c r="A771" s="13" t="s">
        <v>78</v>
      </c>
      <c r="B771" s="13">
        <v>16705</v>
      </c>
      <c r="C771" s="13" t="s">
        <v>36</v>
      </c>
      <c r="D771" s="13" t="s">
        <v>36</v>
      </c>
      <c r="E771" s="13" t="s">
        <v>2397</v>
      </c>
      <c r="F771" s="13" t="s">
        <v>335</v>
      </c>
    </row>
    <row r="772" spans="1:6" hidden="1" x14ac:dyDescent="0.25">
      <c r="A772" s="13" t="s">
        <v>21</v>
      </c>
      <c r="B772" s="13">
        <v>81707</v>
      </c>
      <c r="C772" s="13" t="s">
        <v>408</v>
      </c>
      <c r="D772" s="13" t="s">
        <v>408</v>
      </c>
      <c r="E772" s="13" t="s">
        <v>374</v>
      </c>
      <c r="F772" s="13" t="s">
        <v>335</v>
      </c>
    </row>
    <row r="773" spans="1:6" hidden="1" x14ac:dyDescent="0.25">
      <c r="A773" s="13" t="s">
        <v>78</v>
      </c>
      <c r="B773" s="13">
        <v>81707</v>
      </c>
      <c r="C773" s="13" t="s">
        <v>408</v>
      </c>
      <c r="D773" s="13" t="s">
        <v>408</v>
      </c>
      <c r="E773" s="13" t="s">
        <v>374</v>
      </c>
      <c r="F773" s="13" t="s">
        <v>335</v>
      </c>
    </row>
    <row r="774" spans="1:6" hidden="1" x14ac:dyDescent="0.25">
      <c r="A774" s="13" t="s">
        <v>78</v>
      </c>
      <c r="B774" s="13">
        <v>81777</v>
      </c>
      <c r="C774" s="13" t="s">
        <v>51</v>
      </c>
      <c r="D774" s="13" t="s">
        <v>51</v>
      </c>
      <c r="E774" s="13" t="s">
        <v>2019</v>
      </c>
      <c r="F774" s="13" t="s">
        <v>335</v>
      </c>
    </row>
    <row r="775" spans="1:6" hidden="1" x14ac:dyDescent="0.25">
      <c r="A775" s="13" t="s">
        <v>78</v>
      </c>
      <c r="B775" s="13">
        <v>79931</v>
      </c>
      <c r="C775" s="13" t="s">
        <v>67</v>
      </c>
      <c r="D775" s="13" t="s">
        <v>67</v>
      </c>
      <c r="E775" s="13" t="s">
        <v>203</v>
      </c>
      <c r="F775" s="13" t="s">
        <v>335</v>
      </c>
    </row>
    <row r="776" spans="1:6" hidden="1" x14ac:dyDescent="0.25">
      <c r="A776" s="13" t="s">
        <v>78</v>
      </c>
      <c r="B776" s="13">
        <v>80961</v>
      </c>
      <c r="C776" s="13" t="s">
        <v>85</v>
      </c>
      <c r="D776" s="13" t="s">
        <v>85</v>
      </c>
      <c r="E776" s="13" t="s">
        <v>2073</v>
      </c>
      <c r="F776" s="13" t="s">
        <v>335</v>
      </c>
    </row>
    <row r="777" spans="1:6" hidden="1" x14ac:dyDescent="0.25">
      <c r="A777" s="13" t="s">
        <v>78</v>
      </c>
      <c r="B777" s="13">
        <v>82207</v>
      </c>
      <c r="C777" s="13" t="s">
        <v>411</v>
      </c>
      <c r="D777" s="13" t="s">
        <v>85</v>
      </c>
      <c r="E777" s="13" t="s">
        <v>244</v>
      </c>
      <c r="F777" s="13" t="s">
        <v>335</v>
      </c>
    </row>
    <row r="778" spans="1:6" hidden="1" x14ac:dyDescent="0.25">
      <c r="A778" s="13" t="s">
        <v>78</v>
      </c>
      <c r="B778" s="13">
        <v>81794</v>
      </c>
      <c r="C778" s="13" t="s">
        <v>351</v>
      </c>
      <c r="D778" s="13" t="s">
        <v>351</v>
      </c>
      <c r="E778" s="13" t="s">
        <v>2373</v>
      </c>
      <c r="F778" s="13" t="s">
        <v>335</v>
      </c>
    </row>
    <row r="779" spans="1:6" hidden="1" x14ac:dyDescent="0.25">
      <c r="A779" s="13" t="s">
        <v>78</v>
      </c>
      <c r="B779" s="13">
        <v>80359</v>
      </c>
      <c r="C779" s="13" t="s">
        <v>76</v>
      </c>
      <c r="D779" s="13" t="s">
        <v>76</v>
      </c>
      <c r="E779" s="13" t="s">
        <v>2402</v>
      </c>
      <c r="F779" s="13" t="s">
        <v>335</v>
      </c>
    </row>
    <row r="780" spans="1:6" hidden="1" x14ac:dyDescent="0.25">
      <c r="A780" s="13" t="s">
        <v>78</v>
      </c>
      <c r="B780" s="13">
        <v>81259</v>
      </c>
      <c r="C780" s="13" t="s">
        <v>320</v>
      </c>
      <c r="D780" s="13" t="s">
        <v>109</v>
      </c>
      <c r="E780" s="13" t="s">
        <v>1887</v>
      </c>
      <c r="F780" s="13" t="s">
        <v>335</v>
      </c>
    </row>
    <row r="781" spans="1:6" hidden="1" x14ac:dyDescent="0.25">
      <c r="A781" s="13" t="s">
        <v>78</v>
      </c>
      <c r="B781" s="13">
        <v>81259</v>
      </c>
      <c r="C781" s="13" t="s">
        <v>320</v>
      </c>
      <c r="D781" s="13" t="s">
        <v>109</v>
      </c>
      <c r="E781" s="13" t="s">
        <v>2076</v>
      </c>
      <c r="F781" s="13" t="s">
        <v>335</v>
      </c>
    </row>
    <row r="782" spans="1:6" hidden="1" x14ac:dyDescent="0.25">
      <c r="A782" s="13" t="s">
        <v>78</v>
      </c>
      <c r="B782" s="13">
        <v>125119</v>
      </c>
      <c r="C782" s="13" t="s">
        <v>126</v>
      </c>
      <c r="D782" s="13" t="s">
        <v>126</v>
      </c>
      <c r="E782" s="13" t="s">
        <v>270</v>
      </c>
      <c r="F782" s="13" t="s">
        <v>335</v>
      </c>
    </row>
    <row r="783" spans="1:6" hidden="1" x14ac:dyDescent="0.25">
      <c r="A783" s="13" t="s">
        <v>78</v>
      </c>
      <c r="B783" s="13">
        <v>79372</v>
      </c>
      <c r="C783" s="13" t="s">
        <v>1810</v>
      </c>
      <c r="D783" s="13" t="s">
        <v>1811</v>
      </c>
      <c r="E783" s="13" t="s">
        <v>2458</v>
      </c>
      <c r="F783" s="13" t="s">
        <v>335</v>
      </c>
    </row>
    <row r="784" spans="1:6" hidden="1" x14ac:dyDescent="0.25">
      <c r="A784" s="13" t="s">
        <v>78</v>
      </c>
      <c r="B784" s="13">
        <v>80510</v>
      </c>
      <c r="C784" s="13" t="s">
        <v>1856</v>
      </c>
      <c r="D784" s="13" t="s">
        <v>1871</v>
      </c>
      <c r="E784" s="13" t="s">
        <v>1872</v>
      </c>
      <c r="F784" s="13" t="s">
        <v>335</v>
      </c>
    </row>
    <row r="785" spans="1:6" hidden="1" x14ac:dyDescent="0.25">
      <c r="A785" s="13" t="s">
        <v>78</v>
      </c>
      <c r="B785" s="13">
        <v>80958</v>
      </c>
      <c r="C785" s="13" t="s">
        <v>1856</v>
      </c>
      <c r="D785" s="13" t="s">
        <v>1977</v>
      </c>
      <c r="E785" s="13" t="s">
        <v>1872</v>
      </c>
      <c r="F785" s="13" t="s">
        <v>335</v>
      </c>
    </row>
    <row r="786" spans="1:6" hidden="1" x14ac:dyDescent="0.25">
      <c r="A786" s="13" t="s">
        <v>78</v>
      </c>
      <c r="B786" s="13">
        <v>80005</v>
      </c>
      <c r="C786" s="13" t="s">
        <v>97</v>
      </c>
      <c r="D786" s="13" t="s">
        <v>1914</v>
      </c>
      <c r="E786" s="13" t="s">
        <v>1935</v>
      </c>
      <c r="F786" s="13" t="s">
        <v>335</v>
      </c>
    </row>
    <row r="787" spans="1:6" hidden="1" x14ac:dyDescent="0.25">
      <c r="A787" s="13" t="s">
        <v>78</v>
      </c>
      <c r="B787" s="13">
        <v>9000</v>
      </c>
      <c r="C787" s="13" t="s">
        <v>1913</v>
      </c>
      <c r="D787" s="13" t="s">
        <v>1914</v>
      </c>
      <c r="E787" s="13" t="s">
        <v>1935</v>
      </c>
      <c r="F787" s="13" t="s">
        <v>335</v>
      </c>
    </row>
    <row r="788" spans="1:6" hidden="1" x14ac:dyDescent="0.25">
      <c r="A788" s="13" t="s">
        <v>78</v>
      </c>
      <c r="B788" s="13">
        <v>80958</v>
      </c>
      <c r="C788" s="13" t="s">
        <v>1856</v>
      </c>
      <c r="D788" s="13" t="s">
        <v>1977</v>
      </c>
      <c r="E788" s="13" t="s">
        <v>587</v>
      </c>
      <c r="F788" s="13" t="s">
        <v>335</v>
      </c>
    </row>
    <row r="789" spans="1:6" hidden="1" x14ac:dyDescent="0.25">
      <c r="A789" s="13" t="s">
        <v>78</v>
      </c>
      <c r="B789" s="13">
        <v>83577</v>
      </c>
      <c r="C789" s="13" t="s">
        <v>88</v>
      </c>
      <c r="D789" s="13" t="s">
        <v>1896</v>
      </c>
      <c r="E789" s="13" t="s">
        <v>679</v>
      </c>
      <c r="F789" s="13" t="s">
        <v>335</v>
      </c>
    </row>
    <row r="790" spans="1:6" hidden="1" x14ac:dyDescent="0.25">
      <c r="A790" s="13" t="s">
        <v>21</v>
      </c>
      <c r="B790" s="13">
        <v>83079</v>
      </c>
      <c r="C790" s="13" t="s">
        <v>342</v>
      </c>
      <c r="D790" s="13" t="s">
        <v>342</v>
      </c>
      <c r="E790" s="13" t="s">
        <v>2644</v>
      </c>
      <c r="F790" s="13" t="s">
        <v>335</v>
      </c>
    </row>
    <row r="791" spans="1:6" hidden="1" x14ac:dyDescent="0.25">
      <c r="A791" s="13" t="s">
        <v>78</v>
      </c>
      <c r="B791" s="13">
        <v>1447</v>
      </c>
      <c r="C791" s="13" t="s">
        <v>111</v>
      </c>
      <c r="D791" s="13" t="s">
        <v>111</v>
      </c>
      <c r="E791" s="13" t="s">
        <v>220</v>
      </c>
      <c r="F791" s="13" t="s">
        <v>335</v>
      </c>
    </row>
    <row r="792" spans="1:6" hidden="1" x14ac:dyDescent="0.25">
      <c r="A792" s="13" t="s">
        <v>78</v>
      </c>
      <c r="B792" s="13">
        <v>83000</v>
      </c>
      <c r="C792" s="13" t="s">
        <v>2167</v>
      </c>
      <c r="D792" s="13" t="s">
        <v>2167</v>
      </c>
      <c r="E792" s="13" t="s">
        <v>2551</v>
      </c>
      <c r="F792" s="13" t="s">
        <v>335</v>
      </c>
    </row>
    <row r="793" spans="1:6" hidden="1" x14ac:dyDescent="0.25">
      <c r="A793" s="13" t="s">
        <v>78</v>
      </c>
      <c r="B793" s="13">
        <v>82315</v>
      </c>
      <c r="C793" s="13" t="s">
        <v>2136</v>
      </c>
      <c r="D793" s="13" t="s">
        <v>2136</v>
      </c>
      <c r="E793" s="13" t="s">
        <v>2137</v>
      </c>
      <c r="F793" s="13" t="s">
        <v>335</v>
      </c>
    </row>
    <row r="794" spans="1:6" hidden="1" x14ac:dyDescent="0.25">
      <c r="A794" s="13" t="s">
        <v>21</v>
      </c>
      <c r="B794" s="13">
        <v>82248</v>
      </c>
      <c r="C794" s="13" t="s">
        <v>1836</v>
      </c>
      <c r="D794" s="13" t="s">
        <v>267</v>
      </c>
      <c r="E794" s="13" t="s">
        <v>2430</v>
      </c>
      <c r="F794" s="13" t="s">
        <v>335</v>
      </c>
    </row>
    <row r="795" spans="1:6" hidden="1" x14ac:dyDescent="0.25">
      <c r="A795" s="13" t="s">
        <v>78</v>
      </c>
      <c r="B795" s="13">
        <v>12404</v>
      </c>
      <c r="C795" s="13" t="s">
        <v>267</v>
      </c>
      <c r="D795" s="13" t="s">
        <v>267</v>
      </c>
      <c r="E795" s="13" t="s">
        <v>2430</v>
      </c>
      <c r="F795" s="13" t="s">
        <v>335</v>
      </c>
    </row>
    <row r="796" spans="1:6" hidden="1" x14ac:dyDescent="0.25">
      <c r="A796" s="13" t="s">
        <v>78</v>
      </c>
      <c r="B796" s="13">
        <v>81665</v>
      </c>
      <c r="C796" s="13" t="s">
        <v>93</v>
      </c>
      <c r="D796" s="13" t="s">
        <v>1903</v>
      </c>
      <c r="E796" s="13" t="s">
        <v>2112</v>
      </c>
      <c r="F796" s="13" t="s">
        <v>335</v>
      </c>
    </row>
    <row r="797" spans="1:6" hidden="1" x14ac:dyDescent="0.25">
      <c r="A797" s="13" t="s">
        <v>78</v>
      </c>
      <c r="B797" s="13">
        <v>125055</v>
      </c>
      <c r="C797" s="13" t="s">
        <v>2613</v>
      </c>
      <c r="D797" s="13" t="s">
        <v>1886</v>
      </c>
      <c r="E797" s="13" t="s">
        <v>1961</v>
      </c>
      <c r="F797" s="13" t="s">
        <v>335</v>
      </c>
    </row>
    <row r="798" spans="1:6" hidden="1" x14ac:dyDescent="0.25">
      <c r="A798" s="13" t="s">
        <v>78</v>
      </c>
      <c r="B798" s="13">
        <v>80749</v>
      </c>
      <c r="C798" s="13" t="s">
        <v>343</v>
      </c>
      <c r="D798" s="13" t="s">
        <v>1886</v>
      </c>
      <c r="E798" s="13" t="s">
        <v>1961</v>
      </c>
      <c r="F798" s="13" t="s">
        <v>335</v>
      </c>
    </row>
    <row r="799" spans="1:6" hidden="1" x14ac:dyDescent="0.25">
      <c r="A799" s="13" t="s">
        <v>78</v>
      </c>
      <c r="B799" s="13">
        <v>79455</v>
      </c>
      <c r="C799" s="13" t="s">
        <v>398</v>
      </c>
      <c r="D799" s="13" t="s">
        <v>14</v>
      </c>
      <c r="E799" s="13" t="s">
        <v>2316</v>
      </c>
      <c r="F799" s="13" t="s">
        <v>335</v>
      </c>
    </row>
    <row r="800" spans="1:6" hidden="1" x14ac:dyDescent="0.25">
      <c r="A800" s="13" t="s">
        <v>78</v>
      </c>
      <c r="B800" s="13">
        <v>79476</v>
      </c>
      <c r="C800" s="13" t="s">
        <v>25</v>
      </c>
      <c r="D800" s="13" t="s">
        <v>25</v>
      </c>
      <c r="E800" s="13" t="s">
        <v>2088</v>
      </c>
      <c r="F800" s="13" t="s">
        <v>335</v>
      </c>
    </row>
    <row r="801" spans="1:6" hidden="1" x14ac:dyDescent="0.25">
      <c r="A801" s="13" t="s">
        <v>78</v>
      </c>
      <c r="B801" s="13">
        <v>79475</v>
      </c>
      <c r="C801" s="13" t="s">
        <v>25</v>
      </c>
      <c r="D801" s="13" t="s">
        <v>25</v>
      </c>
      <c r="E801" s="13" t="s">
        <v>2088</v>
      </c>
      <c r="F801" s="13" t="s">
        <v>335</v>
      </c>
    </row>
    <row r="802" spans="1:6" hidden="1" x14ac:dyDescent="0.25">
      <c r="A802" s="13" t="s">
        <v>78</v>
      </c>
      <c r="B802" s="13">
        <v>79581</v>
      </c>
      <c r="C802" s="13" t="s">
        <v>1933</v>
      </c>
      <c r="D802" s="13" t="s">
        <v>1933</v>
      </c>
      <c r="E802" s="13" t="s">
        <v>1953</v>
      </c>
      <c r="F802" s="13" t="s">
        <v>335</v>
      </c>
    </row>
    <row r="803" spans="1:6" hidden="1" x14ac:dyDescent="0.25">
      <c r="A803" s="13" t="s">
        <v>78</v>
      </c>
      <c r="B803" s="13">
        <v>125119</v>
      </c>
      <c r="C803" s="13" t="s">
        <v>126</v>
      </c>
      <c r="D803" s="13" t="s">
        <v>126</v>
      </c>
      <c r="E803" s="13" t="s">
        <v>2532</v>
      </c>
      <c r="F803" s="13" t="s">
        <v>335</v>
      </c>
    </row>
    <row r="804" spans="1:6" hidden="1" x14ac:dyDescent="0.25">
      <c r="A804" s="13" t="s">
        <v>78</v>
      </c>
      <c r="B804" s="13">
        <v>81702</v>
      </c>
      <c r="C804" s="13" t="s">
        <v>1844</v>
      </c>
      <c r="D804" s="13" t="s">
        <v>104</v>
      </c>
      <c r="E804" s="13" t="s">
        <v>2222</v>
      </c>
      <c r="F804" s="13" t="s">
        <v>335</v>
      </c>
    </row>
    <row r="805" spans="1:6" hidden="1" x14ac:dyDescent="0.25">
      <c r="A805" s="13" t="s">
        <v>78</v>
      </c>
      <c r="B805" s="13">
        <v>79455</v>
      </c>
      <c r="C805" s="13" t="s">
        <v>398</v>
      </c>
      <c r="D805" s="13" t="s">
        <v>14</v>
      </c>
      <c r="E805" s="13" t="s">
        <v>1941</v>
      </c>
      <c r="F805" s="13" t="s">
        <v>335</v>
      </c>
    </row>
    <row r="806" spans="1:6" hidden="1" x14ac:dyDescent="0.25">
      <c r="A806" s="13" t="s">
        <v>78</v>
      </c>
      <c r="B806" s="13">
        <v>95007</v>
      </c>
      <c r="C806" s="13" t="s">
        <v>104</v>
      </c>
      <c r="D806" s="13" t="s">
        <v>104</v>
      </c>
      <c r="E806" s="13" t="s">
        <v>2237</v>
      </c>
      <c r="F806" s="13" t="s">
        <v>335</v>
      </c>
    </row>
    <row r="807" spans="1:6" hidden="1" x14ac:dyDescent="0.25">
      <c r="A807" s="13" t="s">
        <v>78</v>
      </c>
      <c r="B807" s="13">
        <v>95010</v>
      </c>
      <c r="C807" s="13" t="s">
        <v>104</v>
      </c>
      <c r="D807" s="13" t="s">
        <v>104</v>
      </c>
      <c r="E807" s="13" t="s">
        <v>2237</v>
      </c>
      <c r="F807" s="13" t="s">
        <v>335</v>
      </c>
    </row>
    <row r="808" spans="1:6" hidden="1" x14ac:dyDescent="0.25">
      <c r="A808" s="13" t="s">
        <v>78</v>
      </c>
      <c r="B808" s="13">
        <v>95005</v>
      </c>
      <c r="C808" s="13" t="s">
        <v>303</v>
      </c>
      <c r="D808" s="13" t="s">
        <v>104</v>
      </c>
      <c r="E808" s="13" t="s">
        <v>2237</v>
      </c>
      <c r="F808" s="13" t="s">
        <v>335</v>
      </c>
    </row>
    <row r="809" spans="1:6" hidden="1" x14ac:dyDescent="0.25">
      <c r="A809" s="13" t="s">
        <v>78</v>
      </c>
      <c r="B809" s="13">
        <v>95014</v>
      </c>
      <c r="C809" s="13" t="s">
        <v>1889</v>
      </c>
      <c r="D809" s="13" t="s">
        <v>104</v>
      </c>
      <c r="E809" s="13" t="s">
        <v>2237</v>
      </c>
      <c r="F809" s="13" t="s">
        <v>335</v>
      </c>
    </row>
    <row r="810" spans="1:6" hidden="1" x14ac:dyDescent="0.25">
      <c r="A810" s="13" t="s">
        <v>78</v>
      </c>
      <c r="B810" s="13">
        <v>95005</v>
      </c>
      <c r="C810" s="13" t="s">
        <v>303</v>
      </c>
      <c r="D810" s="13" t="s">
        <v>104</v>
      </c>
      <c r="E810" s="13" t="s">
        <v>2496</v>
      </c>
      <c r="F810" s="13" t="s">
        <v>335</v>
      </c>
    </row>
    <row r="811" spans="1:6" hidden="1" x14ac:dyDescent="0.25">
      <c r="A811" s="13" t="s">
        <v>78</v>
      </c>
      <c r="B811" s="13">
        <v>95005</v>
      </c>
      <c r="C811" s="13" t="s">
        <v>303</v>
      </c>
      <c r="D811" s="13" t="s">
        <v>104</v>
      </c>
      <c r="E811" s="13" t="s">
        <v>2432</v>
      </c>
      <c r="F811" s="13" t="s">
        <v>335</v>
      </c>
    </row>
    <row r="812" spans="1:6" hidden="1" x14ac:dyDescent="0.25">
      <c r="A812" s="13" t="s">
        <v>78</v>
      </c>
      <c r="B812" s="13">
        <v>95005</v>
      </c>
      <c r="C812" s="13" t="s">
        <v>303</v>
      </c>
      <c r="D812" s="13" t="s">
        <v>104</v>
      </c>
      <c r="E812" s="13" t="s">
        <v>2498</v>
      </c>
      <c r="F812" s="13" t="s">
        <v>335</v>
      </c>
    </row>
    <row r="813" spans="1:6" hidden="1" x14ac:dyDescent="0.25">
      <c r="A813" s="13" t="s">
        <v>78</v>
      </c>
      <c r="B813" s="13">
        <v>95007</v>
      </c>
      <c r="C813" s="13" t="s">
        <v>104</v>
      </c>
      <c r="D813" s="13" t="s">
        <v>104</v>
      </c>
      <c r="E813" s="13" t="s">
        <v>2494</v>
      </c>
      <c r="F813" s="13" t="s">
        <v>335</v>
      </c>
    </row>
    <row r="814" spans="1:6" hidden="1" x14ac:dyDescent="0.25">
      <c r="A814" s="13" t="s">
        <v>21</v>
      </c>
      <c r="B814" s="13">
        <v>80996</v>
      </c>
      <c r="C814" s="13" t="s">
        <v>139</v>
      </c>
      <c r="D814" s="13" t="s">
        <v>71</v>
      </c>
      <c r="E814" s="13" t="s">
        <v>258</v>
      </c>
      <c r="F814" s="13" t="s">
        <v>335</v>
      </c>
    </row>
    <row r="815" spans="1:6" hidden="1" x14ac:dyDescent="0.25">
      <c r="A815" s="13" t="s">
        <v>78</v>
      </c>
      <c r="B815" s="13">
        <v>80996</v>
      </c>
      <c r="C815" s="13" t="s">
        <v>139</v>
      </c>
      <c r="D815" s="13" t="s">
        <v>71</v>
      </c>
      <c r="E815" s="13" t="s">
        <v>258</v>
      </c>
      <c r="F815" s="13" t="s">
        <v>335</v>
      </c>
    </row>
    <row r="816" spans="1:6" hidden="1" x14ac:dyDescent="0.25">
      <c r="A816" s="13" t="s">
        <v>78</v>
      </c>
      <c r="B816" s="13">
        <v>16530</v>
      </c>
      <c r="C816" s="13" t="s">
        <v>50</v>
      </c>
      <c r="D816" s="13" t="s">
        <v>50</v>
      </c>
      <c r="E816" s="13" t="s">
        <v>2415</v>
      </c>
      <c r="F816" s="13" t="s">
        <v>335</v>
      </c>
    </row>
    <row r="817" spans="1:6" hidden="1" x14ac:dyDescent="0.25">
      <c r="A817" s="13" t="s">
        <v>78</v>
      </c>
      <c r="B817" s="13">
        <v>75777</v>
      </c>
      <c r="C817" s="13" t="s">
        <v>94</v>
      </c>
      <c r="D817" s="13" t="s">
        <v>94</v>
      </c>
      <c r="E817" s="13" t="s">
        <v>2508</v>
      </c>
      <c r="F817" s="13" t="s">
        <v>335</v>
      </c>
    </row>
    <row r="818" spans="1:6" hidden="1" x14ac:dyDescent="0.25">
      <c r="A818" s="13" t="s">
        <v>78</v>
      </c>
      <c r="B818" s="13">
        <v>79241</v>
      </c>
      <c r="C818" s="13" t="s">
        <v>106</v>
      </c>
      <c r="D818" s="13" t="s">
        <v>94</v>
      </c>
      <c r="E818" s="13" t="s">
        <v>2508</v>
      </c>
      <c r="F818" s="13" t="s">
        <v>335</v>
      </c>
    </row>
    <row r="819" spans="1:6" hidden="1" x14ac:dyDescent="0.25">
      <c r="A819" s="13" t="s">
        <v>21</v>
      </c>
      <c r="B819" s="13">
        <v>82790</v>
      </c>
      <c r="C819" s="13" t="s">
        <v>2608</v>
      </c>
      <c r="D819" s="13" t="s">
        <v>52</v>
      </c>
      <c r="E819" s="13" t="s">
        <v>2289</v>
      </c>
      <c r="F819" s="13" t="s">
        <v>335</v>
      </c>
    </row>
    <row r="820" spans="1:6" hidden="1" x14ac:dyDescent="0.25">
      <c r="A820" s="13" t="s">
        <v>78</v>
      </c>
      <c r="B820" s="13">
        <v>83023</v>
      </c>
      <c r="C820" s="13" t="s">
        <v>2288</v>
      </c>
      <c r="D820" s="13" t="s">
        <v>52</v>
      </c>
      <c r="E820" s="13" t="s">
        <v>2289</v>
      </c>
      <c r="F820" s="13" t="s">
        <v>335</v>
      </c>
    </row>
    <row r="821" spans="1:6" hidden="1" x14ac:dyDescent="0.25">
      <c r="A821" s="13" t="s">
        <v>21</v>
      </c>
      <c r="B821" s="13">
        <v>82753</v>
      </c>
      <c r="C821" s="13" t="s">
        <v>1833</v>
      </c>
      <c r="D821" s="13" t="s">
        <v>52</v>
      </c>
      <c r="E821" s="13" t="s">
        <v>2289</v>
      </c>
      <c r="F821" s="13" t="s">
        <v>335</v>
      </c>
    </row>
    <row r="822" spans="1:6" hidden="1" x14ac:dyDescent="0.25">
      <c r="A822" s="13" t="s">
        <v>78</v>
      </c>
      <c r="B822" s="13">
        <v>12413</v>
      </c>
      <c r="C822" s="13" t="s">
        <v>51</v>
      </c>
      <c r="D822" s="13" t="s">
        <v>51</v>
      </c>
      <c r="E822" s="13" t="s">
        <v>2412</v>
      </c>
      <c r="F822" s="13" t="s">
        <v>335</v>
      </c>
    </row>
    <row r="823" spans="1:6" hidden="1" x14ac:dyDescent="0.25">
      <c r="A823" s="13" t="s">
        <v>21</v>
      </c>
      <c r="B823" s="13">
        <v>124384</v>
      </c>
      <c r="C823" s="13" t="s">
        <v>2606</v>
      </c>
      <c r="D823" s="13" t="s">
        <v>52</v>
      </c>
      <c r="E823" s="13" t="s">
        <v>2028</v>
      </c>
      <c r="F823" s="13" t="s">
        <v>335</v>
      </c>
    </row>
    <row r="824" spans="1:6" hidden="1" x14ac:dyDescent="0.25">
      <c r="A824" s="13" t="s">
        <v>21</v>
      </c>
      <c r="B824" s="13">
        <v>82812</v>
      </c>
      <c r="C824" s="13" t="s">
        <v>2604</v>
      </c>
      <c r="D824" s="13" t="s">
        <v>52</v>
      </c>
      <c r="E824" s="13" t="s">
        <v>2028</v>
      </c>
      <c r="F824" s="13" t="s">
        <v>335</v>
      </c>
    </row>
    <row r="825" spans="1:6" hidden="1" x14ac:dyDescent="0.25">
      <c r="A825" s="13" t="s">
        <v>21</v>
      </c>
      <c r="B825" s="13">
        <v>82813</v>
      </c>
      <c r="C825" s="13" t="s">
        <v>2027</v>
      </c>
      <c r="D825" s="13" t="s">
        <v>52</v>
      </c>
      <c r="E825" s="13" t="s">
        <v>2028</v>
      </c>
      <c r="F825" s="13" t="s">
        <v>335</v>
      </c>
    </row>
    <row r="826" spans="1:6" hidden="1" x14ac:dyDescent="0.25">
      <c r="A826" s="13" t="s">
        <v>78</v>
      </c>
      <c r="B826" s="13">
        <v>80005</v>
      </c>
      <c r="C826" s="13" t="s">
        <v>97</v>
      </c>
      <c r="D826" s="13" t="s">
        <v>1914</v>
      </c>
      <c r="E826" s="13" t="s">
        <v>2365</v>
      </c>
      <c r="F826" s="13" t="s">
        <v>335</v>
      </c>
    </row>
    <row r="827" spans="1:6" hidden="1" x14ac:dyDescent="0.25">
      <c r="A827" s="13" t="s">
        <v>78</v>
      </c>
      <c r="B827" s="13">
        <v>80359</v>
      </c>
      <c r="C827" s="13" t="s">
        <v>76</v>
      </c>
      <c r="D827" s="13" t="s">
        <v>76</v>
      </c>
      <c r="E827" s="13" t="s">
        <v>1815</v>
      </c>
      <c r="F827" s="13" t="s">
        <v>335</v>
      </c>
    </row>
    <row r="828" spans="1:6" hidden="1" x14ac:dyDescent="0.25">
      <c r="A828" s="13" t="s">
        <v>21</v>
      </c>
      <c r="B828" s="13">
        <v>80359</v>
      </c>
      <c r="C828" s="13" t="s">
        <v>76</v>
      </c>
      <c r="D828" s="13" t="s">
        <v>76</v>
      </c>
      <c r="E828" s="13" t="s">
        <v>1815</v>
      </c>
      <c r="F828" s="13" t="s">
        <v>335</v>
      </c>
    </row>
    <row r="829" spans="1:6" hidden="1" x14ac:dyDescent="0.25">
      <c r="A829" s="13" t="s">
        <v>78</v>
      </c>
      <c r="B829" s="13">
        <v>18857</v>
      </c>
      <c r="C829" s="13" t="s">
        <v>110</v>
      </c>
      <c r="D829" s="13" t="s">
        <v>110</v>
      </c>
      <c r="E829" s="13" t="s">
        <v>2534</v>
      </c>
      <c r="F829" s="13" t="s">
        <v>335</v>
      </c>
    </row>
    <row r="830" spans="1:6" hidden="1" x14ac:dyDescent="0.25">
      <c r="A830" s="13" t="s">
        <v>78</v>
      </c>
      <c r="B830" s="13">
        <v>54684</v>
      </c>
      <c r="C830" s="13" t="s">
        <v>100</v>
      </c>
      <c r="D830" s="13" t="s">
        <v>100</v>
      </c>
      <c r="E830" s="13" t="s">
        <v>210</v>
      </c>
      <c r="F830" s="13" t="s">
        <v>335</v>
      </c>
    </row>
    <row r="831" spans="1:6" hidden="1" x14ac:dyDescent="0.25">
      <c r="A831" s="13" t="s">
        <v>78</v>
      </c>
      <c r="B831" s="13">
        <v>80520</v>
      </c>
      <c r="C831" s="13" t="s">
        <v>2619</v>
      </c>
      <c r="D831" s="13" t="s">
        <v>125</v>
      </c>
      <c r="E831" s="13" t="s">
        <v>246</v>
      </c>
      <c r="F831" s="13" t="s">
        <v>335</v>
      </c>
    </row>
    <row r="832" spans="1:6" hidden="1" x14ac:dyDescent="0.25">
      <c r="A832" s="13" t="s">
        <v>78</v>
      </c>
      <c r="B832" s="13">
        <v>80519</v>
      </c>
      <c r="C832" s="13" t="s">
        <v>2620</v>
      </c>
      <c r="D832" s="13" t="s">
        <v>125</v>
      </c>
      <c r="E832" s="13" t="s">
        <v>246</v>
      </c>
      <c r="F832" s="13" t="s">
        <v>335</v>
      </c>
    </row>
    <row r="833" spans="1:6" hidden="1" x14ac:dyDescent="0.25">
      <c r="A833" s="13" t="s">
        <v>78</v>
      </c>
      <c r="B833" s="13">
        <v>79793</v>
      </c>
      <c r="C833" s="13" t="s">
        <v>1840</v>
      </c>
      <c r="D833" s="13" t="s">
        <v>1840</v>
      </c>
      <c r="E833" s="13" t="s">
        <v>246</v>
      </c>
      <c r="F833" s="13" t="s">
        <v>335</v>
      </c>
    </row>
    <row r="834" spans="1:6" hidden="1" x14ac:dyDescent="0.25">
      <c r="A834" s="13" t="s">
        <v>21</v>
      </c>
      <c r="B834" s="13">
        <v>80704</v>
      </c>
      <c r="C834" s="13" t="s">
        <v>1840</v>
      </c>
      <c r="D834" s="13" t="s">
        <v>1840</v>
      </c>
      <c r="E834" s="13" t="s">
        <v>246</v>
      </c>
      <c r="F834" s="13" t="s">
        <v>335</v>
      </c>
    </row>
    <row r="835" spans="1:6" hidden="1" x14ac:dyDescent="0.25">
      <c r="A835" s="13" t="s">
        <v>78</v>
      </c>
      <c r="B835" s="13">
        <v>82818</v>
      </c>
      <c r="C835" s="13" t="s">
        <v>1876</v>
      </c>
      <c r="D835" s="13" t="s">
        <v>267</v>
      </c>
      <c r="E835" s="13" t="s">
        <v>1910</v>
      </c>
      <c r="F835" s="13" t="s">
        <v>335</v>
      </c>
    </row>
    <row r="836" spans="1:6" hidden="1" x14ac:dyDescent="0.25">
      <c r="A836" s="13" t="s">
        <v>78</v>
      </c>
      <c r="B836" s="13">
        <v>82248</v>
      </c>
      <c r="C836" s="13" t="s">
        <v>1836</v>
      </c>
      <c r="D836" s="13" t="s">
        <v>267</v>
      </c>
      <c r="E836" s="13" t="s">
        <v>1910</v>
      </c>
      <c r="F836" s="13" t="s">
        <v>335</v>
      </c>
    </row>
    <row r="837" spans="1:6" hidden="1" x14ac:dyDescent="0.25">
      <c r="A837" s="13" t="s">
        <v>21</v>
      </c>
      <c r="B837" s="13">
        <v>82248</v>
      </c>
      <c r="C837" s="13" t="s">
        <v>1836</v>
      </c>
      <c r="D837" s="13" t="s">
        <v>267</v>
      </c>
      <c r="E837" s="13" t="s">
        <v>1910</v>
      </c>
      <c r="F837" s="13" t="s">
        <v>335</v>
      </c>
    </row>
    <row r="838" spans="1:6" hidden="1" x14ac:dyDescent="0.25">
      <c r="A838" s="13" t="s">
        <v>78</v>
      </c>
      <c r="B838" s="13">
        <v>82778</v>
      </c>
      <c r="C838" s="13" t="s">
        <v>267</v>
      </c>
      <c r="D838" s="13" t="s">
        <v>267</v>
      </c>
      <c r="E838" s="13" t="s">
        <v>1910</v>
      </c>
      <c r="F838" s="13" t="s">
        <v>335</v>
      </c>
    </row>
    <row r="839" spans="1:6" hidden="1" x14ac:dyDescent="0.25">
      <c r="A839" s="13" t="s">
        <v>21</v>
      </c>
      <c r="B839" s="13">
        <v>82778</v>
      </c>
      <c r="C839" s="13" t="s">
        <v>267</v>
      </c>
      <c r="D839" s="13" t="s">
        <v>267</v>
      </c>
      <c r="E839" s="13" t="s">
        <v>1910</v>
      </c>
      <c r="F839" s="13" t="s">
        <v>335</v>
      </c>
    </row>
    <row r="840" spans="1:6" hidden="1" x14ac:dyDescent="0.25">
      <c r="A840" s="13" t="s">
        <v>21</v>
      </c>
      <c r="B840" s="13">
        <v>83031</v>
      </c>
      <c r="C840" s="13" t="s">
        <v>2342</v>
      </c>
      <c r="D840" s="13" t="s">
        <v>267</v>
      </c>
      <c r="E840" s="13" t="s">
        <v>1910</v>
      </c>
      <c r="F840" s="13" t="s">
        <v>335</v>
      </c>
    </row>
    <row r="841" spans="1:6" hidden="1" x14ac:dyDescent="0.25">
      <c r="A841" s="13" t="s">
        <v>78</v>
      </c>
      <c r="B841" s="13">
        <v>83031</v>
      </c>
      <c r="C841" s="13" t="s">
        <v>2342</v>
      </c>
      <c r="D841" s="13" t="s">
        <v>267</v>
      </c>
      <c r="E841" s="13" t="s">
        <v>1910</v>
      </c>
      <c r="F841" s="13" t="s">
        <v>335</v>
      </c>
    </row>
    <row r="842" spans="1:6" hidden="1" x14ac:dyDescent="0.25">
      <c r="A842" s="13" t="s">
        <v>78</v>
      </c>
      <c r="B842" s="13">
        <v>82967</v>
      </c>
      <c r="C842" s="13" t="s">
        <v>2511</v>
      </c>
      <c r="D842" s="13"/>
      <c r="E842" s="13" t="s">
        <v>1910</v>
      </c>
      <c r="F842" s="13" t="s">
        <v>335</v>
      </c>
    </row>
    <row r="843" spans="1:6" hidden="1" x14ac:dyDescent="0.25">
      <c r="A843" s="13" t="s">
        <v>21</v>
      </c>
      <c r="B843" s="13">
        <v>82901</v>
      </c>
      <c r="C843" s="13" t="s">
        <v>1909</v>
      </c>
      <c r="D843" s="13" t="s">
        <v>267</v>
      </c>
      <c r="E843" s="13" t="s">
        <v>1910</v>
      </c>
      <c r="F843" s="13" t="s">
        <v>335</v>
      </c>
    </row>
    <row r="844" spans="1:6" hidden="1" x14ac:dyDescent="0.25">
      <c r="A844" s="13" t="s">
        <v>78</v>
      </c>
      <c r="B844" s="13">
        <v>82901</v>
      </c>
      <c r="C844" s="13" t="s">
        <v>1909</v>
      </c>
      <c r="D844" s="13" t="s">
        <v>267</v>
      </c>
      <c r="E844" s="13" t="s">
        <v>1910</v>
      </c>
      <c r="F844" s="13" t="s">
        <v>335</v>
      </c>
    </row>
    <row r="845" spans="1:6" hidden="1" x14ac:dyDescent="0.25">
      <c r="A845" s="13" t="s">
        <v>78</v>
      </c>
      <c r="B845" s="13">
        <v>122886</v>
      </c>
      <c r="C845" s="13" t="s">
        <v>1795</v>
      </c>
      <c r="D845" s="13" t="s">
        <v>10</v>
      </c>
      <c r="E845" s="13" t="s">
        <v>1796</v>
      </c>
      <c r="F845" s="13" t="s">
        <v>335</v>
      </c>
    </row>
    <row r="846" spans="1:6" hidden="1" x14ac:dyDescent="0.25">
      <c r="A846" s="13" t="s">
        <v>78</v>
      </c>
      <c r="B846" s="13">
        <v>80628</v>
      </c>
      <c r="C846" s="13" t="s">
        <v>129</v>
      </c>
      <c r="D846" s="13" t="s">
        <v>129</v>
      </c>
      <c r="E846" s="13" t="s">
        <v>2353</v>
      </c>
      <c r="F846" s="13" t="s">
        <v>335</v>
      </c>
    </row>
    <row r="847" spans="1:6" hidden="1" x14ac:dyDescent="0.25">
      <c r="A847" s="13" t="s">
        <v>78</v>
      </c>
      <c r="B847" s="13">
        <v>81380</v>
      </c>
      <c r="C847" s="13" t="s">
        <v>327</v>
      </c>
      <c r="D847" s="13" t="s">
        <v>327</v>
      </c>
      <c r="E847" s="13" t="s">
        <v>328</v>
      </c>
      <c r="F847" s="13" t="s">
        <v>335</v>
      </c>
    </row>
    <row r="848" spans="1:6" hidden="1" x14ac:dyDescent="0.25">
      <c r="A848" s="13" t="s">
        <v>21</v>
      </c>
      <c r="B848" s="13">
        <v>82872</v>
      </c>
      <c r="C848" s="13" t="s">
        <v>2255</v>
      </c>
      <c r="D848" s="13" t="s">
        <v>2255</v>
      </c>
      <c r="E848" s="13" t="s">
        <v>2256</v>
      </c>
      <c r="F848" s="13" t="s">
        <v>335</v>
      </c>
    </row>
    <row r="849" spans="1:6" hidden="1" x14ac:dyDescent="0.25">
      <c r="A849" s="13" t="s">
        <v>78</v>
      </c>
      <c r="B849" s="13">
        <v>144548</v>
      </c>
      <c r="C849" s="13" t="s">
        <v>338</v>
      </c>
      <c r="D849" s="13" t="s">
        <v>338</v>
      </c>
      <c r="E849" s="13" t="s">
        <v>2560</v>
      </c>
      <c r="F849" s="13" t="s">
        <v>335</v>
      </c>
    </row>
    <row r="850" spans="1:6" hidden="1" x14ac:dyDescent="0.25">
      <c r="A850" s="13" t="s">
        <v>21</v>
      </c>
      <c r="B850" s="13">
        <v>144548</v>
      </c>
      <c r="C850" s="13" t="s">
        <v>338</v>
      </c>
      <c r="D850" s="13" t="s">
        <v>338</v>
      </c>
      <c r="E850" s="13" t="s">
        <v>2560</v>
      </c>
      <c r="F850" s="13" t="s">
        <v>335</v>
      </c>
    </row>
    <row r="851" spans="1:6" hidden="1" x14ac:dyDescent="0.25">
      <c r="A851" s="13" t="s">
        <v>78</v>
      </c>
      <c r="B851" s="13">
        <v>81819</v>
      </c>
      <c r="C851" s="13" t="s">
        <v>377</v>
      </c>
      <c r="D851" s="13" t="s">
        <v>377</v>
      </c>
      <c r="E851" s="13" t="s">
        <v>1999</v>
      </c>
      <c r="F851" s="13" t="s">
        <v>335</v>
      </c>
    </row>
    <row r="852" spans="1:6" hidden="1" x14ac:dyDescent="0.25">
      <c r="A852" s="13" t="s">
        <v>78</v>
      </c>
      <c r="B852" s="13">
        <v>80240</v>
      </c>
      <c r="C852" s="13" t="s">
        <v>73</v>
      </c>
      <c r="D852" s="13" t="s">
        <v>73</v>
      </c>
      <c r="E852" s="13" t="s">
        <v>2521</v>
      </c>
      <c r="F852" s="13" t="s">
        <v>335</v>
      </c>
    </row>
    <row r="853" spans="1:6" hidden="1" x14ac:dyDescent="0.25">
      <c r="A853" s="13" t="s">
        <v>78</v>
      </c>
      <c r="B853" s="13">
        <v>80005</v>
      </c>
      <c r="C853" s="13" t="s">
        <v>97</v>
      </c>
      <c r="D853" s="13" t="s">
        <v>1914</v>
      </c>
      <c r="E853" s="13" t="s">
        <v>2334</v>
      </c>
      <c r="F853" s="13" t="s">
        <v>335</v>
      </c>
    </row>
    <row r="854" spans="1:6" hidden="1" x14ac:dyDescent="0.25">
      <c r="A854" s="13" t="s">
        <v>78</v>
      </c>
      <c r="B854" s="13">
        <v>80753</v>
      </c>
      <c r="C854" s="13" t="s">
        <v>354</v>
      </c>
      <c r="D854" s="13" t="s">
        <v>64</v>
      </c>
      <c r="E854" s="13" t="s">
        <v>2215</v>
      </c>
      <c r="F854" s="13" t="s">
        <v>335</v>
      </c>
    </row>
    <row r="855" spans="1:6" hidden="1" x14ac:dyDescent="0.25">
      <c r="A855" s="13" t="s">
        <v>21</v>
      </c>
      <c r="B855" s="13">
        <v>82426</v>
      </c>
      <c r="C855" s="13" t="s">
        <v>115</v>
      </c>
      <c r="D855" s="13" t="s">
        <v>33</v>
      </c>
      <c r="E855" s="13" t="s">
        <v>1691</v>
      </c>
      <c r="F855" s="13" t="s">
        <v>335</v>
      </c>
    </row>
    <row r="856" spans="1:6" hidden="1" x14ac:dyDescent="0.25">
      <c r="A856" s="13" t="s">
        <v>78</v>
      </c>
      <c r="B856" s="13">
        <v>81966</v>
      </c>
      <c r="C856" s="13" t="s">
        <v>115</v>
      </c>
      <c r="D856" s="13" t="s">
        <v>33</v>
      </c>
      <c r="E856" s="13" t="s">
        <v>1691</v>
      </c>
      <c r="F856" s="13" t="s">
        <v>335</v>
      </c>
    </row>
    <row r="857" spans="1:6" hidden="1" x14ac:dyDescent="0.25">
      <c r="A857" s="13" t="s">
        <v>78</v>
      </c>
      <c r="B857" s="13">
        <v>95010</v>
      </c>
      <c r="C857" s="13" t="s">
        <v>104</v>
      </c>
      <c r="D857" s="13" t="s">
        <v>104</v>
      </c>
      <c r="E857" s="13" t="s">
        <v>2090</v>
      </c>
      <c r="F857" s="13" t="s">
        <v>335</v>
      </c>
    </row>
    <row r="858" spans="1:6" hidden="1" x14ac:dyDescent="0.25">
      <c r="A858" s="13" t="s">
        <v>78</v>
      </c>
      <c r="B858" s="13">
        <v>95007</v>
      </c>
      <c r="C858" s="13" t="s">
        <v>104</v>
      </c>
      <c r="D858" s="13" t="s">
        <v>104</v>
      </c>
      <c r="E858" s="13" t="s">
        <v>2090</v>
      </c>
      <c r="F858" s="13" t="s">
        <v>335</v>
      </c>
    </row>
    <row r="859" spans="1:6" hidden="1" x14ac:dyDescent="0.25">
      <c r="A859" s="13" t="s">
        <v>78</v>
      </c>
      <c r="B859" s="13">
        <v>95005</v>
      </c>
      <c r="C859" s="13" t="s">
        <v>303</v>
      </c>
      <c r="D859" s="13" t="s">
        <v>104</v>
      </c>
      <c r="E859" s="13" t="s">
        <v>2090</v>
      </c>
      <c r="F859" s="13" t="s">
        <v>335</v>
      </c>
    </row>
    <row r="860" spans="1:6" hidden="1" x14ac:dyDescent="0.25">
      <c r="A860" s="13" t="s">
        <v>78</v>
      </c>
      <c r="B860" s="13">
        <v>80753</v>
      </c>
      <c r="C860" s="13" t="s">
        <v>354</v>
      </c>
      <c r="D860" s="13" t="s">
        <v>64</v>
      </c>
      <c r="E860" s="13" t="s">
        <v>2312</v>
      </c>
      <c r="F860" s="13" t="s">
        <v>335</v>
      </c>
    </row>
    <row r="861" spans="1:6" hidden="1" x14ac:dyDescent="0.25">
      <c r="A861" s="13" t="s">
        <v>78</v>
      </c>
      <c r="B861" s="13">
        <v>83043</v>
      </c>
      <c r="C861" s="13" t="s">
        <v>354</v>
      </c>
      <c r="D861" s="13" t="s">
        <v>64</v>
      </c>
      <c r="E861" s="13" t="s">
        <v>2312</v>
      </c>
      <c r="F861" s="13" t="s">
        <v>335</v>
      </c>
    </row>
    <row r="862" spans="1:6" hidden="1" x14ac:dyDescent="0.25">
      <c r="A862" s="13" t="s">
        <v>78</v>
      </c>
      <c r="B862" s="13">
        <v>79793</v>
      </c>
      <c r="C862" s="13" t="s">
        <v>1840</v>
      </c>
      <c r="D862" s="13" t="s">
        <v>1840</v>
      </c>
      <c r="E862" s="13" t="s">
        <v>2499</v>
      </c>
      <c r="F862" s="13" t="s">
        <v>335</v>
      </c>
    </row>
    <row r="863" spans="1:6" hidden="1" x14ac:dyDescent="0.25">
      <c r="A863" s="13" t="s">
        <v>21</v>
      </c>
      <c r="B863" s="13">
        <v>80360</v>
      </c>
      <c r="C863" s="13" t="s">
        <v>342</v>
      </c>
      <c r="D863" s="13" t="s">
        <v>2106</v>
      </c>
      <c r="E863" s="13" t="s">
        <v>163</v>
      </c>
      <c r="F863" s="13" t="s">
        <v>335</v>
      </c>
    </row>
    <row r="864" spans="1:6" hidden="1" x14ac:dyDescent="0.25">
      <c r="A864" s="13" t="s">
        <v>21</v>
      </c>
      <c r="B864" s="13">
        <v>83079</v>
      </c>
      <c r="C864" s="13" t="s">
        <v>342</v>
      </c>
      <c r="D864" s="13" t="s">
        <v>342</v>
      </c>
      <c r="E864" s="13" t="s">
        <v>163</v>
      </c>
      <c r="F864" s="13" t="s">
        <v>335</v>
      </c>
    </row>
    <row r="865" spans="1:6" hidden="1" x14ac:dyDescent="0.25">
      <c r="A865" s="13" t="s">
        <v>78</v>
      </c>
      <c r="B865" s="13">
        <v>80360</v>
      </c>
      <c r="C865" s="13" t="s">
        <v>342</v>
      </c>
      <c r="D865" s="13" t="s">
        <v>2106</v>
      </c>
      <c r="E865" s="13" t="s">
        <v>163</v>
      </c>
      <c r="F865" s="13" t="s">
        <v>335</v>
      </c>
    </row>
    <row r="866" spans="1:6" hidden="1" x14ac:dyDescent="0.25">
      <c r="A866" s="13" t="s">
        <v>78</v>
      </c>
      <c r="B866" s="13">
        <v>79455</v>
      </c>
      <c r="C866" s="13" t="s">
        <v>398</v>
      </c>
      <c r="D866" s="13" t="s">
        <v>14</v>
      </c>
      <c r="E866" s="13" t="s">
        <v>1411</v>
      </c>
      <c r="F866" s="13" t="s">
        <v>335</v>
      </c>
    </row>
    <row r="867" spans="1:6" hidden="1" x14ac:dyDescent="0.25">
      <c r="A867" s="13" t="s">
        <v>78</v>
      </c>
      <c r="B867" s="13">
        <v>144548</v>
      </c>
      <c r="C867" s="13" t="s">
        <v>338</v>
      </c>
      <c r="D867" s="13" t="s">
        <v>338</v>
      </c>
      <c r="E867" s="13" t="s">
        <v>2440</v>
      </c>
      <c r="F867" s="13" t="s">
        <v>335</v>
      </c>
    </row>
    <row r="868" spans="1:6" hidden="1" x14ac:dyDescent="0.25">
      <c r="A868" s="13" t="s">
        <v>78</v>
      </c>
      <c r="B868" s="13">
        <v>16705</v>
      </c>
      <c r="C868" s="13" t="s">
        <v>36</v>
      </c>
      <c r="D868" s="13" t="s">
        <v>36</v>
      </c>
      <c r="E868" s="13" t="s">
        <v>2140</v>
      </c>
      <c r="F868" s="13" t="s">
        <v>335</v>
      </c>
    </row>
    <row r="869" spans="1:6" hidden="1" x14ac:dyDescent="0.25">
      <c r="A869" s="13" t="s">
        <v>78</v>
      </c>
      <c r="B869" s="13">
        <v>82768</v>
      </c>
      <c r="C869" s="13" t="s">
        <v>115</v>
      </c>
      <c r="D869" s="13" t="s">
        <v>33</v>
      </c>
      <c r="E869" s="13" t="s">
        <v>2425</v>
      </c>
      <c r="F869" s="13" t="s">
        <v>335</v>
      </c>
    </row>
    <row r="870" spans="1:6" hidden="1" x14ac:dyDescent="0.25">
      <c r="A870" s="13" t="s">
        <v>78</v>
      </c>
      <c r="B870" s="13">
        <v>9000</v>
      </c>
      <c r="C870" s="13" t="s">
        <v>1913</v>
      </c>
      <c r="D870" s="13" t="s">
        <v>1914</v>
      </c>
      <c r="E870" s="13" t="s">
        <v>2483</v>
      </c>
      <c r="F870" s="13" t="s">
        <v>335</v>
      </c>
    </row>
    <row r="871" spans="1:6" hidden="1" x14ac:dyDescent="0.25">
      <c r="A871" s="13" t="s">
        <v>78</v>
      </c>
      <c r="B871" s="13">
        <v>14416</v>
      </c>
      <c r="C871" s="13" t="s">
        <v>33</v>
      </c>
      <c r="D871" s="13" t="s">
        <v>33</v>
      </c>
      <c r="E871" s="13" t="s">
        <v>1472</v>
      </c>
      <c r="F871" s="13" t="s">
        <v>335</v>
      </c>
    </row>
    <row r="872" spans="1:6" hidden="1" x14ac:dyDescent="0.25">
      <c r="A872" s="13" t="s">
        <v>78</v>
      </c>
      <c r="B872" s="13">
        <v>81771</v>
      </c>
      <c r="C872" s="13" t="s">
        <v>356</v>
      </c>
      <c r="D872" s="13" t="s">
        <v>33</v>
      </c>
      <c r="E872" s="13" t="s">
        <v>1472</v>
      </c>
      <c r="F872" s="13" t="s">
        <v>335</v>
      </c>
    </row>
    <row r="873" spans="1:6" hidden="1" x14ac:dyDescent="0.25">
      <c r="A873" s="13" t="s">
        <v>78</v>
      </c>
      <c r="B873" s="13">
        <v>79452</v>
      </c>
      <c r="C873" s="13" t="s">
        <v>57</v>
      </c>
      <c r="D873" s="13" t="s">
        <v>66</v>
      </c>
      <c r="E873" s="13" t="s">
        <v>2089</v>
      </c>
      <c r="F873" s="13" t="s">
        <v>335</v>
      </c>
    </row>
    <row r="874" spans="1:6" hidden="1" x14ac:dyDescent="0.25">
      <c r="A874" s="13" t="s">
        <v>78</v>
      </c>
      <c r="B874" s="13">
        <v>80360</v>
      </c>
      <c r="C874" s="13" t="s">
        <v>342</v>
      </c>
      <c r="D874" s="13" t="s">
        <v>2106</v>
      </c>
      <c r="E874" s="13" t="s">
        <v>2315</v>
      </c>
      <c r="F874" s="13" t="s">
        <v>335</v>
      </c>
    </row>
    <row r="875" spans="1:6" hidden="1" x14ac:dyDescent="0.25">
      <c r="A875" s="13" t="s">
        <v>78</v>
      </c>
      <c r="B875" s="13">
        <v>82602</v>
      </c>
      <c r="C875" s="13" t="s">
        <v>2341</v>
      </c>
      <c r="D875" s="13" t="s">
        <v>1862</v>
      </c>
      <c r="E875" s="13" t="s">
        <v>1863</v>
      </c>
      <c r="F875" s="13" t="s">
        <v>335</v>
      </c>
    </row>
    <row r="876" spans="1:6" hidden="1" x14ac:dyDescent="0.25">
      <c r="A876" s="13" t="s">
        <v>78</v>
      </c>
      <c r="B876" s="13">
        <v>81174</v>
      </c>
      <c r="C876" s="13" t="s">
        <v>2012</v>
      </c>
      <c r="D876" s="13" t="s">
        <v>1862</v>
      </c>
      <c r="E876" s="13" t="s">
        <v>1863</v>
      </c>
      <c r="F876" s="13" t="s">
        <v>335</v>
      </c>
    </row>
    <row r="877" spans="1:6" hidden="1" x14ac:dyDescent="0.25">
      <c r="A877" s="13" t="s">
        <v>78</v>
      </c>
      <c r="B877" s="13">
        <v>81175</v>
      </c>
      <c r="C877" s="13" t="s">
        <v>1861</v>
      </c>
      <c r="D877" s="13" t="s">
        <v>1862</v>
      </c>
      <c r="E877" s="13" t="s">
        <v>1863</v>
      </c>
      <c r="F877" s="13" t="s">
        <v>335</v>
      </c>
    </row>
    <row r="878" spans="1:6" hidden="1" x14ac:dyDescent="0.25">
      <c r="A878" s="13" t="s">
        <v>78</v>
      </c>
      <c r="B878" s="13">
        <v>14439</v>
      </c>
      <c r="C878" s="13" t="s">
        <v>59</v>
      </c>
      <c r="D878" s="13" t="s">
        <v>59</v>
      </c>
      <c r="E878" s="13" t="s">
        <v>2477</v>
      </c>
      <c r="F878" s="13" t="s">
        <v>335</v>
      </c>
    </row>
    <row r="879" spans="1:6" hidden="1" x14ac:dyDescent="0.25">
      <c r="A879" s="13" t="s">
        <v>78</v>
      </c>
      <c r="B879" s="13">
        <v>12402</v>
      </c>
      <c r="C879" s="13" t="s">
        <v>49</v>
      </c>
      <c r="D879" s="13" t="s">
        <v>49</v>
      </c>
      <c r="E879" s="13" t="s">
        <v>2361</v>
      </c>
      <c r="F879" s="13" t="s">
        <v>335</v>
      </c>
    </row>
    <row r="880" spans="1:6" hidden="1" x14ac:dyDescent="0.25">
      <c r="A880" s="13" t="s">
        <v>78</v>
      </c>
      <c r="B880" s="13">
        <v>14479</v>
      </c>
      <c r="C880" s="13" t="s">
        <v>24</v>
      </c>
      <c r="D880" s="13" t="s">
        <v>24</v>
      </c>
      <c r="E880" s="13" t="s">
        <v>1952</v>
      </c>
      <c r="F880" s="13" t="s">
        <v>335</v>
      </c>
    </row>
    <row r="881" spans="1:6" hidden="1" x14ac:dyDescent="0.25">
      <c r="A881" s="13" t="s">
        <v>78</v>
      </c>
      <c r="B881" s="13">
        <v>82865</v>
      </c>
      <c r="C881" s="13" t="s">
        <v>1893</v>
      </c>
      <c r="D881" s="13" t="s">
        <v>1893</v>
      </c>
      <c r="E881" s="13" t="s">
        <v>1908</v>
      </c>
      <c r="F881" s="13" t="s">
        <v>335</v>
      </c>
    </row>
    <row r="882" spans="1:6" hidden="1" x14ac:dyDescent="0.25">
      <c r="A882" s="13" t="s">
        <v>78</v>
      </c>
      <c r="B882" s="13">
        <v>83108</v>
      </c>
      <c r="C882" s="13" t="s">
        <v>1893</v>
      </c>
      <c r="D882" s="13" t="s">
        <v>1893</v>
      </c>
      <c r="E882" s="13" t="s">
        <v>1908</v>
      </c>
      <c r="F882" s="13" t="s">
        <v>335</v>
      </c>
    </row>
    <row r="883" spans="1:6" hidden="1" x14ac:dyDescent="0.25">
      <c r="A883" s="13" t="s">
        <v>21</v>
      </c>
      <c r="B883" s="13">
        <v>12413</v>
      </c>
      <c r="C883" s="13" t="s">
        <v>51</v>
      </c>
      <c r="D883" s="13" t="s">
        <v>51</v>
      </c>
      <c r="E883" s="13" t="s">
        <v>1212</v>
      </c>
      <c r="F883" s="13" t="s">
        <v>335</v>
      </c>
    </row>
    <row r="884" spans="1:6" hidden="1" x14ac:dyDescent="0.25">
      <c r="A884" s="13" t="s">
        <v>78</v>
      </c>
      <c r="B884" s="13">
        <v>12413</v>
      </c>
      <c r="C884" s="13" t="s">
        <v>51</v>
      </c>
      <c r="D884" s="13" t="s">
        <v>51</v>
      </c>
      <c r="E884" s="13" t="s">
        <v>1212</v>
      </c>
      <c r="F884" s="13" t="s">
        <v>335</v>
      </c>
    </row>
    <row r="885" spans="1:6" hidden="1" x14ac:dyDescent="0.25">
      <c r="A885" s="13" t="s">
        <v>78</v>
      </c>
      <c r="B885" s="13">
        <v>82963</v>
      </c>
      <c r="C885" s="13" t="s">
        <v>82</v>
      </c>
      <c r="D885" s="13" t="s">
        <v>82</v>
      </c>
      <c r="E885" s="13" t="s">
        <v>2646</v>
      </c>
      <c r="F885" s="13" t="s">
        <v>335</v>
      </c>
    </row>
    <row r="886" spans="1:6" hidden="1" x14ac:dyDescent="0.25">
      <c r="A886" s="13" t="s">
        <v>78</v>
      </c>
      <c r="B886" s="13">
        <v>80958</v>
      </c>
      <c r="C886" s="13" t="s">
        <v>1856</v>
      </c>
      <c r="D886" s="13" t="s">
        <v>1977</v>
      </c>
      <c r="E886" s="13" t="s">
        <v>1978</v>
      </c>
      <c r="F886" s="13" t="s">
        <v>335</v>
      </c>
    </row>
    <row r="887" spans="1:6" hidden="1" x14ac:dyDescent="0.25">
      <c r="A887" s="13" t="s">
        <v>78</v>
      </c>
      <c r="B887" s="13">
        <v>80958</v>
      </c>
      <c r="C887" s="13" t="s">
        <v>1856</v>
      </c>
      <c r="D887" s="13" t="s">
        <v>1977</v>
      </c>
      <c r="E887" s="13" t="s">
        <v>2279</v>
      </c>
      <c r="F887" s="13" t="s">
        <v>335</v>
      </c>
    </row>
    <row r="888" spans="1:6" hidden="1" x14ac:dyDescent="0.25">
      <c r="A888" s="13" t="s">
        <v>21</v>
      </c>
      <c r="B888" s="13">
        <v>80749</v>
      </c>
      <c r="C888" s="13" t="s">
        <v>343</v>
      </c>
      <c r="D888" s="13" t="s">
        <v>1886</v>
      </c>
      <c r="E888" s="13" t="s">
        <v>2188</v>
      </c>
      <c r="F888" s="13" t="s">
        <v>335</v>
      </c>
    </row>
    <row r="889" spans="1:6" hidden="1" x14ac:dyDescent="0.25">
      <c r="A889" s="13" t="s">
        <v>78</v>
      </c>
      <c r="B889" s="13">
        <v>79827</v>
      </c>
      <c r="C889" s="13" t="s">
        <v>92</v>
      </c>
      <c r="D889" s="13" t="s">
        <v>92</v>
      </c>
      <c r="E889" s="13" t="s">
        <v>1803</v>
      </c>
      <c r="F889" s="13" t="s">
        <v>335</v>
      </c>
    </row>
    <row r="890" spans="1:6" hidden="1" x14ac:dyDescent="0.25">
      <c r="A890" s="13" t="s">
        <v>78</v>
      </c>
      <c r="B890" s="13">
        <v>80709</v>
      </c>
      <c r="C890" s="13" t="s">
        <v>136</v>
      </c>
      <c r="D890" s="13" t="s">
        <v>136</v>
      </c>
      <c r="E890" s="13" t="s">
        <v>1634</v>
      </c>
      <c r="F890" s="13" t="s">
        <v>335</v>
      </c>
    </row>
    <row r="891" spans="1:6" hidden="1" x14ac:dyDescent="0.25">
      <c r="A891" s="13" t="s">
        <v>21</v>
      </c>
      <c r="B891" s="13">
        <v>82581</v>
      </c>
      <c r="C891" s="13" t="s">
        <v>2080</v>
      </c>
      <c r="D891" s="13" t="s">
        <v>2081</v>
      </c>
      <c r="E891" s="13" t="s">
        <v>2082</v>
      </c>
      <c r="F891" s="13" t="s">
        <v>335</v>
      </c>
    </row>
    <row r="892" spans="1:6" hidden="1" x14ac:dyDescent="0.25">
      <c r="A892" s="13" t="s">
        <v>78</v>
      </c>
      <c r="B892" s="13">
        <v>82781</v>
      </c>
      <c r="C892" s="13" t="s">
        <v>50</v>
      </c>
      <c r="D892" s="13" t="s">
        <v>50</v>
      </c>
      <c r="E892" s="13" t="s">
        <v>2107</v>
      </c>
      <c r="F892" s="13" t="s">
        <v>335</v>
      </c>
    </row>
    <row r="893" spans="1:6" hidden="1" x14ac:dyDescent="0.25">
      <c r="A893" s="13" t="s">
        <v>78</v>
      </c>
      <c r="B893" s="13">
        <v>80240</v>
      </c>
      <c r="C893" s="13" t="s">
        <v>73</v>
      </c>
      <c r="D893" s="13" t="s">
        <v>73</v>
      </c>
      <c r="E893" s="13" t="s">
        <v>2553</v>
      </c>
      <c r="F893" s="13" t="s">
        <v>335</v>
      </c>
    </row>
    <row r="894" spans="1:6" hidden="1" x14ac:dyDescent="0.25">
      <c r="A894" s="13" t="s">
        <v>78</v>
      </c>
      <c r="B894" s="13">
        <v>82778</v>
      </c>
      <c r="C894" s="13" t="s">
        <v>267</v>
      </c>
      <c r="D894" s="13" t="s">
        <v>267</v>
      </c>
      <c r="E894" s="13" t="s">
        <v>2235</v>
      </c>
      <c r="F894" s="13" t="s">
        <v>335</v>
      </c>
    </row>
    <row r="895" spans="1:6" hidden="1" x14ac:dyDescent="0.25">
      <c r="A895" s="13" t="s">
        <v>78</v>
      </c>
      <c r="B895" s="13">
        <v>82744</v>
      </c>
      <c r="C895" s="13" t="s">
        <v>2509</v>
      </c>
      <c r="D895" s="13" t="s">
        <v>267</v>
      </c>
      <c r="E895" s="13" t="s">
        <v>2510</v>
      </c>
      <c r="F895" s="13" t="s">
        <v>335</v>
      </c>
    </row>
    <row r="896" spans="1:6" hidden="1" x14ac:dyDescent="0.25">
      <c r="A896" s="13" t="s">
        <v>78</v>
      </c>
      <c r="B896" s="13">
        <v>82967</v>
      </c>
      <c r="C896" s="13" t="s">
        <v>2511</v>
      </c>
      <c r="D896" s="13"/>
      <c r="E896" s="13" t="s">
        <v>2512</v>
      </c>
      <c r="F896" s="13" t="s">
        <v>335</v>
      </c>
    </row>
    <row r="897" spans="1:6" hidden="1" x14ac:dyDescent="0.25">
      <c r="A897" s="13" t="s">
        <v>78</v>
      </c>
      <c r="B897" s="13">
        <v>80359</v>
      </c>
      <c r="C897" s="13" t="s">
        <v>76</v>
      </c>
      <c r="D897" s="13" t="s">
        <v>76</v>
      </c>
      <c r="E897" s="13" t="s">
        <v>853</v>
      </c>
      <c r="F897" s="13" t="s">
        <v>335</v>
      </c>
    </row>
    <row r="898" spans="1:6" hidden="1" x14ac:dyDescent="0.25">
      <c r="A898" s="13" t="s">
        <v>78</v>
      </c>
      <c r="B898" s="13">
        <v>79452</v>
      </c>
      <c r="C898" s="13" t="s">
        <v>57</v>
      </c>
      <c r="D898" s="13" t="s">
        <v>66</v>
      </c>
      <c r="E898" s="13" t="s">
        <v>2227</v>
      </c>
      <c r="F898" s="13" t="s">
        <v>335</v>
      </c>
    </row>
    <row r="899" spans="1:6" hidden="1" x14ac:dyDescent="0.25">
      <c r="A899" s="13" t="s">
        <v>78</v>
      </c>
      <c r="B899" s="13">
        <v>12413</v>
      </c>
      <c r="C899" s="13" t="s">
        <v>51</v>
      </c>
      <c r="D899" s="13" t="s">
        <v>51</v>
      </c>
      <c r="E899" s="13" t="s">
        <v>1794</v>
      </c>
      <c r="F899" s="13" t="s">
        <v>335</v>
      </c>
    </row>
    <row r="900" spans="1:6" hidden="1" x14ac:dyDescent="0.25">
      <c r="A900" s="13" t="s">
        <v>21</v>
      </c>
      <c r="B900" s="13">
        <v>12413</v>
      </c>
      <c r="C900" s="13" t="s">
        <v>51</v>
      </c>
      <c r="D900" s="13" t="s">
        <v>51</v>
      </c>
      <c r="E900" s="13" t="s">
        <v>1794</v>
      </c>
      <c r="F900" s="13" t="s">
        <v>335</v>
      </c>
    </row>
    <row r="901" spans="1:6" hidden="1" x14ac:dyDescent="0.25">
      <c r="A901" s="13" t="s">
        <v>21</v>
      </c>
      <c r="B901" s="13">
        <v>80397</v>
      </c>
      <c r="C901" s="13" t="s">
        <v>119</v>
      </c>
      <c r="D901" s="13" t="s">
        <v>119</v>
      </c>
      <c r="E901" s="13" t="s">
        <v>2460</v>
      </c>
      <c r="F901" s="13" t="s">
        <v>335</v>
      </c>
    </row>
    <row r="902" spans="1:6" hidden="1" x14ac:dyDescent="0.25">
      <c r="A902" s="13" t="s">
        <v>78</v>
      </c>
      <c r="B902" s="13">
        <v>80322</v>
      </c>
      <c r="C902" s="13" t="s">
        <v>1807</v>
      </c>
      <c r="D902" s="13" t="s">
        <v>1808</v>
      </c>
      <c r="E902" s="13" t="s">
        <v>1827</v>
      </c>
      <c r="F902" s="13" t="s">
        <v>335</v>
      </c>
    </row>
    <row r="903" spans="1:6" hidden="1" x14ac:dyDescent="0.25">
      <c r="A903" s="13" t="s">
        <v>78</v>
      </c>
      <c r="B903" s="13">
        <v>80320</v>
      </c>
      <c r="C903" s="13" t="s">
        <v>1807</v>
      </c>
      <c r="D903" s="13" t="s">
        <v>1808</v>
      </c>
      <c r="E903" s="13" t="s">
        <v>1827</v>
      </c>
      <c r="F903" s="13" t="s">
        <v>335</v>
      </c>
    </row>
    <row r="904" spans="1:6" hidden="1" x14ac:dyDescent="0.25">
      <c r="A904" s="13" t="s">
        <v>78</v>
      </c>
      <c r="B904" s="13">
        <v>80323</v>
      </c>
      <c r="C904" s="13" t="s">
        <v>1807</v>
      </c>
      <c r="D904" s="13" t="s">
        <v>1808</v>
      </c>
      <c r="E904" s="13" t="s">
        <v>1827</v>
      </c>
      <c r="F904" s="13" t="s">
        <v>335</v>
      </c>
    </row>
    <row r="905" spans="1:6" hidden="1" x14ac:dyDescent="0.25">
      <c r="A905" s="13" t="s">
        <v>78</v>
      </c>
      <c r="B905" s="13">
        <v>80324</v>
      </c>
      <c r="C905" s="13" t="s">
        <v>1807</v>
      </c>
      <c r="D905" s="13" t="s">
        <v>1808</v>
      </c>
      <c r="E905" s="13" t="s">
        <v>1827</v>
      </c>
      <c r="F905" s="13" t="s">
        <v>335</v>
      </c>
    </row>
    <row r="906" spans="1:6" hidden="1" x14ac:dyDescent="0.25">
      <c r="A906" s="13" t="s">
        <v>21</v>
      </c>
      <c r="B906" s="13">
        <v>80565</v>
      </c>
      <c r="C906" s="13" t="s">
        <v>123</v>
      </c>
      <c r="D906" s="13" t="s">
        <v>123</v>
      </c>
      <c r="E906" s="13" t="s">
        <v>238</v>
      </c>
      <c r="F906" s="13" t="s">
        <v>335</v>
      </c>
    </row>
    <row r="907" spans="1:6" hidden="1" x14ac:dyDescent="0.25">
      <c r="A907" s="13" t="s">
        <v>78</v>
      </c>
      <c r="B907" s="13">
        <v>79308</v>
      </c>
      <c r="C907" s="13" t="s">
        <v>107</v>
      </c>
      <c r="D907" s="13" t="s">
        <v>107</v>
      </c>
      <c r="E907" s="13" t="s">
        <v>2250</v>
      </c>
      <c r="F907" s="13" t="s">
        <v>335</v>
      </c>
    </row>
    <row r="908" spans="1:6" hidden="1" x14ac:dyDescent="0.25">
      <c r="A908" s="13" t="s">
        <v>78</v>
      </c>
      <c r="B908" s="13">
        <v>18857</v>
      </c>
      <c r="C908" s="13" t="s">
        <v>110</v>
      </c>
      <c r="D908" s="13" t="s">
        <v>110</v>
      </c>
      <c r="E908" s="13" t="s">
        <v>2408</v>
      </c>
      <c r="F908" s="13" t="s">
        <v>335</v>
      </c>
    </row>
    <row r="909" spans="1:6" hidden="1" x14ac:dyDescent="0.25">
      <c r="A909" s="13" t="s">
        <v>21</v>
      </c>
      <c r="B909" s="13">
        <v>82759</v>
      </c>
      <c r="C909" s="13" t="s">
        <v>2115</v>
      </c>
      <c r="D909" s="13" t="s">
        <v>2115</v>
      </c>
      <c r="E909" s="13" t="s">
        <v>2116</v>
      </c>
      <c r="F909" s="13" t="s">
        <v>335</v>
      </c>
    </row>
    <row r="910" spans="1:6" hidden="1" x14ac:dyDescent="0.25">
      <c r="A910" s="13" t="s">
        <v>78</v>
      </c>
      <c r="B910" s="13">
        <v>82759</v>
      </c>
      <c r="C910" s="13" t="s">
        <v>2115</v>
      </c>
      <c r="D910" s="13" t="s">
        <v>2115</v>
      </c>
      <c r="E910" s="13" t="s">
        <v>2116</v>
      </c>
      <c r="F910" s="13" t="s">
        <v>335</v>
      </c>
    </row>
    <row r="911" spans="1:6" hidden="1" x14ac:dyDescent="0.25">
      <c r="A911" s="13" t="s">
        <v>78</v>
      </c>
      <c r="B911" s="13">
        <v>80218</v>
      </c>
      <c r="C911" s="13" t="s">
        <v>71</v>
      </c>
      <c r="D911" s="13" t="s">
        <v>71</v>
      </c>
      <c r="E911" s="13" t="s">
        <v>2383</v>
      </c>
      <c r="F911" s="13" t="s">
        <v>335</v>
      </c>
    </row>
    <row r="912" spans="1:6" hidden="1" x14ac:dyDescent="0.25">
      <c r="A912" s="13" t="s">
        <v>78</v>
      </c>
      <c r="B912" s="13">
        <v>80961</v>
      </c>
      <c r="C912" s="13" t="s">
        <v>85</v>
      </c>
      <c r="D912" s="13" t="s">
        <v>85</v>
      </c>
      <c r="E912" s="13" t="s">
        <v>314</v>
      </c>
      <c r="F912" s="13" t="s">
        <v>335</v>
      </c>
    </row>
    <row r="913" spans="1:6" hidden="1" x14ac:dyDescent="0.25">
      <c r="A913" s="13" t="s">
        <v>78</v>
      </c>
      <c r="B913" s="13">
        <v>14334</v>
      </c>
      <c r="C913" s="13" t="s">
        <v>102</v>
      </c>
      <c r="D913" s="13" t="s">
        <v>102</v>
      </c>
      <c r="E913" s="13" t="s">
        <v>1798</v>
      </c>
      <c r="F913" s="13" t="s">
        <v>335</v>
      </c>
    </row>
    <row r="914" spans="1:6" hidden="1" x14ac:dyDescent="0.25">
      <c r="A914" s="13" t="s">
        <v>78</v>
      </c>
      <c r="B914" s="13">
        <v>14334</v>
      </c>
      <c r="C914" s="13" t="s">
        <v>102</v>
      </c>
      <c r="D914" s="13" t="s">
        <v>102</v>
      </c>
      <c r="E914" s="13" t="s">
        <v>487</v>
      </c>
      <c r="F914" s="13" t="s">
        <v>335</v>
      </c>
    </row>
    <row r="915" spans="1:6" hidden="1" x14ac:dyDescent="0.25">
      <c r="A915" s="13" t="s">
        <v>78</v>
      </c>
      <c r="B915" s="13">
        <v>79463</v>
      </c>
      <c r="C915" s="13" t="s">
        <v>398</v>
      </c>
      <c r="D915" s="13" t="s">
        <v>14</v>
      </c>
      <c r="E915" s="13" t="s">
        <v>579</v>
      </c>
      <c r="F915" s="13" t="s">
        <v>335</v>
      </c>
    </row>
    <row r="916" spans="1:6" hidden="1" x14ac:dyDescent="0.25">
      <c r="A916" s="13" t="s">
        <v>78</v>
      </c>
      <c r="B916" s="13">
        <v>79804</v>
      </c>
      <c r="C916" s="13" t="s">
        <v>54</v>
      </c>
      <c r="D916" s="13" t="s">
        <v>14</v>
      </c>
      <c r="E916" s="13" t="s">
        <v>579</v>
      </c>
      <c r="F916" s="13" t="s">
        <v>335</v>
      </c>
    </row>
    <row r="917" spans="1:6" hidden="1" x14ac:dyDescent="0.25">
      <c r="A917" s="13" t="s">
        <v>78</v>
      </c>
      <c r="B917" s="13">
        <v>79806</v>
      </c>
      <c r="C917" s="13" t="s">
        <v>54</v>
      </c>
      <c r="D917" s="13" t="s">
        <v>14</v>
      </c>
      <c r="E917" s="13" t="s">
        <v>579</v>
      </c>
      <c r="F917" s="13" t="s">
        <v>335</v>
      </c>
    </row>
    <row r="918" spans="1:6" hidden="1" x14ac:dyDescent="0.25">
      <c r="A918" s="13" t="s">
        <v>78</v>
      </c>
      <c r="B918" s="13">
        <v>80386</v>
      </c>
      <c r="C918" s="13" t="s">
        <v>77</v>
      </c>
      <c r="D918" s="13" t="s">
        <v>77</v>
      </c>
      <c r="E918" s="13" t="s">
        <v>2180</v>
      </c>
      <c r="F918" s="13" t="s">
        <v>335</v>
      </c>
    </row>
    <row r="919" spans="1:6" hidden="1" x14ac:dyDescent="0.25">
      <c r="A919" s="13" t="s">
        <v>78</v>
      </c>
      <c r="B919" s="13">
        <v>82493</v>
      </c>
      <c r="C919" s="13" t="s">
        <v>280</v>
      </c>
      <c r="D919" s="13" t="s">
        <v>280</v>
      </c>
      <c r="E919" s="13" t="s">
        <v>1920</v>
      </c>
      <c r="F919" s="13" t="s">
        <v>335</v>
      </c>
    </row>
    <row r="920" spans="1:6" hidden="1" x14ac:dyDescent="0.25">
      <c r="A920" s="13" t="s">
        <v>78</v>
      </c>
      <c r="B920" s="13">
        <v>18658</v>
      </c>
      <c r="C920" s="13" t="s">
        <v>103</v>
      </c>
      <c r="D920" s="13" t="s">
        <v>103</v>
      </c>
      <c r="E920" s="13" t="s">
        <v>212</v>
      </c>
      <c r="F920" s="13" t="s">
        <v>335</v>
      </c>
    </row>
    <row r="921" spans="1:6" hidden="1" x14ac:dyDescent="0.25">
      <c r="A921" s="13" t="s">
        <v>78</v>
      </c>
      <c r="B921" s="13">
        <v>14498</v>
      </c>
      <c r="C921" s="13" t="s">
        <v>13</v>
      </c>
      <c r="D921" s="13" t="s">
        <v>1818</v>
      </c>
      <c r="E921" s="13" t="s">
        <v>2313</v>
      </c>
      <c r="F921" s="13" t="s">
        <v>335</v>
      </c>
    </row>
    <row r="922" spans="1:6" hidden="1" x14ac:dyDescent="0.25">
      <c r="A922" s="13" t="s">
        <v>78</v>
      </c>
      <c r="B922" s="13">
        <v>79744</v>
      </c>
      <c r="C922" s="13" t="s">
        <v>13</v>
      </c>
      <c r="D922" s="13" t="s">
        <v>1818</v>
      </c>
      <c r="E922" s="13" t="s">
        <v>2313</v>
      </c>
      <c r="F922" s="13" t="s">
        <v>335</v>
      </c>
    </row>
    <row r="923" spans="1:6" hidden="1" x14ac:dyDescent="0.25">
      <c r="A923" s="13" t="s">
        <v>78</v>
      </c>
      <c r="B923" s="13">
        <v>80116</v>
      </c>
      <c r="C923" s="13" t="s">
        <v>113</v>
      </c>
      <c r="D923" s="13" t="s">
        <v>113</v>
      </c>
      <c r="E923" s="13" t="s">
        <v>224</v>
      </c>
      <c r="F923" s="13" t="s">
        <v>335</v>
      </c>
    </row>
    <row r="924" spans="1:6" hidden="1" x14ac:dyDescent="0.25">
      <c r="A924" s="13" t="s">
        <v>78</v>
      </c>
      <c r="B924" s="13">
        <v>95005</v>
      </c>
      <c r="C924" s="13" t="s">
        <v>303</v>
      </c>
      <c r="D924" s="13" t="s">
        <v>104</v>
      </c>
      <c r="E924" s="13" t="s">
        <v>2502</v>
      </c>
      <c r="F924" s="13" t="s">
        <v>335</v>
      </c>
    </row>
    <row r="925" spans="1:6" hidden="1" x14ac:dyDescent="0.25">
      <c r="A925" s="13" t="s">
        <v>78</v>
      </c>
      <c r="B925" s="13">
        <v>79931</v>
      </c>
      <c r="C925" s="13" t="s">
        <v>67</v>
      </c>
      <c r="D925" s="13" t="s">
        <v>67</v>
      </c>
      <c r="E925" s="13" t="s">
        <v>2000</v>
      </c>
      <c r="F925" s="13" t="s">
        <v>335</v>
      </c>
    </row>
    <row r="926" spans="1:6" hidden="1" x14ac:dyDescent="0.25">
      <c r="A926" s="13" t="s">
        <v>78</v>
      </c>
      <c r="B926" s="13">
        <v>79931</v>
      </c>
      <c r="C926" s="13" t="s">
        <v>67</v>
      </c>
      <c r="D926" s="13" t="s">
        <v>67</v>
      </c>
      <c r="E926" s="13" t="s">
        <v>1951</v>
      </c>
      <c r="F926" s="13" t="s">
        <v>335</v>
      </c>
    </row>
    <row r="927" spans="1:6" hidden="1" x14ac:dyDescent="0.25">
      <c r="A927" s="13" t="s">
        <v>78</v>
      </c>
      <c r="B927" s="13">
        <v>81693</v>
      </c>
      <c r="C927" s="13" t="s">
        <v>75</v>
      </c>
      <c r="D927" s="13" t="s">
        <v>75</v>
      </c>
      <c r="E927" s="13" t="s">
        <v>2166</v>
      </c>
      <c r="F927" s="13" t="s">
        <v>335</v>
      </c>
    </row>
    <row r="928" spans="1:6" hidden="1" x14ac:dyDescent="0.25">
      <c r="A928" s="13" t="s">
        <v>78</v>
      </c>
      <c r="B928" s="13">
        <v>81595</v>
      </c>
      <c r="C928" s="13" t="s">
        <v>1873</v>
      </c>
      <c r="D928" s="13" t="s">
        <v>1874</v>
      </c>
      <c r="E928" s="13" t="s">
        <v>2008</v>
      </c>
      <c r="F928" s="13" t="s">
        <v>335</v>
      </c>
    </row>
    <row r="929" spans="1:6" hidden="1" x14ac:dyDescent="0.25">
      <c r="A929" s="13" t="s">
        <v>78</v>
      </c>
      <c r="B929" s="13">
        <v>82465</v>
      </c>
      <c r="C929" s="13" t="s">
        <v>2147</v>
      </c>
      <c r="D929" s="13" t="s">
        <v>2147</v>
      </c>
      <c r="E929" s="13" t="s">
        <v>2148</v>
      </c>
      <c r="F929" s="13" t="s">
        <v>335</v>
      </c>
    </row>
    <row r="930" spans="1:6" hidden="1" x14ac:dyDescent="0.25">
      <c r="A930" s="13" t="s">
        <v>78</v>
      </c>
      <c r="B930" s="13">
        <v>80041</v>
      </c>
      <c r="C930" s="13" t="s">
        <v>68</v>
      </c>
      <c r="D930" s="13" t="s">
        <v>68</v>
      </c>
      <c r="E930" s="13" t="s">
        <v>2133</v>
      </c>
      <c r="F930" s="13" t="s">
        <v>335</v>
      </c>
    </row>
    <row r="931" spans="1:6" hidden="1" x14ac:dyDescent="0.25">
      <c r="A931" s="13" t="s">
        <v>78</v>
      </c>
      <c r="B931" s="13">
        <v>15501</v>
      </c>
      <c r="C931" s="13" t="s">
        <v>9</v>
      </c>
      <c r="D931" s="13" t="s">
        <v>9</v>
      </c>
      <c r="E931" s="13" t="s">
        <v>2375</v>
      </c>
      <c r="F931" s="13" t="s">
        <v>335</v>
      </c>
    </row>
    <row r="932" spans="1:6" hidden="1" x14ac:dyDescent="0.25">
      <c r="A932" s="13" t="s">
        <v>78</v>
      </c>
      <c r="B932" s="13">
        <v>82053</v>
      </c>
      <c r="C932" s="13" t="s">
        <v>1856</v>
      </c>
      <c r="D932" s="13" t="s">
        <v>2145</v>
      </c>
      <c r="E932" s="13" t="s">
        <v>686</v>
      </c>
      <c r="F932" s="13" t="s">
        <v>335</v>
      </c>
    </row>
    <row r="933" spans="1:6" hidden="1" x14ac:dyDescent="0.25">
      <c r="A933" s="13" t="s">
        <v>78</v>
      </c>
      <c r="B933" s="13">
        <v>18857</v>
      </c>
      <c r="C933" s="13" t="s">
        <v>110</v>
      </c>
      <c r="D933" s="13" t="s">
        <v>110</v>
      </c>
      <c r="E933" s="13" t="s">
        <v>2463</v>
      </c>
      <c r="F933" s="13" t="s">
        <v>335</v>
      </c>
    </row>
    <row r="934" spans="1:6" hidden="1" x14ac:dyDescent="0.25">
      <c r="A934" s="13" t="s">
        <v>78</v>
      </c>
      <c r="B934" s="13">
        <v>144548</v>
      </c>
      <c r="C934" s="13" t="s">
        <v>338</v>
      </c>
      <c r="D934" s="13" t="s">
        <v>338</v>
      </c>
      <c r="E934" s="13" t="s">
        <v>1169</v>
      </c>
      <c r="F934" s="13" t="s">
        <v>335</v>
      </c>
    </row>
    <row r="935" spans="1:6" hidden="1" x14ac:dyDescent="0.25">
      <c r="A935" s="13" t="s">
        <v>21</v>
      </c>
      <c r="B935" s="13">
        <v>144548</v>
      </c>
      <c r="C935" s="13" t="s">
        <v>338</v>
      </c>
      <c r="D935" s="13" t="s">
        <v>338</v>
      </c>
      <c r="E935" s="13" t="s">
        <v>1169</v>
      </c>
      <c r="F935" s="13" t="s">
        <v>335</v>
      </c>
    </row>
    <row r="936" spans="1:6" hidden="1" x14ac:dyDescent="0.25">
      <c r="A936" s="13" t="s">
        <v>78</v>
      </c>
      <c r="B936" s="13">
        <v>81977</v>
      </c>
      <c r="C936" s="13" t="s">
        <v>2201</v>
      </c>
      <c r="D936" s="13" t="s">
        <v>28</v>
      </c>
      <c r="E936" s="13" t="s">
        <v>1511</v>
      </c>
      <c r="F936" s="13" t="s">
        <v>335</v>
      </c>
    </row>
    <row r="937" spans="1:6" hidden="1" x14ac:dyDescent="0.25">
      <c r="A937" s="13" t="s">
        <v>78</v>
      </c>
      <c r="B937" s="13">
        <v>81565</v>
      </c>
      <c r="C937" s="13" t="s">
        <v>67</v>
      </c>
      <c r="D937" s="13" t="s">
        <v>67</v>
      </c>
      <c r="E937" s="13" t="s">
        <v>241</v>
      </c>
      <c r="F937" s="13" t="s">
        <v>335</v>
      </c>
    </row>
    <row r="938" spans="1:6" hidden="1" x14ac:dyDescent="0.25">
      <c r="A938" s="13" t="s">
        <v>78</v>
      </c>
      <c r="B938" s="13">
        <v>81880</v>
      </c>
      <c r="C938" s="13" t="s">
        <v>1856</v>
      </c>
      <c r="D938" s="13" t="s">
        <v>2170</v>
      </c>
      <c r="E938" s="13" t="s">
        <v>2171</v>
      </c>
      <c r="F938" s="13" t="s">
        <v>335</v>
      </c>
    </row>
    <row r="939" spans="1:6" hidden="1" x14ac:dyDescent="0.25">
      <c r="A939" s="13" t="s">
        <v>78</v>
      </c>
      <c r="B939" s="13">
        <v>16705</v>
      </c>
      <c r="C939" s="13" t="s">
        <v>36</v>
      </c>
      <c r="D939" s="13" t="s">
        <v>36</v>
      </c>
      <c r="E939" s="13" t="s">
        <v>696</v>
      </c>
      <c r="F939" s="13" t="s">
        <v>335</v>
      </c>
    </row>
    <row r="940" spans="1:6" x14ac:dyDescent="0.25">
      <c r="A940" s="13" t="s">
        <v>78</v>
      </c>
      <c r="B940" s="13">
        <v>81500</v>
      </c>
      <c r="C940" s="13" t="s">
        <v>290</v>
      </c>
      <c r="D940" s="13" t="s">
        <v>290</v>
      </c>
      <c r="E940" s="13" t="s">
        <v>553</v>
      </c>
      <c r="F940" s="13" t="s">
        <v>335</v>
      </c>
    </row>
    <row r="941" spans="1:6" x14ac:dyDescent="0.25">
      <c r="A941" s="13" t="s">
        <v>78</v>
      </c>
      <c r="B941" s="13">
        <v>81501</v>
      </c>
      <c r="C941" s="13" t="s">
        <v>290</v>
      </c>
      <c r="D941" s="13" t="s">
        <v>290</v>
      </c>
      <c r="E941" s="13" t="s">
        <v>553</v>
      </c>
      <c r="F941" s="13" t="s">
        <v>335</v>
      </c>
    </row>
    <row r="942" spans="1:6" x14ac:dyDescent="0.25">
      <c r="A942" s="13" t="s">
        <v>78</v>
      </c>
      <c r="B942" s="13">
        <v>81499</v>
      </c>
      <c r="C942" s="13" t="s">
        <v>290</v>
      </c>
      <c r="D942" s="13" t="s">
        <v>290</v>
      </c>
      <c r="E942" s="13" t="s">
        <v>553</v>
      </c>
      <c r="F942" s="13" t="s">
        <v>335</v>
      </c>
    </row>
    <row r="943" spans="1:6" hidden="1" x14ac:dyDescent="0.25">
      <c r="A943" s="13" t="s">
        <v>21</v>
      </c>
      <c r="B943" s="13">
        <v>122688</v>
      </c>
      <c r="C943" s="13" t="s">
        <v>34</v>
      </c>
      <c r="D943" s="13" t="s">
        <v>34</v>
      </c>
      <c r="E943" s="13" t="s">
        <v>150</v>
      </c>
      <c r="F943" s="13" t="s">
        <v>335</v>
      </c>
    </row>
    <row r="944" spans="1:6" hidden="1" x14ac:dyDescent="0.25">
      <c r="A944" s="13" t="s">
        <v>78</v>
      </c>
      <c r="B944" s="13">
        <v>81217</v>
      </c>
      <c r="C944" s="13" t="s">
        <v>353</v>
      </c>
      <c r="D944" s="13" t="s">
        <v>353</v>
      </c>
      <c r="E944" s="13" t="s">
        <v>1902</v>
      </c>
      <c r="F944" s="13" t="s">
        <v>335</v>
      </c>
    </row>
    <row r="945" spans="1:6" hidden="1" x14ac:dyDescent="0.25">
      <c r="A945" s="13" t="s">
        <v>21</v>
      </c>
      <c r="B945" s="13">
        <v>124007</v>
      </c>
      <c r="C945" s="13" t="s">
        <v>48</v>
      </c>
      <c r="D945" s="13" t="s">
        <v>46</v>
      </c>
      <c r="E945" s="13" t="s">
        <v>166</v>
      </c>
      <c r="F945" s="13" t="s">
        <v>335</v>
      </c>
    </row>
    <row r="946" spans="1:6" hidden="1" x14ac:dyDescent="0.25">
      <c r="A946" s="13" t="s">
        <v>78</v>
      </c>
      <c r="B946" s="13">
        <v>80883</v>
      </c>
      <c r="C946" s="13" t="s">
        <v>406</v>
      </c>
      <c r="D946" s="13" t="s">
        <v>406</v>
      </c>
      <c r="E946" s="13" t="s">
        <v>1428</v>
      </c>
      <c r="F946" s="13" t="s">
        <v>335</v>
      </c>
    </row>
    <row r="947" spans="1:6" hidden="1" x14ac:dyDescent="0.25">
      <c r="A947" s="13" t="s">
        <v>78</v>
      </c>
      <c r="B947" s="13">
        <v>79809</v>
      </c>
      <c r="C947" s="13" t="s">
        <v>1942</v>
      </c>
      <c r="D947" s="13" t="s">
        <v>1942</v>
      </c>
      <c r="E947" s="13" t="s">
        <v>350</v>
      </c>
      <c r="F947" s="13" t="s">
        <v>335</v>
      </c>
    </row>
    <row r="948" spans="1:6" hidden="1" x14ac:dyDescent="0.25">
      <c r="A948" s="13" t="s">
        <v>78</v>
      </c>
      <c r="B948" s="13">
        <v>79584</v>
      </c>
      <c r="C948" s="13" t="s">
        <v>87</v>
      </c>
      <c r="D948" s="13" t="s">
        <v>87</v>
      </c>
      <c r="E948" s="13" t="s">
        <v>350</v>
      </c>
      <c r="F948" s="13" t="s">
        <v>335</v>
      </c>
    </row>
    <row r="949" spans="1:6" hidden="1" x14ac:dyDescent="0.25">
      <c r="A949" s="13" t="s">
        <v>78</v>
      </c>
      <c r="B949" s="13">
        <v>79585</v>
      </c>
      <c r="C949" s="13" t="s">
        <v>274</v>
      </c>
      <c r="D949" s="13" t="s">
        <v>274</v>
      </c>
      <c r="E949" s="13" t="s">
        <v>350</v>
      </c>
      <c r="F949" s="13" t="s">
        <v>335</v>
      </c>
    </row>
    <row r="950" spans="1:6" hidden="1" x14ac:dyDescent="0.25">
      <c r="A950" s="13" t="s">
        <v>21</v>
      </c>
      <c r="B950" s="13">
        <v>80783</v>
      </c>
      <c r="C950" s="13" t="s">
        <v>1879</v>
      </c>
      <c r="D950" s="13" t="s">
        <v>1879</v>
      </c>
      <c r="E950" s="13" t="s">
        <v>2043</v>
      </c>
      <c r="F950" s="13" t="s">
        <v>335</v>
      </c>
    </row>
    <row r="951" spans="1:6" hidden="1" x14ac:dyDescent="0.25">
      <c r="A951" s="13" t="s">
        <v>78</v>
      </c>
      <c r="B951" s="13">
        <v>18857</v>
      </c>
      <c r="C951" s="13" t="s">
        <v>110</v>
      </c>
      <c r="D951" s="13" t="s">
        <v>110</v>
      </c>
      <c r="E951" s="13" t="s">
        <v>2362</v>
      </c>
      <c r="F951" s="13" t="s">
        <v>335</v>
      </c>
    </row>
    <row r="952" spans="1:6" hidden="1" x14ac:dyDescent="0.25">
      <c r="A952" s="13" t="s">
        <v>78</v>
      </c>
      <c r="B952" s="13">
        <v>18857</v>
      </c>
      <c r="C952" s="13" t="s">
        <v>110</v>
      </c>
      <c r="D952" s="13" t="s">
        <v>110</v>
      </c>
      <c r="E952" s="13" t="s">
        <v>2628</v>
      </c>
      <c r="F952" s="13" t="s">
        <v>335</v>
      </c>
    </row>
    <row r="953" spans="1:6" hidden="1" x14ac:dyDescent="0.25">
      <c r="A953" s="13" t="s">
        <v>78</v>
      </c>
      <c r="B953" s="13">
        <v>80883</v>
      </c>
      <c r="C953" s="13" t="s">
        <v>406</v>
      </c>
      <c r="D953" s="13" t="s">
        <v>406</v>
      </c>
      <c r="E953" s="13" t="s">
        <v>2001</v>
      </c>
      <c r="F953" s="13" t="s">
        <v>335</v>
      </c>
    </row>
    <row r="954" spans="1:6" hidden="1" x14ac:dyDescent="0.25">
      <c r="A954" s="13" t="s">
        <v>78</v>
      </c>
      <c r="B954" s="13">
        <v>14479</v>
      </c>
      <c r="C954" s="13" t="s">
        <v>24</v>
      </c>
      <c r="D954" s="13" t="s">
        <v>24</v>
      </c>
      <c r="E954" s="13" t="s">
        <v>2390</v>
      </c>
      <c r="F954" s="13" t="s">
        <v>335</v>
      </c>
    </row>
    <row r="955" spans="1:6" hidden="1" x14ac:dyDescent="0.25">
      <c r="A955" s="13" t="s">
        <v>78</v>
      </c>
      <c r="B955" s="13">
        <v>80195</v>
      </c>
      <c r="C955" s="13" t="s">
        <v>114</v>
      </c>
      <c r="D955" s="13" t="s">
        <v>1805</v>
      </c>
      <c r="E955" s="13" t="s">
        <v>2390</v>
      </c>
      <c r="F955" s="13" t="s">
        <v>335</v>
      </c>
    </row>
    <row r="956" spans="1:6" hidden="1" x14ac:dyDescent="0.25">
      <c r="A956" s="13" t="s">
        <v>78</v>
      </c>
      <c r="B956" s="13">
        <v>12416</v>
      </c>
      <c r="C956" s="13" t="s">
        <v>53</v>
      </c>
      <c r="D956" s="13" t="s">
        <v>53</v>
      </c>
      <c r="E956" s="13" t="s">
        <v>690</v>
      </c>
      <c r="F956" s="13" t="s">
        <v>335</v>
      </c>
    </row>
    <row r="957" spans="1:6" hidden="1" x14ac:dyDescent="0.25">
      <c r="A957" s="13" t="s">
        <v>78</v>
      </c>
      <c r="B957" s="13">
        <v>80132</v>
      </c>
      <c r="C957" s="13" t="s">
        <v>16</v>
      </c>
      <c r="D957" s="13" t="s">
        <v>16</v>
      </c>
      <c r="E957" s="13" t="s">
        <v>2218</v>
      </c>
      <c r="F957" s="13" t="s">
        <v>335</v>
      </c>
    </row>
    <row r="958" spans="1:6" hidden="1" x14ac:dyDescent="0.25">
      <c r="A958" s="13" t="s">
        <v>78</v>
      </c>
      <c r="B958" s="13">
        <v>54684</v>
      </c>
      <c r="C958" s="13" t="s">
        <v>100</v>
      </c>
      <c r="D958" s="13" t="s">
        <v>100</v>
      </c>
      <c r="E958" s="13" t="s">
        <v>1940</v>
      </c>
      <c r="F958" s="13" t="s">
        <v>335</v>
      </c>
    </row>
    <row r="959" spans="1:6" hidden="1" x14ac:dyDescent="0.25">
      <c r="A959" s="13" t="s">
        <v>78</v>
      </c>
      <c r="B959" s="13">
        <v>79505</v>
      </c>
      <c r="C959" s="13" t="s">
        <v>2618</v>
      </c>
      <c r="D959" s="13" t="s">
        <v>94</v>
      </c>
      <c r="E959" s="13" t="s">
        <v>202</v>
      </c>
      <c r="F959" s="13" t="s">
        <v>335</v>
      </c>
    </row>
    <row r="960" spans="1:6" hidden="1" x14ac:dyDescent="0.25">
      <c r="A960" s="13" t="s">
        <v>78</v>
      </c>
      <c r="B960" s="13">
        <v>79400</v>
      </c>
      <c r="C960" s="13" t="s">
        <v>81</v>
      </c>
      <c r="D960" s="13" t="s">
        <v>94</v>
      </c>
      <c r="E960" s="13" t="s">
        <v>202</v>
      </c>
      <c r="F960" s="13" t="s">
        <v>335</v>
      </c>
    </row>
    <row r="961" spans="1:6" hidden="1" x14ac:dyDescent="0.25">
      <c r="A961" s="13" t="s">
        <v>21</v>
      </c>
      <c r="B961" s="13">
        <v>80531</v>
      </c>
      <c r="C961" s="13" t="s">
        <v>81</v>
      </c>
      <c r="D961" s="13" t="s">
        <v>94</v>
      </c>
      <c r="E961" s="13" t="s">
        <v>202</v>
      </c>
      <c r="F961" s="13" t="s">
        <v>335</v>
      </c>
    </row>
    <row r="962" spans="1:6" hidden="1" x14ac:dyDescent="0.25">
      <c r="A962" s="13" t="s">
        <v>78</v>
      </c>
      <c r="B962" s="13">
        <v>81259</v>
      </c>
      <c r="C962" s="13" t="s">
        <v>320</v>
      </c>
      <c r="D962" s="13" t="s">
        <v>109</v>
      </c>
      <c r="E962" s="13" t="s">
        <v>1968</v>
      </c>
      <c r="F962" s="13" t="s">
        <v>335</v>
      </c>
    </row>
    <row r="963" spans="1:6" hidden="1" x14ac:dyDescent="0.25">
      <c r="A963" s="13" t="s">
        <v>78</v>
      </c>
      <c r="B963" s="13">
        <v>80314</v>
      </c>
      <c r="C963" s="13" t="s">
        <v>2246</v>
      </c>
      <c r="D963" s="13" t="s">
        <v>2246</v>
      </c>
      <c r="E963" s="13" t="s">
        <v>2340</v>
      </c>
      <c r="F963" s="13" t="s">
        <v>335</v>
      </c>
    </row>
    <row r="964" spans="1:6" hidden="1" x14ac:dyDescent="0.25">
      <c r="A964" s="13" t="s">
        <v>78</v>
      </c>
      <c r="B964" s="13">
        <v>80654</v>
      </c>
      <c r="C964" s="13" t="s">
        <v>131</v>
      </c>
      <c r="D964" s="13" t="s">
        <v>131</v>
      </c>
      <c r="E964" s="13" t="s">
        <v>2160</v>
      </c>
      <c r="F964" s="13" t="s">
        <v>335</v>
      </c>
    </row>
    <row r="965" spans="1:6" hidden="1" x14ac:dyDescent="0.25">
      <c r="A965" s="13" t="s">
        <v>78</v>
      </c>
      <c r="B965" s="13">
        <v>80997</v>
      </c>
      <c r="C965" s="13" t="s">
        <v>138</v>
      </c>
      <c r="D965" s="13" t="s">
        <v>138</v>
      </c>
      <c r="E965" s="13" t="s">
        <v>2160</v>
      </c>
      <c r="F965" s="13" t="s">
        <v>335</v>
      </c>
    </row>
    <row r="966" spans="1:6" hidden="1" x14ac:dyDescent="0.25">
      <c r="A966" s="13" t="s">
        <v>78</v>
      </c>
      <c r="B966" s="13">
        <v>80386</v>
      </c>
      <c r="C966" s="13" t="s">
        <v>77</v>
      </c>
      <c r="D966" s="13" t="s">
        <v>77</v>
      </c>
      <c r="E966" s="13" t="s">
        <v>2437</v>
      </c>
      <c r="F966" s="13" t="s">
        <v>335</v>
      </c>
    </row>
    <row r="967" spans="1:6" hidden="1" x14ac:dyDescent="0.25">
      <c r="A967" s="13" t="s">
        <v>78</v>
      </c>
      <c r="B967" s="13">
        <v>441000</v>
      </c>
      <c r="C967" s="13" t="s">
        <v>99</v>
      </c>
      <c r="D967" s="13" t="s">
        <v>99</v>
      </c>
      <c r="E967" s="13" t="s">
        <v>2037</v>
      </c>
      <c r="F967" s="13" t="s">
        <v>335</v>
      </c>
    </row>
    <row r="968" spans="1:6" hidden="1" x14ac:dyDescent="0.25">
      <c r="A968" s="13" t="s">
        <v>78</v>
      </c>
      <c r="B968" s="13">
        <v>80250</v>
      </c>
      <c r="C968" s="13" t="s">
        <v>2603</v>
      </c>
      <c r="D968" s="13" t="s">
        <v>104</v>
      </c>
      <c r="E968" s="13" t="s">
        <v>2037</v>
      </c>
      <c r="F968" s="13" t="s">
        <v>335</v>
      </c>
    </row>
    <row r="969" spans="1:6" hidden="1" x14ac:dyDescent="0.25">
      <c r="A969" s="13" t="s">
        <v>78</v>
      </c>
      <c r="B969" s="13">
        <v>80753</v>
      </c>
      <c r="C969" s="13" t="s">
        <v>354</v>
      </c>
      <c r="D969" s="13" t="s">
        <v>64</v>
      </c>
      <c r="E969" s="13" t="s">
        <v>2139</v>
      </c>
      <c r="F969" s="13" t="s">
        <v>335</v>
      </c>
    </row>
    <row r="970" spans="1:6" hidden="1" x14ac:dyDescent="0.25">
      <c r="A970" s="13" t="s">
        <v>78</v>
      </c>
      <c r="B970" s="13">
        <v>80958</v>
      </c>
      <c r="C970" s="13" t="s">
        <v>1856</v>
      </c>
      <c r="D970" s="13" t="s">
        <v>1977</v>
      </c>
      <c r="E970" s="13" t="s">
        <v>2650</v>
      </c>
      <c r="F970" s="13" t="s">
        <v>335</v>
      </c>
    </row>
    <row r="971" spans="1:6" hidden="1" x14ac:dyDescent="0.25">
      <c r="A971" s="13" t="s">
        <v>78</v>
      </c>
      <c r="B971" s="13">
        <v>82467</v>
      </c>
      <c r="C971" s="13" t="s">
        <v>36</v>
      </c>
      <c r="D971" s="13" t="s">
        <v>1948</v>
      </c>
      <c r="E971" s="13" t="s">
        <v>2446</v>
      </c>
      <c r="F971" s="13" t="s">
        <v>335</v>
      </c>
    </row>
    <row r="972" spans="1:6" hidden="1" x14ac:dyDescent="0.25">
      <c r="A972" s="13" t="s">
        <v>78</v>
      </c>
      <c r="B972" s="13">
        <v>79452</v>
      </c>
      <c r="C972" s="13" t="s">
        <v>57</v>
      </c>
      <c r="D972" s="13" t="s">
        <v>66</v>
      </c>
      <c r="E972" s="13" t="s">
        <v>309</v>
      </c>
      <c r="F972" s="13" t="s">
        <v>335</v>
      </c>
    </row>
    <row r="973" spans="1:6" hidden="1" x14ac:dyDescent="0.25">
      <c r="A973" s="13" t="s">
        <v>78</v>
      </c>
      <c r="B973" s="13">
        <v>79931</v>
      </c>
      <c r="C973" s="13" t="s">
        <v>67</v>
      </c>
      <c r="D973" s="13" t="s">
        <v>67</v>
      </c>
      <c r="E973" s="13" t="s">
        <v>309</v>
      </c>
      <c r="F973" s="13" t="s">
        <v>335</v>
      </c>
    </row>
    <row r="974" spans="1:6" hidden="1" x14ac:dyDescent="0.25">
      <c r="A974" s="13" t="s">
        <v>78</v>
      </c>
      <c r="B974" s="13">
        <v>80997</v>
      </c>
      <c r="C974" s="13" t="s">
        <v>138</v>
      </c>
      <c r="D974" s="13" t="s">
        <v>138</v>
      </c>
      <c r="E974" s="13" t="s">
        <v>2486</v>
      </c>
      <c r="F974" s="13" t="s">
        <v>335</v>
      </c>
    </row>
    <row r="975" spans="1:6" hidden="1" x14ac:dyDescent="0.25">
      <c r="A975" s="13" t="s">
        <v>78</v>
      </c>
      <c r="B975" s="13">
        <v>81771</v>
      </c>
      <c r="C975" s="13" t="s">
        <v>356</v>
      </c>
      <c r="D975" s="13" t="s">
        <v>33</v>
      </c>
      <c r="E975" s="13" t="s">
        <v>409</v>
      </c>
      <c r="F975" s="13" t="s">
        <v>335</v>
      </c>
    </row>
    <row r="976" spans="1:6" hidden="1" x14ac:dyDescent="0.25">
      <c r="A976" s="13" t="s">
        <v>78</v>
      </c>
      <c r="B976" s="13">
        <v>82467</v>
      </c>
      <c r="C976" s="13" t="s">
        <v>36</v>
      </c>
      <c r="D976" s="13" t="s">
        <v>1948</v>
      </c>
      <c r="E976" s="13" t="s">
        <v>2195</v>
      </c>
      <c r="F976" s="13" t="s">
        <v>335</v>
      </c>
    </row>
    <row r="977" spans="1:6" hidden="1" x14ac:dyDescent="0.25">
      <c r="A977" s="13" t="s">
        <v>78</v>
      </c>
      <c r="B977" s="13">
        <v>81565</v>
      </c>
      <c r="C977" s="13" t="s">
        <v>67</v>
      </c>
      <c r="D977" s="13" t="s">
        <v>67</v>
      </c>
      <c r="E977" s="13" t="s">
        <v>366</v>
      </c>
      <c r="F977" s="13" t="s">
        <v>335</v>
      </c>
    </row>
    <row r="978" spans="1:6" hidden="1" x14ac:dyDescent="0.25">
      <c r="A978" s="13" t="s">
        <v>78</v>
      </c>
      <c r="B978" s="13">
        <v>81380</v>
      </c>
      <c r="C978" s="13" t="s">
        <v>327</v>
      </c>
      <c r="D978" s="13" t="s">
        <v>327</v>
      </c>
      <c r="E978" s="13" t="s">
        <v>2525</v>
      </c>
      <c r="F978" s="13" t="s">
        <v>335</v>
      </c>
    </row>
    <row r="979" spans="1:6" hidden="1" x14ac:dyDescent="0.25">
      <c r="A979" s="13" t="s">
        <v>21</v>
      </c>
      <c r="B979" s="13">
        <v>81738</v>
      </c>
      <c r="C979" s="13" t="s">
        <v>1814</v>
      </c>
      <c r="D979" s="13" t="s">
        <v>26</v>
      </c>
      <c r="E979" s="13" t="s">
        <v>2377</v>
      </c>
      <c r="F979" s="13" t="s">
        <v>335</v>
      </c>
    </row>
    <row r="980" spans="1:6" hidden="1" x14ac:dyDescent="0.25">
      <c r="A980" s="13" t="s">
        <v>78</v>
      </c>
      <c r="B980" s="13">
        <v>79157</v>
      </c>
      <c r="C980" s="13" t="s">
        <v>84</v>
      </c>
      <c r="D980" s="13" t="s">
        <v>102</v>
      </c>
      <c r="E980" s="13" t="s">
        <v>348</v>
      </c>
      <c r="F980" s="13" t="s">
        <v>335</v>
      </c>
    </row>
    <row r="981" spans="1:6" hidden="1" x14ac:dyDescent="0.25">
      <c r="A981" s="13" t="s">
        <v>78</v>
      </c>
      <c r="B981" s="13">
        <v>80961</v>
      </c>
      <c r="C981" s="13" t="s">
        <v>85</v>
      </c>
      <c r="D981" s="13" t="s">
        <v>85</v>
      </c>
      <c r="E981" s="13" t="s">
        <v>2230</v>
      </c>
      <c r="F981" s="13" t="s">
        <v>335</v>
      </c>
    </row>
    <row r="982" spans="1:6" hidden="1" x14ac:dyDescent="0.25">
      <c r="A982" s="13" t="s">
        <v>78</v>
      </c>
      <c r="B982" s="13">
        <v>14479</v>
      </c>
      <c r="C982" s="13" t="s">
        <v>24</v>
      </c>
      <c r="D982" s="13" t="s">
        <v>24</v>
      </c>
      <c r="E982" s="13" t="s">
        <v>2431</v>
      </c>
      <c r="F982" s="13" t="s">
        <v>335</v>
      </c>
    </row>
    <row r="983" spans="1:6" hidden="1" x14ac:dyDescent="0.25">
      <c r="A983" s="13" t="s">
        <v>78</v>
      </c>
      <c r="B983" s="13">
        <v>79746</v>
      </c>
      <c r="C983" s="13" t="s">
        <v>90</v>
      </c>
      <c r="D983" s="13" t="s">
        <v>90</v>
      </c>
      <c r="E983" s="13" t="s">
        <v>2186</v>
      </c>
      <c r="F983" s="13" t="s">
        <v>335</v>
      </c>
    </row>
    <row r="984" spans="1:6" hidden="1" x14ac:dyDescent="0.25">
      <c r="A984" s="13" t="s">
        <v>78</v>
      </c>
      <c r="B984" s="13">
        <v>79746</v>
      </c>
      <c r="C984" s="13" t="s">
        <v>90</v>
      </c>
      <c r="D984" s="13" t="s">
        <v>90</v>
      </c>
      <c r="E984" s="13" t="s">
        <v>2349</v>
      </c>
      <c r="F984" s="13" t="s">
        <v>335</v>
      </c>
    </row>
    <row r="985" spans="1:6" hidden="1" x14ac:dyDescent="0.25">
      <c r="A985" s="13" t="s">
        <v>78</v>
      </c>
      <c r="B985" s="13">
        <v>80005</v>
      </c>
      <c r="C985" s="13" t="s">
        <v>97</v>
      </c>
      <c r="D985" s="13" t="s">
        <v>1914</v>
      </c>
      <c r="E985" s="13" t="s">
        <v>206</v>
      </c>
      <c r="F985" s="13" t="s">
        <v>335</v>
      </c>
    </row>
    <row r="986" spans="1:6" hidden="1" x14ac:dyDescent="0.25">
      <c r="A986" s="13" t="s">
        <v>21</v>
      </c>
      <c r="B986" s="13">
        <v>80510</v>
      </c>
      <c r="C986" s="13" t="s">
        <v>1856</v>
      </c>
      <c r="D986" s="13" t="s">
        <v>1871</v>
      </c>
      <c r="E986" s="13" t="s">
        <v>1922</v>
      </c>
      <c r="F986" s="13" t="s">
        <v>335</v>
      </c>
    </row>
    <row r="987" spans="1:6" hidden="1" x14ac:dyDescent="0.25">
      <c r="A987" s="13" t="s">
        <v>21</v>
      </c>
      <c r="B987" s="13">
        <v>81410</v>
      </c>
      <c r="C987" s="13" t="s">
        <v>1856</v>
      </c>
      <c r="D987" s="13" t="s">
        <v>2602</v>
      </c>
      <c r="E987" s="13" t="s">
        <v>1922</v>
      </c>
      <c r="F987" s="13" t="s">
        <v>335</v>
      </c>
    </row>
    <row r="988" spans="1:6" hidden="1" x14ac:dyDescent="0.25">
      <c r="A988" s="13" t="s">
        <v>78</v>
      </c>
      <c r="B988" s="13">
        <v>80510</v>
      </c>
      <c r="C988" s="13" t="s">
        <v>1856</v>
      </c>
      <c r="D988" s="13" t="s">
        <v>1871</v>
      </c>
      <c r="E988" s="13" t="s">
        <v>1922</v>
      </c>
      <c r="F988" s="13" t="s">
        <v>335</v>
      </c>
    </row>
    <row r="989" spans="1:6" hidden="1" x14ac:dyDescent="0.25">
      <c r="A989" s="13" t="s">
        <v>78</v>
      </c>
      <c r="B989" s="13">
        <v>80958</v>
      </c>
      <c r="C989" s="13" t="s">
        <v>1856</v>
      </c>
      <c r="D989" s="13" t="s">
        <v>1977</v>
      </c>
      <c r="E989" s="13" t="s">
        <v>1922</v>
      </c>
      <c r="F989" s="13" t="s">
        <v>335</v>
      </c>
    </row>
    <row r="990" spans="1:6" hidden="1" x14ac:dyDescent="0.25">
      <c r="A990" s="13" t="s">
        <v>21</v>
      </c>
      <c r="B990" s="13">
        <v>80417</v>
      </c>
      <c r="C990" s="13" t="s">
        <v>1856</v>
      </c>
      <c r="D990" s="13" t="s">
        <v>2060</v>
      </c>
      <c r="E990" s="13" t="s">
        <v>1922</v>
      </c>
      <c r="F990" s="13" t="s">
        <v>335</v>
      </c>
    </row>
    <row r="991" spans="1:6" hidden="1" x14ac:dyDescent="0.25">
      <c r="A991" s="13" t="s">
        <v>21</v>
      </c>
      <c r="B991" s="13">
        <v>82052</v>
      </c>
      <c r="C991" s="13" t="s">
        <v>1856</v>
      </c>
      <c r="D991" s="13" t="s">
        <v>2607</v>
      </c>
      <c r="E991" s="13" t="s">
        <v>1922</v>
      </c>
      <c r="F991" s="13" t="s">
        <v>335</v>
      </c>
    </row>
    <row r="992" spans="1:6" hidden="1" x14ac:dyDescent="0.25">
      <c r="A992" s="13" t="s">
        <v>78</v>
      </c>
      <c r="B992" s="13">
        <v>82010</v>
      </c>
      <c r="C992" s="13" t="s">
        <v>1856</v>
      </c>
      <c r="D992" s="13" t="s">
        <v>1857</v>
      </c>
      <c r="E992" s="13" t="s">
        <v>1922</v>
      </c>
      <c r="F992" s="13" t="s">
        <v>335</v>
      </c>
    </row>
    <row r="993" spans="1:6" hidden="1" x14ac:dyDescent="0.25">
      <c r="A993" s="13" t="s">
        <v>78</v>
      </c>
      <c r="B993" s="13">
        <v>80417</v>
      </c>
      <c r="C993" s="13" t="s">
        <v>1856</v>
      </c>
      <c r="D993" s="13" t="s">
        <v>2060</v>
      </c>
      <c r="E993" s="13" t="s">
        <v>1922</v>
      </c>
      <c r="F993" s="13" t="s">
        <v>335</v>
      </c>
    </row>
    <row r="994" spans="1:6" hidden="1" x14ac:dyDescent="0.25">
      <c r="A994" s="13" t="s">
        <v>21</v>
      </c>
      <c r="B994" s="13">
        <v>80958</v>
      </c>
      <c r="C994" s="13" t="s">
        <v>1856</v>
      </c>
      <c r="D994" s="13" t="s">
        <v>1977</v>
      </c>
      <c r="E994" s="13" t="s">
        <v>1922</v>
      </c>
      <c r="F994" s="13" t="s">
        <v>335</v>
      </c>
    </row>
    <row r="995" spans="1:6" hidden="1" x14ac:dyDescent="0.25">
      <c r="A995" s="13" t="s">
        <v>78</v>
      </c>
      <c r="B995" s="13">
        <v>81410</v>
      </c>
      <c r="C995" s="13" t="s">
        <v>1856</v>
      </c>
      <c r="D995" s="13" t="s">
        <v>2602</v>
      </c>
      <c r="E995" s="13" t="s">
        <v>1922</v>
      </c>
      <c r="F995" s="13" t="s">
        <v>335</v>
      </c>
    </row>
    <row r="996" spans="1:6" hidden="1" x14ac:dyDescent="0.25">
      <c r="A996" s="13" t="s">
        <v>78</v>
      </c>
      <c r="B996" s="13">
        <v>82053</v>
      </c>
      <c r="C996" s="13" t="s">
        <v>1856</v>
      </c>
      <c r="D996" s="13" t="s">
        <v>2145</v>
      </c>
      <c r="E996" s="13" t="s">
        <v>1922</v>
      </c>
      <c r="F996" s="13" t="s">
        <v>335</v>
      </c>
    </row>
    <row r="997" spans="1:6" hidden="1" x14ac:dyDescent="0.25">
      <c r="A997" s="13" t="s">
        <v>78</v>
      </c>
      <c r="B997" s="13">
        <v>83024</v>
      </c>
      <c r="C997" s="13" t="s">
        <v>1856</v>
      </c>
      <c r="D997" s="13" t="s">
        <v>1856</v>
      </c>
      <c r="E997" s="13" t="s">
        <v>1922</v>
      </c>
      <c r="F997" s="13" t="s">
        <v>335</v>
      </c>
    </row>
    <row r="998" spans="1:6" hidden="1" x14ac:dyDescent="0.25">
      <c r="A998" s="13" t="s">
        <v>78</v>
      </c>
      <c r="B998" s="13">
        <v>79931</v>
      </c>
      <c r="C998" s="13" t="s">
        <v>67</v>
      </c>
      <c r="D998" s="13" t="s">
        <v>67</v>
      </c>
      <c r="E998" s="13" t="s">
        <v>633</v>
      </c>
      <c r="F998" s="13" t="s">
        <v>335</v>
      </c>
    </row>
    <row r="999" spans="1:6" hidden="1" x14ac:dyDescent="0.25">
      <c r="A999" s="13" t="s">
        <v>78</v>
      </c>
      <c r="B999" s="13">
        <v>81937</v>
      </c>
      <c r="C999" s="13" t="s">
        <v>367</v>
      </c>
      <c r="D999" s="13" t="s">
        <v>367</v>
      </c>
      <c r="E999" s="13" t="s">
        <v>368</v>
      </c>
      <c r="F999" s="13" t="s">
        <v>335</v>
      </c>
    </row>
    <row r="1000" spans="1:6" hidden="1" x14ac:dyDescent="0.25">
      <c r="A1000" s="13" t="s">
        <v>21</v>
      </c>
      <c r="B1000" s="13">
        <v>82717</v>
      </c>
      <c r="C1000" s="13" t="s">
        <v>1917</v>
      </c>
      <c r="D1000" s="13" t="s">
        <v>1917</v>
      </c>
      <c r="E1000" s="13" t="s">
        <v>1918</v>
      </c>
      <c r="F1000" s="13" t="s">
        <v>335</v>
      </c>
    </row>
    <row r="1001" spans="1:6" hidden="1" x14ac:dyDescent="0.25">
      <c r="A1001" s="13" t="s">
        <v>78</v>
      </c>
      <c r="B1001" s="13">
        <v>82714</v>
      </c>
      <c r="C1001" s="13" t="s">
        <v>1917</v>
      </c>
      <c r="D1001" s="13" t="s">
        <v>1917</v>
      </c>
      <c r="E1001" s="13" t="s">
        <v>1918</v>
      </c>
      <c r="F1001" s="13" t="s">
        <v>335</v>
      </c>
    </row>
    <row r="1002" spans="1:6" hidden="1" x14ac:dyDescent="0.25">
      <c r="A1002" s="13" t="s">
        <v>21</v>
      </c>
      <c r="B1002" s="13">
        <v>81319</v>
      </c>
      <c r="C1002" s="13" t="s">
        <v>2032</v>
      </c>
      <c r="D1002" s="13" t="s">
        <v>2032</v>
      </c>
      <c r="E1002" s="13" t="s">
        <v>322</v>
      </c>
      <c r="F1002" s="13" t="s">
        <v>335</v>
      </c>
    </row>
    <row r="1003" spans="1:6" hidden="1" x14ac:dyDescent="0.25">
      <c r="A1003" s="13" t="s">
        <v>21</v>
      </c>
      <c r="B1003" s="13">
        <v>82414</v>
      </c>
      <c r="C1003" s="13" t="s">
        <v>2400</v>
      </c>
      <c r="D1003" s="13" t="s">
        <v>2242</v>
      </c>
      <c r="E1003" s="13" t="s">
        <v>2401</v>
      </c>
      <c r="F1003" s="13" t="s">
        <v>335</v>
      </c>
    </row>
    <row r="1004" spans="1:6" hidden="1" x14ac:dyDescent="0.25">
      <c r="A1004" s="13" t="s">
        <v>78</v>
      </c>
      <c r="B1004" s="13">
        <v>80047</v>
      </c>
      <c r="C1004" s="13" t="s">
        <v>112</v>
      </c>
      <c r="D1004" s="13" t="s">
        <v>112</v>
      </c>
      <c r="E1004" s="13" t="s">
        <v>2378</v>
      </c>
      <c r="F1004" s="13" t="s">
        <v>335</v>
      </c>
    </row>
    <row r="1005" spans="1:6" hidden="1" x14ac:dyDescent="0.25">
      <c r="A1005" s="13" t="s">
        <v>78</v>
      </c>
      <c r="B1005" s="13">
        <v>79791</v>
      </c>
      <c r="C1005" s="13" t="s">
        <v>15</v>
      </c>
      <c r="D1005" s="13" t="s">
        <v>109</v>
      </c>
      <c r="E1005" s="13" t="s">
        <v>2441</v>
      </c>
      <c r="F1005" s="13" t="s">
        <v>335</v>
      </c>
    </row>
    <row r="1006" spans="1:6" hidden="1" x14ac:dyDescent="0.25">
      <c r="A1006" s="13" t="s">
        <v>78</v>
      </c>
      <c r="B1006" s="13">
        <v>79241</v>
      </c>
      <c r="C1006" s="13" t="s">
        <v>106</v>
      </c>
      <c r="D1006" s="13" t="s">
        <v>94</v>
      </c>
      <c r="E1006" s="13" t="s">
        <v>1980</v>
      </c>
      <c r="F1006" s="13" t="s">
        <v>335</v>
      </c>
    </row>
    <row r="1007" spans="1:6" hidden="1" x14ac:dyDescent="0.25">
      <c r="A1007" s="13" t="s">
        <v>78</v>
      </c>
      <c r="B1007" s="13">
        <v>79931</v>
      </c>
      <c r="C1007" s="13" t="s">
        <v>67</v>
      </c>
      <c r="D1007" s="13" t="s">
        <v>67</v>
      </c>
      <c r="E1007" s="13" t="s">
        <v>733</v>
      </c>
      <c r="F1007" s="13" t="s">
        <v>335</v>
      </c>
    </row>
    <row r="1008" spans="1:6" hidden="1" x14ac:dyDescent="0.25">
      <c r="A1008" s="13" t="s">
        <v>78</v>
      </c>
      <c r="B1008" s="13">
        <v>82467</v>
      </c>
      <c r="C1008" s="13" t="s">
        <v>36</v>
      </c>
      <c r="D1008" s="13" t="s">
        <v>1948</v>
      </c>
      <c r="E1008" s="13" t="s">
        <v>2433</v>
      </c>
      <c r="F1008" s="13" t="s">
        <v>335</v>
      </c>
    </row>
    <row r="1009" spans="1:6" hidden="1" x14ac:dyDescent="0.25">
      <c r="A1009" s="13" t="s">
        <v>78</v>
      </c>
      <c r="B1009" s="13">
        <v>81541</v>
      </c>
      <c r="C1009" s="13" t="s">
        <v>2046</v>
      </c>
      <c r="D1009" s="13" t="s">
        <v>33</v>
      </c>
      <c r="E1009" s="13" t="s">
        <v>2343</v>
      </c>
      <c r="F1009" s="13" t="s">
        <v>335</v>
      </c>
    </row>
    <row r="1010" spans="1:6" hidden="1" x14ac:dyDescent="0.25">
      <c r="A1010" s="13" t="s">
        <v>78</v>
      </c>
      <c r="B1010" s="13">
        <v>12413</v>
      </c>
      <c r="C1010" s="13" t="s">
        <v>51</v>
      </c>
      <c r="D1010" s="13" t="s">
        <v>51</v>
      </c>
      <c r="E1010" s="13" t="s">
        <v>1799</v>
      </c>
      <c r="F1010" s="13" t="s">
        <v>335</v>
      </c>
    </row>
    <row r="1011" spans="1:6" hidden="1" x14ac:dyDescent="0.25">
      <c r="A1011" s="13" t="s">
        <v>21</v>
      </c>
      <c r="B1011" s="13">
        <v>12413</v>
      </c>
      <c r="C1011" s="13" t="s">
        <v>51</v>
      </c>
      <c r="D1011" s="13" t="s">
        <v>51</v>
      </c>
      <c r="E1011" s="13" t="s">
        <v>1799</v>
      </c>
      <c r="F1011" s="13" t="s">
        <v>335</v>
      </c>
    </row>
    <row r="1012" spans="1:6" hidden="1" x14ac:dyDescent="0.25">
      <c r="A1012" s="13" t="s">
        <v>21</v>
      </c>
      <c r="B1012" s="13">
        <v>80574</v>
      </c>
      <c r="C1012" s="13" t="s">
        <v>115</v>
      </c>
      <c r="D1012" s="13" t="s">
        <v>33</v>
      </c>
      <c r="E1012" s="13" t="s">
        <v>225</v>
      </c>
      <c r="F1012" s="13" t="s">
        <v>335</v>
      </c>
    </row>
    <row r="1013" spans="1:6" hidden="1" x14ac:dyDescent="0.25">
      <c r="A1013" s="13" t="s">
        <v>78</v>
      </c>
      <c r="B1013" s="13">
        <v>82768</v>
      </c>
      <c r="C1013" s="13" t="s">
        <v>115</v>
      </c>
      <c r="D1013" s="13" t="s">
        <v>33</v>
      </c>
      <c r="E1013" s="13" t="s">
        <v>225</v>
      </c>
      <c r="F1013" s="13" t="s">
        <v>335</v>
      </c>
    </row>
    <row r="1014" spans="1:6" hidden="1" x14ac:dyDescent="0.25">
      <c r="A1014" s="13" t="s">
        <v>21</v>
      </c>
      <c r="B1014" s="13">
        <v>82258</v>
      </c>
      <c r="C1014" s="13" t="s">
        <v>115</v>
      </c>
      <c r="D1014" s="13" t="s">
        <v>33</v>
      </c>
      <c r="E1014" s="13" t="s">
        <v>225</v>
      </c>
      <c r="F1014" s="13" t="s">
        <v>335</v>
      </c>
    </row>
    <row r="1015" spans="1:6" hidden="1" x14ac:dyDescent="0.25">
      <c r="A1015" s="13" t="s">
        <v>78</v>
      </c>
      <c r="B1015" s="13">
        <v>80212</v>
      </c>
      <c r="C1015" s="13" t="s">
        <v>115</v>
      </c>
      <c r="D1015" s="13" t="s">
        <v>33</v>
      </c>
      <c r="E1015" s="13" t="s">
        <v>225</v>
      </c>
      <c r="F1015" s="13" t="s">
        <v>335</v>
      </c>
    </row>
    <row r="1016" spans="1:6" hidden="1" x14ac:dyDescent="0.25">
      <c r="A1016" s="13" t="s">
        <v>78</v>
      </c>
      <c r="B1016" s="13">
        <v>81966</v>
      </c>
      <c r="C1016" s="13" t="s">
        <v>115</v>
      </c>
      <c r="D1016" s="13" t="s">
        <v>33</v>
      </c>
      <c r="E1016" s="13" t="s">
        <v>225</v>
      </c>
      <c r="F1016" s="13" t="s">
        <v>335</v>
      </c>
    </row>
    <row r="1017" spans="1:6" hidden="1" x14ac:dyDescent="0.25">
      <c r="A1017" s="13" t="s">
        <v>21</v>
      </c>
      <c r="B1017" s="13">
        <v>82426</v>
      </c>
      <c r="C1017" s="13" t="s">
        <v>115</v>
      </c>
      <c r="D1017" s="13" t="s">
        <v>33</v>
      </c>
      <c r="E1017" s="13" t="s">
        <v>225</v>
      </c>
      <c r="F1017" s="13" t="s">
        <v>335</v>
      </c>
    </row>
    <row r="1018" spans="1:6" hidden="1" x14ac:dyDescent="0.25">
      <c r="A1018" s="13" t="s">
        <v>78</v>
      </c>
      <c r="B1018" s="13">
        <v>82639</v>
      </c>
      <c r="C1018" s="13" t="s">
        <v>1921</v>
      </c>
      <c r="D1018" s="13" t="s">
        <v>1921</v>
      </c>
      <c r="E1018" s="13" t="s">
        <v>1962</v>
      </c>
      <c r="F1018" s="13" t="s">
        <v>335</v>
      </c>
    </row>
    <row r="1019" spans="1:6" hidden="1" x14ac:dyDescent="0.25">
      <c r="A1019" s="13" t="s">
        <v>21</v>
      </c>
      <c r="B1019" s="13">
        <v>80834</v>
      </c>
      <c r="C1019" s="13" t="s">
        <v>1925</v>
      </c>
      <c r="D1019" s="13" t="s">
        <v>1925</v>
      </c>
      <c r="E1019" s="13" t="s">
        <v>2298</v>
      </c>
      <c r="F1019" s="13" t="s">
        <v>335</v>
      </c>
    </row>
    <row r="1020" spans="1:6" hidden="1" x14ac:dyDescent="0.25">
      <c r="A1020" s="13" t="s">
        <v>78</v>
      </c>
      <c r="B1020" s="13">
        <v>80834</v>
      </c>
      <c r="C1020" s="13" t="s">
        <v>1925</v>
      </c>
      <c r="D1020" s="13" t="s">
        <v>1925</v>
      </c>
      <c r="E1020" s="13" t="s">
        <v>2298</v>
      </c>
      <c r="F1020" s="13" t="s">
        <v>335</v>
      </c>
    </row>
    <row r="1021" spans="1:6" hidden="1" x14ac:dyDescent="0.25">
      <c r="A1021" s="13" t="s">
        <v>78</v>
      </c>
      <c r="B1021" s="13">
        <v>79460</v>
      </c>
      <c r="C1021" s="13" t="s">
        <v>398</v>
      </c>
      <c r="D1021" s="13" t="s">
        <v>14</v>
      </c>
      <c r="E1021" s="13" t="s">
        <v>2485</v>
      </c>
      <c r="F1021" s="13" t="s">
        <v>335</v>
      </c>
    </row>
    <row r="1022" spans="1:6" hidden="1" x14ac:dyDescent="0.25">
      <c r="A1022" s="13" t="s">
        <v>78</v>
      </c>
      <c r="B1022" s="13">
        <v>80242</v>
      </c>
      <c r="C1022" s="13" t="s">
        <v>117</v>
      </c>
      <c r="D1022" s="13" t="s">
        <v>1949</v>
      </c>
      <c r="E1022" s="13" t="s">
        <v>352</v>
      </c>
      <c r="F1022" s="13" t="s">
        <v>335</v>
      </c>
    </row>
    <row r="1023" spans="1:6" hidden="1" x14ac:dyDescent="0.25">
      <c r="A1023" s="13" t="s">
        <v>78</v>
      </c>
      <c r="B1023" s="13">
        <v>80111</v>
      </c>
      <c r="C1023" s="13" t="s">
        <v>2009</v>
      </c>
      <c r="D1023" s="13" t="s">
        <v>152</v>
      </c>
      <c r="E1023" s="13" t="s">
        <v>153</v>
      </c>
      <c r="F1023" s="13" t="s">
        <v>335</v>
      </c>
    </row>
    <row r="1024" spans="1:6" hidden="1" x14ac:dyDescent="0.25">
      <c r="A1024" s="13" t="s">
        <v>78</v>
      </c>
      <c r="B1024" s="13">
        <v>14378</v>
      </c>
      <c r="C1024" s="13" t="s">
        <v>96</v>
      </c>
      <c r="D1024" s="13" t="s">
        <v>96</v>
      </c>
      <c r="E1024" s="13" t="s">
        <v>205</v>
      </c>
      <c r="F1024" s="13" t="s">
        <v>335</v>
      </c>
    </row>
    <row r="1025" spans="1:6" hidden="1" x14ac:dyDescent="0.25">
      <c r="A1025" s="13" t="s">
        <v>78</v>
      </c>
      <c r="B1025" s="13">
        <v>14479</v>
      </c>
      <c r="C1025" s="13" t="s">
        <v>24</v>
      </c>
      <c r="D1025" s="13" t="s">
        <v>24</v>
      </c>
      <c r="E1025" s="13" t="s">
        <v>1932</v>
      </c>
      <c r="F1025" s="13" t="s">
        <v>335</v>
      </c>
    </row>
    <row r="1026" spans="1:6" hidden="1" x14ac:dyDescent="0.25">
      <c r="A1026" s="13" t="s">
        <v>78</v>
      </c>
      <c r="B1026" s="13">
        <v>82283</v>
      </c>
      <c r="C1026" s="13" t="s">
        <v>2453</v>
      </c>
      <c r="D1026" s="13" t="s">
        <v>2453</v>
      </c>
      <c r="E1026" s="13" t="s">
        <v>2454</v>
      </c>
      <c r="F1026" s="13" t="s">
        <v>335</v>
      </c>
    </row>
    <row r="1027" spans="1:6" hidden="1" x14ac:dyDescent="0.25">
      <c r="A1027" s="13" t="s">
        <v>78</v>
      </c>
      <c r="B1027" s="13">
        <v>80015</v>
      </c>
      <c r="C1027" s="13" t="s">
        <v>24</v>
      </c>
      <c r="D1027" s="13" t="s">
        <v>24</v>
      </c>
      <c r="E1027" s="13" t="s">
        <v>231</v>
      </c>
      <c r="F1027" s="13" t="s">
        <v>335</v>
      </c>
    </row>
    <row r="1028" spans="1:6" hidden="1" x14ac:dyDescent="0.25">
      <c r="A1028" s="13" t="s">
        <v>78</v>
      </c>
      <c r="B1028" s="13">
        <v>14479</v>
      </c>
      <c r="C1028" s="13" t="s">
        <v>24</v>
      </c>
      <c r="D1028" s="13" t="s">
        <v>24</v>
      </c>
      <c r="E1028" s="13" t="s">
        <v>231</v>
      </c>
      <c r="F1028" s="13" t="s">
        <v>335</v>
      </c>
    </row>
    <row r="1029" spans="1:6" hidden="1" x14ac:dyDescent="0.25">
      <c r="A1029" s="13" t="s">
        <v>21</v>
      </c>
      <c r="B1029" s="13">
        <v>83031</v>
      </c>
      <c r="C1029" s="13" t="s">
        <v>2342</v>
      </c>
      <c r="D1029" s="13" t="s">
        <v>267</v>
      </c>
      <c r="E1029" s="13" t="s">
        <v>2545</v>
      </c>
      <c r="F1029" s="13" t="s">
        <v>335</v>
      </c>
    </row>
    <row r="1030" spans="1:6" hidden="1" x14ac:dyDescent="0.25">
      <c r="A1030" s="13" t="s">
        <v>21</v>
      </c>
      <c r="B1030" s="13">
        <v>82901</v>
      </c>
      <c r="C1030" s="13" t="s">
        <v>1909</v>
      </c>
      <c r="D1030" s="13" t="s">
        <v>267</v>
      </c>
      <c r="E1030" s="13" t="s">
        <v>2545</v>
      </c>
      <c r="F1030" s="13" t="s">
        <v>335</v>
      </c>
    </row>
    <row r="1031" spans="1:6" hidden="1" x14ac:dyDescent="0.25">
      <c r="A1031" s="13" t="s">
        <v>78</v>
      </c>
      <c r="B1031" s="13">
        <v>81203</v>
      </c>
      <c r="C1031" s="13" t="s">
        <v>86</v>
      </c>
      <c r="D1031" s="13" t="s">
        <v>1981</v>
      </c>
      <c r="E1031" s="13" t="s">
        <v>193</v>
      </c>
      <c r="F1031" s="13" t="s">
        <v>335</v>
      </c>
    </row>
    <row r="1032" spans="1:6" hidden="1" x14ac:dyDescent="0.25">
      <c r="A1032" s="13" t="s">
        <v>78</v>
      </c>
      <c r="B1032" s="13">
        <v>79552</v>
      </c>
      <c r="C1032" s="13" t="s">
        <v>86</v>
      </c>
      <c r="D1032" s="13" t="s">
        <v>1981</v>
      </c>
      <c r="E1032" s="13" t="s">
        <v>193</v>
      </c>
      <c r="F1032" s="13" t="s">
        <v>335</v>
      </c>
    </row>
    <row r="1033" spans="1:6" hidden="1" x14ac:dyDescent="0.25">
      <c r="A1033" s="13" t="s">
        <v>78</v>
      </c>
      <c r="B1033" s="13">
        <v>14479</v>
      </c>
      <c r="C1033" s="13" t="s">
        <v>24</v>
      </c>
      <c r="D1033" s="13" t="s">
        <v>24</v>
      </c>
      <c r="E1033" s="13" t="s">
        <v>2155</v>
      </c>
      <c r="F1033" s="13" t="s">
        <v>335</v>
      </c>
    </row>
    <row r="1034" spans="1:6" hidden="1" x14ac:dyDescent="0.25">
      <c r="A1034" s="13" t="s">
        <v>78</v>
      </c>
      <c r="B1034" s="13">
        <v>14479</v>
      </c>
      <c r="C1034" s="13" t="s">
        <v>24</v>
      </c>
      <c r="D1034" s="13" t="s">
        <v>24</v>
      </c>
      <c r="E1034" s="13" t="s">
        <v>2151</v>
      </c>
      <c r="F1034" s="13" t="s">
        <v>335</v>
      </c>
    </row>
    <row r="1035" spans="1:6" hidden="1" x14ac:dyDescent="0.25">
      <c r="A1035" s="13" t="s">
        <v>78</v>
      </c>
      <c r="B1035" s="13">
        <v>81259</v>
      </c>
      <c r="C1035" s="13" t="s">
        <v>320</v>
      </c>
      <c r="D1035" s="13" t="s">
        <v>109</v>
      </c>
      <c r="E1035" s="13" t="s">
        <v>681</v>
      </c>
      <c r="F1035" s="13" t="s">
        <v>335</v>
      </c>
    </row>
    <row r="1036" spans="1:6" hidden="1" x14ac:dyDescent="0.25">
      <c r="A1036" s="13" t="s">
        <v>78</v>
      </c>
      <c r="B1036" s="13">
        <v>79956</v>
      </c>
      <c r="C1036" s="13" t="s">
        <v>17</v>
      </c>
      <c r="D1036" s="13" t="s">
        <v>17</v>
      </c>
      <c r="E1036" s="13" t="s">
        <v>249</v>
      </c>
      <c r="F1036" s="13" t="s">
        <v>335</v>
      </c>
    </row>
    <row r="1037" spans="1:6" hidden="1" x14ac:dyDescent="0.25">
      <c r="A1037" s="13" t="s">
        <v>78</v>
      </c>
      <c r="B1037" s="13">
        <v>80828</v>
      </c>
      <c r="C1037" s="13" t="s">
        <v>137</v>
      </c>
      <c r="D1037" s="13" t="s">
        <v>137</v>
      </c>
      <c r="E1037" s="13" t="s">
        <v>1954</v>
      </c>
      <c r="F1037" s="13" t="s">
        <v>335</v>
      </c>
    </row>
    <row r="1038" spans="1:6" hidden="1" x14ac:dyDescent="0.25">
      <c r="A1038" s="13" t="s">
        <v>78</v>
      </c>
      <c r="B1038" s="13">
        <v>80958</v>
      </c>
      <c r="C1038" s="13" t="s">
        <v>1856</v>
      </c>
      <c r="D1038" s="13" t="s">
        <v>1977</v>
      </c>
      <c r="E1038" s="13" t="s">
        <v>176</v>
      </c>
      <c r="F1038" s="13" t="s">
        <v>335</v>
      </c>
    </row>
    <row r="1039" spans="1:6" hidden="1" x14ac:dyDescent="0.25">
      <c r="A1039" s="13" t="s">
        <v>78</v>
      </c>
      <c r="B1039" s="13">
        <v>82708</v>
      </c>
      <c r="C1039" s="13" t="s">
        <v>55</v>
      </c>
      <c r="D1039" s="13" t="s">
        <v>55</v>
      </c>
      <c r="E1039" s="13" t="s">
        <v>2364</v>
      </c>
      <c r="F1039" s="13" t="s">
        <v>335</v>
      </c>
    </row>
    <row r="1040" spans="1:6" hidden="1" x14ac:dyDescent="0.25">
      <c r="A1040" s="13" t="s">
        <v>78</v>
      </c>
      <c r="B1040" s="13">
        <v>15781</v>
      </c>
      <c r="C1040" s="13" t="s">
        <v>12</v>
      </c>
      <c r="D1040" s="13" t="s">
        <v>12</v>
      </c>
      <c r="E1040" s="13" t="s">
        <v>2104</v>
      </c>
      <c r="F1040" s="13" t="s">
        <v>335</v>
      </c>
    </row>
    <row r="1041" spans="1:6" hidden="1" x14ac:dyDescent="0.25">
      <c r="A1041" s="13" t="s">
        <v>78</v>
      </c>
      <c r="B1041" s="13">
        <v>83067</v>
      </c>
      <c r="C1041" s="13" t="s">
        <v>2420</v>
      </c>
      <c r="D1041" s="13" t="s">
        <v>2421</v>
      </c>
      <c r="E1041" s="13" t="s">
        <v>2505</v>
      </c>
      <c r="F1041" s="13" t="s">
        <v>335</v>
      </c>
    </row>
    <row r="1042" spans="1:6" hidden="1" x14ac:dyDescent="0.25">
      <c r="A1042" s="13" t="s">
        <v>78</v>
      </c>
      <c r="B1042" s="13">
        <v>80828</v>
      </c>
      <c r="C1042" s="13" t="s">
        <v>137</v>
      </c>
      <c r="D1042" s="13" t="s">
        <v>137</v>
      </c>
      <c r="E1042" s="13" t="s">
        <v>253</v>
      </c>
      <c r="F1042" s="13" t="s">
        <v>335</v>
      </c>
    </row>
    <row r="1043" spans="1:6" hidden="1" x14ac:dyDescent="0.25">
      <c r="A1043" s="13" t="s">
        <v>78</v>
      </c>
      <c r="B1043" s="13">
        <v>83577</v>
      </c>
      <c r="C1043" s="13" t="s">
        <v>88</v>
      </c>
      <c r="D1043" s="13" t="s">
        <v>1896</v>
      </c>
      <c r="E1043" s="13" t="s">
        <v>198</v>
      </c>
      <c r="F1043" s="13" t="s">
        <v>335</v>
      </c>
    </row>
    <row r="1044" spans="1:6" hidden="1" x14ac:dyDescent="0.25">
      <c r="A1044" s="13" t="s">
        <v>78</v>
      </c>
      <c r="B1044" s="13">
        <v>83578</v>
      </c>
      <c r="C1044" s="13" t="s">
        <v>88</v>
      </c>
      <c r="D1044" s="13" t="s">
        <v>1896</v>
      </c>
      <c r="E1044" s="13" t="s">
        <v>198</v>
      </c>
      <c r="F1044" s="13" t="s">
        <v>335</v>
      </c>
    </row>
    <row r="1045" spans="1:6" hidden="1" x14ac:dyDescent="0.25">
      <c r="A1045" s="13" t="s">
        <v>78</v>
      </c>
      <c r="B1045" s="13">
        <v>82968</v>
      </c>
      <c r="C1045" s="13" t="s">
        <v>50</v>
      </c>
      <c r="D1045" s="13" t="s">
        <v>297</v>
      </c>
      <c r="E1045" s="13" t="s">
        <v>2304</v>
      </c>
      <c r="F1045" s="13" t="s">
        <v>335</v>
      </c>
    </row>
    <row r="1046" spans="1:6" hidden="1" x14ac:dyDescent="0.25">
      <c r="A1046" s="13" t="s">
        <v>78</v>
      </c>
      <c r="B1046" s="13">
        <v>80510</v>
      </c>
      <c r="C1046" s="13" t="s">
        <v>1856</v>
      </c>
      <c r="D1046" s="13" t="s">
        <v>1871</v>
      </c>
      <c r="E1046" s="13" t="s">
        <v>2271</v>
      </c>
      <c r="F1046" s="13" t="s">
        <v>335</v>
      </c>
    </row>
    <row r="1047" spans="1:6" hidden="1" x14ac:dyDescent="0.25">
      <c r="A1047" s="13" t="s">
        <v>78</v>
      </c>
      <c r="B1047" s="13">
        <v>81174</v>
      </c>
      <c r="C1047" s="13" t="s">
        <v>2012</v>
      </c>
      <c r="D1047" s="13" t="s">
        <v>1862</v>
      </c>
      <c r="E1047" s="13" t="s">
        <v>2013</v>
      </c>
      <c r="F1047" s="13" t="s">
        <v>335</v>
      </c>
    </row>
    <row r="1048" spans="1:6" hidden="1" x14ac:dyDescent="0.25">
      <c r="A1048" s="13" t="s">
        <v>78</v>
      </c>
      <c r="B1048" s="13">
        <v>81175</v>
      </c>
      <c r="C1048" s="13" t="s">
        <v>1861</v>
      </c>
      <c r="D1048" s="13" t="s">
        <v>1862</v>
      </c>
      <c r="E1048" s="13" t="s">
        <v>1997</v>
      </c>
      <c r="F1048" s="13" t="s">
        <v>335</v>
      </c>
    </row>
    <row r="1049" spans="1:6" hidden="1" x14ac:dyDescent="0.25">
      <c r="A1049" s="13" t="s">
        <v>78</v>
      </c>
      <c r="B1049" s="13">
        <v>79476</v>
      </c>
      <c r="C1049" s="13" t="s">
        <v>25</v>
      </c>
      <c r="D1049" s="13" t="s">
        <v>25</v>
      </c>
      <c r="E1049" s="13" t="s">
        <v>281</v>
      </c>
      <c r="F1049" s="13" t="s">
        <v>335</v>
      </c>
    </row>
    <row r="1050" spans="1:6" hidden="1" x14ac:dyDescent="0.25">
      <c r="A1050" s="13" t="s">
        <v>78</v>
      </c>
      <c r="B1050" s="13">
        <v>79475</v>
      </c>
      <c r="C1050" s="13" t="s">
        <v>25</v>
      </c>
      <c r="D1050" s="13" t="s">
        <v>25</v>
      </c>
      <c r="E1050" s="13" t="s">
        <v>281</v>
      </c>
      <c r="F1050" s="13" t="s">
        <v>335</v>
      </c>
    </row>
    <row r="1051" spans="1:6" hidden="1" x14ac:dyDescent="0.25">
      <c r="A1051" s="13" t="s">
        <v>78</v>
      </c>
      <c r="B1051" s="13">
        <v>12416</v>
      </c>
      <c r="C1051" s="13" t="s">
        <v>53</v>
      </c>
      <c r="D1051" s="13" t="s">
        <v>53</v>
      </c>
      <c r="E1051" s="13" t="s">
        <v>2492</v>
      </c>
      <c r="F1051" s="13" t="s">
        <v>335</v>
      </c>
    </row>
    <row r="1052" spans="1:6" hidden="1" x14ac:dyDescent="0.25">
      <c r="A1052" s="13" t="s">
        <v>78</v>
      </c>
      <c r="B1052" s="13">
        <v>81643</v>
      </c>
      <c r="C1052" s="13" t="s">
        <v>93</v>
      </c>
      <c r="D1052" s="13" t="s">
        <v>1903</v>
      </c>
      <c r="E1052" s="13" t="s">
        <v>2075</v>
      </c>
      <c r="F1052" s="13" t="s">
        <v>335</v>
      </c>
    </row>
    <row r="1053" spans="1:6" hidden="1" x14ac:dyDescent="0.25">
      <c r="A1053" s="13" t="s">
        <v>78</v>
      </c>
      <c r="B1053" s="13">
        <v>83108</v>
      </c>
      <c r="C1053" s="13" t="s">
        <v>1893</v>
      </c>
      <c r="D1053" s="13" t="s">
        <v>1893</v>
      </c>
      <c r="E1053" s="13" t="s">
        <v>2075</v>
      </c>
      <c r="F1053" s="13" t="s">
        <v>335</v>
      </c>
    </row>
    <row r="1054" spans="1:6" hidden="1" x14ac:dyDescent="0.25">
      <c r="A1054" s="13" t="s">
        <v>78</v>
      </c>
      <c r="B1054" s="13">
        <v>81701</v>
      </c>
      <c r="C1054" s="13" t="s">
        <v>2131</v>
      </c>
      <c r="D1054" s="13" t="s">
        <v>104</v>
      </c>
      <c r="E1054" s="13" t="s">
        <v>1851</v>
      </c>
      <c r="F1054" s="13" t="s">
        <v>335</v>
      </c>
    </row>
    <row r="1055" spans="1:6" hidden="1" x14ac:dyDescent="0.25">
      <c r="A1055" s="13" t="s">
        <v>21</v>
      </c>
      <c r="B1055" s="13">
        <v>123956</v>
      </c>
      <c r="C1055" s="13" t="s">
        <v>2131</v>
      </c>
      <c r="D1055" s="13" t="s">
        <v>104</v>
      </c>
      <c r="E1055" s="13" t="s">
        <v>1851</v>
      </c>
      <c r="F1055" s="13" t="s">
        <v>335</v>
      </c>
    </row>
    <row r="1056" spans="1:6" hidden="1" x14ac:dyDescent="0.25">
      <c r="A1056" s="13" t="s">
        <v>78</v>
      </c>
      <c r="B1056" s="13">
        <v>81702</v>
      </c>
      <c r="C1056" s="13" t="s">
        <v>1844</v>
      </c>
      <c r="D1056" s="13" t="s">
        <v>104</v>
      </c>
      <c r="E1056" s="13" t="s">
        <v>1851</v>
      </c>
      <c r="F1056" s="13" t="s">
        <v>335</v>
      </c>
    </row>
    <row r="1057" spans="1:6" hidden="1" x14ac:dyDescent="0.25">
      <c r="A1057" s="13" t="s">
        <v>21</v>
      </c>
      <c r="B1057" s="13">
        <v>123839</v>
      </c>
      <c r="C1057" s="13" t="s">
        <v>1844</v>
      </c>
      <c r="D1057" s="13" t="s">
        <v>104</v>
      </c>
      <c r="E1057" s="13" t="s">
        <v>1851</v>
      </c>
      <c r="F1057" s="13" t="s">
        <v>335</v>
      </c>
    </row>
    <row r="1058" spans="1:6" hidden="1" x14ac:dyDescent="0.25">
      <c r="A1058" s="13" t="s">
        <v>78</v>
      </c>
      <c r="B1058" s="13">
        <v>81109</v>
      </c>
      <c r="C1058" s="13" t="s">
        <v>1884</v>
      </c>
      <c r="D1058" s="13" t="s">
        <v>1885</v>
      </c>
      <c r="E1058" s="13" t="s">
        <v>289</v>
      </c>
      <c r="F1058" s="13" t="s">
        <v>335</v>
      </c>
    </row>
    <row r="1059" spans="1:6" hidden="1" x14ac:dyDescent="0.25">
      <c r="A1059" s="13" t="s">
        <v>78</v>
      </c>
      <c r="B1059" s="13">
        <v>12413</v>
      </c>
      <c r="C1059" s="13" t="s">
        <v>51</v>
      </c>
      <c r="D1059" s="13" t="s">
        <v>51</v>
      </c>
      <c r="E1059" s="13" t="s">
        <v>618</v>
      </c>
      <c r="F1059" s="13" t="s">
        <v>335</v>
      </c>
    </row>
    <row r="1060" spans="1:6" hidden="1" x14ac:dyDescent="0.25">
      <c r="A1060" s="13" t="s">
        <v>78</v>
      </c>
      <c r="B1060" s="13">
        <v>80648</v>
      </c>
      <c r="C1060" s="13" t="s">
        <v>40</v>
      </c>
      <c r="D1060" s="13" t="s">
        <v>40</v>
      </c>
      <c r="E1060" s="13" t="s">
        <v>158</v>
      </c>
      <c r="F1060" s="13" t="s">
        <v>335</v>
      </c>
    </row>
    <row r="1061" spans="1:6" hidden="1" x14ac:dyDescent="0.25">
      <c r="A1061" s="13" t="s">
        <v>78</v>
      </c>
      <c r="B1061" s="13">
        <v>16705</v>
      </c>
      <c r="C1061" s="13" t="s">
        <v>36</v>
      </c>
      <c r="D1061" s="13" t="s">
        <v>36</v>
      </c>
      <c r="E1061" s="13" t="s">
        <v>2410</v>
      </c>
      <c r="F1061" s="13" t="s">
        <v>335</v>
      </c>
    </row>
    <row r="1062" spans="1:6" hidden="1" x14ac:dyDescent="0.25">
      <c r="A1062" s="13" t="s">
        <v>78</v>
      </c>
      <c r="B1062" s="13">
        <v>79372</v>
      </c>
      <c r="C1062" s="13" t="s">
        <v>1810</v>
      </c>
      <c r="D1062" s="13" t="s">
        <v>1811</v>
      </c>
      <c r="E1062" s="13" t="s">
        <v>1812</v>
      </c>
      <c r="F1062" s="13" t="s">
        <v>335</v>
      </c>
    </row>
    <row r="1063" spans="1:6" hidden="1" x14ac:dyDescent="0.25">
      <c r="A1063" s="13" t="s">
        <v>78</v>
      </c>
      <c r="B1063" s="13">
        <v>80749</v>
      </c>
      <c r="C1063" s="13" t="s">
        <v>343</v>
      </c>
      <c r="D1063" s="13" t="s">
        <v>1886</v>
      </c>
      <c r="E1063" s="13" t="s">
        <v>2205</v>
      </c>
      <c r="F1063" s="13" t="s">
        <v>335</v>
      </c>
    </row>
    <row r="1064" spans="1:6" hidden="1" x14ac:dyDescent="0.25">
      <c r="A1064" s="13" t="s">
        <v>78</v>
      </c>
      <c r="B1064" s="13">
        <v>81702</v>
      </c>
      <c r="C1064" s="13" t="s">
        <v>1844</v>
      </c>
      <c r="D1064" s="13" t="s">
        <v>104</v>
      </c>
      <c r="E1064" s="13" t="s">
        <v>2290</v>
      </c>
      <c r="F1064" s="13" t="s">
        <v>335</v>
      </c>
    </row>
    <row r="1065" spans="1:6" hidden="1" x14ac:dyDescent="0.25">
      <c r="A1065" s="13" t="s">
        <v>78</v>
      </c>
      <c r="B1065" s="13">
        <v>14416</v>
      </c>
      <c r="C1065" s="13" t="s">
        <v>33</v>
      </c>
      <c r="D1065" s="13" t="s">
        <v>33</v>
      </c>
      <c r="E1065" s="13" t="s">
        <v>1816</v>
      </c>
      <c r="F1065" s="13" t="s">
        <v>335</v>
      </c>
    </row>
    <row r="1066" spans="1:6" hidden="1" x14ac:dyDescent="0.25">
      <c r="A1066" s="13" t="s">
        <v>78</v>
      </c>
      <c r="B1066" s="13">
        <v>81771</v>
      </c>
      <c r="C1066" s="13" t="s">
        <v>356</v>
      </c>
      <c r="D1066" s="13" t="s">
        <v>33</v>
      </c>
      <c r="E1066" s="13" t="s">
        <v>1816</v>
      </c>
      <c r="F1066" s="13" t="s">
        <v>335</v>
      </c>
    </row>
    <row r="1067" spans="1:6" hidden="1" x14ac:dyDescent="0.25">
      <c r="A1067" s="13" t="s">
        <v>78</v>
      </c>
      <c r="B1067" s="13">
        <v>80509</v>
      </c>
      <c r="C1067" s="13" t="s">
        <v>1856</v>
      </c>
      <c r="D1067" s="13" t="s">
        <v>2370</v>
      </c>
      <c r="E1067" s="13" t="s">
        <v>2371</v>
      </c>
      <c r="F1067" s="13" t="s">
        <v>335</v>
      </c>
    </row>
    <row r="1068" spans="1:6" hidden="1" x14ac:dyDescent="0.25">
      <c r="A1068" s="13" t="s">
        <v>78</v>
      </c>
      <c r="B1068" s="13">
        <v>80828</v>
      </c>
      <c r="C1068" s="13" t="s">
        <v>137</v>
      </c>
      <c r="D1068" s="13" t="s">
        <v>137</v>
      </c>
      <c r="E1068" s="13" t="s">
        <v>2111</v>
      </c>
      <c r="F1068" s="13" t="s">
        <v>335</v>
      </c>
    </row>
    <row r="1069" spans="1:6" hidden="1" x14ac:dyDescent="0.25">
      <c r="A1069" s="13" t="s">
        <v>78</v>
      </c>
      <c r="B1069" s="13">
        <v>80828</v>
      </c>
      <c r="C1069" s="13" t="s">
        <v>137</v>
      </c>
      <c r="D1069" s="13" t="s">
        <v>137</v>
      </c>
      <c r="E1069" s="13" t="s">
        <v>1838</v>
      </c>
      <c r="F1069" s="13" t="s">
        <v>335</v>
      </c>
    </row>
    <row r="1070" spans="1:6" hidden="1" x14ac:dyDescent="0.25">
      <c r="A1070" s="13" t="s">
        <v>78</v>
      </c>
      <c r="B1070" s="13">
        <v>79397</v>
      </c>
      <c r="C1070" s="13" t="s">
        <v>80</v>
      </c>
      <c r="D1070" s="13" t="s">
        <v>94</v>
      </c>
      <c r="E1070" s="13" t="s">
        <v>2396</v>
      </c>
      <c r="F1070" s="13" t="s">
        <v>335</v>
      </c>
    </row>
    <row r="1071" spans="1:6" hidden="1" x14ac:dyDescent="0.25">
      <c r="A1071" s="13" t="s">
        <v>78</v>
      </c>
      <c r="B1071" s="13">
        <v>81259</v>
      </c>
      <c r="C1071" s="13" t="s">
        <v>320</v>
      </c>
      <c r="D1071" s="13" t="s">
        <v>109</v>
      </c>
      <c r="E1071" s="13" t="s">
        <v>2200</v>
      </c>
      <c r="F1071" s="13" t="s">
        <v>335</v>
      </c>
    </row>
    <row r="1072" spans="1:6" hidden="1" x14ac:dyDescent="0.25">
      <c r="A1072" s="13" t="s">
        <v>78</v>
      </c>
      <c r="B1072" s="13">
        <v>82866</v>
      </c>
      <c r="C1072" s="13" t="s">
        <v>2309</v>
      </c>
      <c r="D1072" s="13" t="s">
        <v>2309</v>
      </c>
      <c r="E1072" s="13" t="s">
        <v>2310</v>
      </c>
      <c r="F1072" s="13" t="s">
        <v>335</v>
      </c>
    </row>
    <row r="1073" spans="1:6" hidden="1" x14ac:dyDescent="0.25">
      <c r="A1073" s="13" t="s">
        <v>21</v>
      </c>
      <c r="B1073" s="13">
        <v>82866</v>
      </c>
      <c r="C1073" s="13" t="s">
        <v>2309</v>
      </c>
      <c r="D1073" s="13" t="s">
        <v>2309</v>
      </c>
      <c r="E1073" s="13" t="s">
        <v>2310</v>
      </c>
      <c r="F1073" s="13" t="s">
        <v>335</v>
      </c>
    </row>
    <row r="1074" spans="1:6" hidden="1" x14ac:dyDescent="0.25">
      <c r="A1074" s="13" t="s">
        <v>78</v>
      </c>
      <c r="B1074" s="13">
        <v>81967</v>
      </c>
      <c r="C1074" s="13" t="s">
        <v>30</v>
      </c>
      <c r="D1074" s="13" t="s">
        <v>28</v>
      </c>
      <c r="E1074" s="13" t="s">
        <v>2330</v>
      </c>
      <c r="F1074" s="13" t="s">
        <v>335</v>
      </c>
    </row>
    <row r="1075" spans="1:6" hidden="1" x14ac:dyDescent="0.25">
      <c r="A1075" s="13" t="s">
        <v>78</v>
      </c>
      <c r="B1075" s="13">
        <v>80749</v>
      </c>
      <c r="C1075" s="13" t="s">
        <v>343</v>
      </c>
      <c r="D1075" s="13" t="s">
        <v>1886</v>
      </c>
      <c r="E1075" s="13" t="s">
        <v>2003</v>
      </c>
      <c r="F1075" s="13" t="s">
        <v>335</v>
      </c>
    </row>
    <row r="1076" spans="1:6" hidden="1" x14ac:dyDescent="0.25">
      <c r="A1076" s="13" t="s">
        <v>78</v>
      </c>
      <c r="B1076" s="13">
        <v>80240</v>
      </c>
      <c r="C1076" s="13" t="s">
        <v>73</v>
      </c>
      <c r="D1076" s="13" t="s">
        <v>73</v>
      </c>
      <c r="E1076" s="13" t="s">
        <v>2018</v>
      </c>
      <c r="F1076" s="13" t="s">
        <v>335</v>
      </c>
    </row>
    <row r="1077" spans="1:6" hidden="1" x14ac:dyDescent="0.25">
      <c r="A1077" s="13" t="s">
        <v>78</v>
      </c>
      <c r="B1077" s="13">
        <v>80041</v>
      </c>
      <c r="C1077" s="13" t="s">
        <v>68</v>
      </c>
      <c r="D1077" s="13" t="s">
        <v>68</v>
      </c>
      <c r="E1077" s="13" t="s">
        <v>403</v>
      </c>
      <c r="F1077" s="13" t="s">
        <v>335</v>
      </c>
    </row>
    <row r="1078" spans="1:6" hidden="1" x14ac:dyDescent="0.25">
      <c r="A1078" s="13" t="s">
        <v>21</v>
      </c>
      <c r="B1078" s="13">
        <v>81710</v>
      </c>
      <c r="C1078" s="13" t="s">
        <v>375</v>
      </c>
      <c r="D1078" s="13" t="s">
        <v>375</v>
      </c>
      <c r="E1078" s="13" t="s">
        <v>2558</v>
      </c>
      <c r="F1078" s="13" t="s">
        <v>335</v>
      </c>
    </row>
    <row r="1079" spans="1:6" hidden="1" x14ac:dyDescent="0.25">
      <c r="A1079" s="13" t="s">
        <v>21</v>
      </c>
      <c r="B1079" s="13">
        <v>82748</v>
      </c>
      <c r="C1079" s="13" t="s">
        <v>2175</v>
      </c>
      <c r="D1079" s="13" t="s">
        <v>2175</v>
      </c>
      <c r="E1079" s="13" t="s">
        <v>2546</v>
      </c>
      <c r="F1079" s="13" t="s">
        <v>335</v>
      </c>
    </row>
    <row r="1080" spans="1:6" hidden="1" x14ac:dyDescent="0.25">
      <c r="A1080" s="13" t="s">
        <v>78</v>
      </c>
      <c r="B1080" s="13">
        <v>80769</v>
      </c>
      <c r="C1080" s="13" t="s">
        <v>11</v>
      </c>
      <c r="D1080" s="13" t="s">
        <v>1886</v>
      </c>
      <c r="E1080" s="13" t="s">
        <v>248</v>
      </c>
      <c r="F1080" s="13" t="s">
        <v>335</v>
      </c>
    </row>
    <row r="1081" spans="1:6" hidden="1" x14ac:dyDescent="0.25">
      <c r="A1081" s="13" t="s">
        <v>78</v>
      </c>
      <c r="B1081" s="13">
        <v>125239</v>
      </c>
      <c r="C1081" s="13" t="s">
        <v>1926</v>
      </c>
      <c r="D1081" s="13" t="s">
        <v>1886</v>
      </c>
      <c r="E1081" s="13" t="s">
        <v>248</v>
      </c>
      <c r="F1081" s="13" t="s">
        <v>335</v>
      </c>
    </row>
    <row r="1082" spans="1:6" hidden="1" x14ac:dyDescent="0.25">
      <c r="A1082" s="13" t="s">
        <v>78</v>
      </c>
      <c r="B1082" s="13">
        <v>80749</v>
      </c>
      <c r="C1082" s="13" t="s">
        <v>343</v>
      </c>
      <c r="D1082" s="13" t="s">
        <v>1886</v>
      </c>
      <c r="E1082" s="13" t="s">
        <v>248</v>
      </c>
      <c r="F1082" s="13" t="s">
        <v>335</v>
      </c>
    </row>
    <row r="1083" spans="1:6" hidden="1" x14ac:dyDescent="0.25">
      <c r="A1083" s="13" t="s">
        <v>21</v>
      </c>
      <c r="B1083" s="13">
        <v>80749</v>
      </c>
      <c r="C1083" s="13" t="s">
        <v>343</v>
      </c>
      <c r="D1083" s="13" t="s">
        <v>1886</v>
      </c>
      <c r="E1083" s="13" t="s">
        <v>248</v>
      </c>
      <c r="F1083" s="13" t="s">
        <v>335</v>
      </c>
    </row>
    <row r="1084" spans="1:6" hidden="1" x14ac:dyDescent="0.25">
      <c r="A1084" s="13" t="s">
        <v>78</v>
      </c>
      <c r="B1084" s="13">
        <v>12413</v>
      </c>
      <c r="C1084" s="13" t="s">
        <v>51</v>
      </c>
      <c r="D1084" s="13" t="s">
        <v>51</v>
      </c>
      <c r="E1084" s="13" t="s">
        <v>2543</v>
      </c>
      <c r="F1084" s="13" t="s">
        <v>335</v>
      </c>
    </row>
    <row r="1085" spans="1:6" hidden="1" x14ac:dyDescent="0.25">
      <c r="A1085" s="13" t="s">
        <v>21</v>
      </c>
      <c r="B1085" s="13">
        <v>12413</v>
      </c>
      <c r="C1085" s="13" t="s">
        <v>51</v>
      </c>
      <c r="D1085" s="13" t="s">
        <v>51</v>
      </c>
      <c r="E1085" s="13" t="s">
        <v>2543</v>
      </c>
      <c r="F1085" s="13" t="s">
        <v>335</v>
      </c>
    </row>
    <row r="1086" spans="1:6" hidden="1" x14ac:dyDescent="0.25">
      <c r="A1086" s="13" t="s">
        <v>78</v>
      </c>
      <c r="B1086" s="13">
        <v>81199</v>
      </c>
      <c r="C1086" s="13" t="s">
        <v>300</v>
      </c>
      <c r="D1086" s="13" t="s">
        <v>300</v>
      </c>
      <c r="E1086" s="13" t="s">
        <v>2132</v>
      </c>
      <c r="F1086" s="13" t="s">
        <v>335</v>
      </c>
    </row>
    <row r="1087" spans="1:6" hidden="1" x14ac:dyDescent="0.25">
      <c r="A1087" s="13" t="s">
        <v>78</v>
      </c>
      <c r="B1087" s="13">
        <v>82010</v>
      </c>
      <c r="C1087" s="13" t="s">
        <v>1856</v>
      </c>
      <c r="D1087" s="13" t="s">
        <v>1857</v>
      </c>
      <c r="E1087" s="13" t="s">
        <v>1858</v>
      </c>
      <c r="F1087" s="13" t="s">
        <v>335</v>
      </c>
    </row>
    <row r="1088" spans="1:6" hidden="1" x14ac:dyDescent="0.25">
      <c r="A1088" s="13" t="s">
        <v>78</v>
      </c>
      <c r="B1088" s="13">
        <v>79791</v>
      </c>
      <c r="C1088" s="13" t="s">
        <v>15</v>
      </c>
      <c r="D1088" s="13" t="s">
        <v>109</v>
      </c>
      <c r="E1088" s="13" t="s">
        <v>273</v>
      </c>
      <c r="F1088" s="13" t="s">
        <v>335</v>
      </c>
    </row>
    <row r="1089" spans="1:6" hidden="1" x14ac:dyDescent="0.25">
      <c r="A1089" s="13" t="s">
        <v>78</v>
      </c>
      <c r="B1089" s="13">
        <v>82963</v>
      </c>
      <c r="C1089" s="13" t="s">
        <v>82</v>
      </c>
      <c r="D1089" s="13" t="s">
        <v>82</v>
      </c>
      <c r="E1089" s="13" t="s">
        <v>1496</v>
      </c>
      <c r="F1089" s="13" t="s">
        <v>335</v>
      </c>
    </row>
    <row r="1090" spans="1:6" hidden="1" x14ac:dyDescent="0.25">
      <c r="A1090" s="13" t="s">
        <v>21</v>
      </c>
      <c r="B1090" s="13">
        <v>81214</v>
      </c>
      <c r="C1090" s="13" t="s">
        <v>36</v>
      </c>
      <c r="D1090" s="13" t="s">
        <v>36</v>
      </c>
      <c r="E1090" s="13" t="s">
        <v>2449</v>
      </c>
      <c r="F1090" s="13" t="s">
        <v>335</v>
      </c>
    </row>
    <row r="1091" spans="1:6" hidden="1" x14ac:dyDescent="0.25">
      <c r="A1091" s="13" t="s">
        <v>21</v>
      </c>
      <c r="B1091" s="13">
        <v>82748</v>
      </c>
      <c r="C1091" s="13" t="s">
        <v>2175</v>
      </c>
      <c r="D1091" s="13" t="s">
        <v>2175</v>
      </c>
      <c r="E1091" s="13" t="s">
        <v>2176</v>
      </c>
      <c r="F1091" s="13" t="s">
        <v>335</v>
      </c>
    </row>
    <row r="1092" spans="1:6" hidden="1" x14ac:dyDescent="0.25">
      <c r="A1092" s="13" t="s">
        <v>78</v>
      </c>
      <c r="B1092" s="13">
        <v>82467</v>
      </c>
      <c r="C1092" s="13" t="s">
        <v>36</v>
      </c>
      <c r="D1092" s="13" t="s">
        <v>1948</v>
      </c>
      <c r="E1092" s="13" t="s">
        <v>3143</v>
      </c>
      <c r="F1092" s="13" t="s">
        <v>335</v>
      </c>
    </row>
    <row r="1093" spans="1:6" hidden="1" x14ac:dyDescent="0.25">
      <c r="A1093" s="13" t="s">
        <v>78</v>
      </c>
      <c r="B1093" s="13">
        <v>80375</v>
      </c>
      <c r="C1093" s="13" t="s">
        <v>398</v>
      </c>
      <c r="D1093" s="13" t="s">
        <v>14</v>
      </c>
      <c r="E1093" s="13" t="s">
        <v>2344</v>
      </c>
      <c r="F1093" s="13" t="s">
        <v>335</v>
      </c>
    </row>
    <row r="1094" spans="1:6" hidden="1" x14ac:dyDescent="0.25">
      <c r="A1094" s="13" t="s">
        <v>78</v>
      </c>
      <c r="B1094" s="13">
        <v>80240</v>
      </c>
      <c r="C1094" s="13" t="s">
        <v>73</v>
      </c>
      <c r="D1094" s="13" t="s">
        <v>73</v>
      </c>
      <c r="E1094" s="13" t="s">
        <v>2516</v>
      </c>
      <c r="F1094" s="13" t="s">
        <v>335</v>
      </c>
    </row>
    <row r="1095" spans="1:6" hidden="1" x14ac:dyDescent="0.25">
      <c r="A1095" s="13" t="s">
        <v>78</v>
      </c>
      <c r="B1095" s="13">
        <v>15471</v>
      </c>
      <c r="C1095" s="13" t="s">
        <v>27</v>
      </c>
      <c r="D1095" s="13" t="s">
        <v>27</v>
      </c>
      <c r="E1095" s="13" t="s">
        <v>431</v>
      </c>
      <c r="F1095" s="13" t="s">
        <v>335</v>
      </c>
    </row>
    <row r="1096" spans="1:6" hidden="1" x14ac:dyDescent="0.25">
      <c r="A1096" s="13" t="s">
        <v>78</v>
      </c>
      <c r="B1096" s="13">
        <v>144548</v>
      </c>
      <c r="C1096" s="13" t="s">
        <v>338</v>
      </c>
      <c r="D1096" s="13" t="s">
        <v>338</v>
      </c>
      <c r="E1096" s="13" t="s">
        <v>237</v>
      </c>
      <c r="F1096" s="13" t="s">
        <v>335</v>
      </c>
    </row>
    <row r="1097" spans="1:6" hidden="1" x14ac:dyDescent="0.25">
      <c r="A1097" s="13" t="s">
        <v>78</v>
      </c>
      <c r="B1097" s="13">
        <v>80375</v>
      </c>
      <c r="C1097" s="13" t="s">
        <v>398</v>
      </c>
      <c r="D1097" s="13" t="s">
        <v>14</v>
      </c>
      <c r="E1097" s="13" t="s">
        <v>2105</v>
      </c>
      <c r="F1097" s="13" t="s">
        <v>335</v>
      </c>
    </row>
    <row r="1098" spans="1:6" hidden="1" x14ac:dyDescent="0.25">
      <c r="A1098" s="13" t="s">
        <v>78</v>
      </c>
      <c r="B1098" s="13">
        <v>80377</v>
      </c>
      <c r="C1098" s="13" t="s">
        <v>54</v>
      </c>
      <c r="D1098" s="13" t="s">
        <v>14</v>
      </c>
      <c r="E1098" s="13" t="s">
        <v>2105</v>
      </c>
      <c r="F1098" s="13" t="s">
        <v>335</v>
      </c>
    </row>
    <row r="1099" spans="1:6" hidden="1" x14ac:dyDescent="0.25">
      <c r="A1099" s="13" t="s">
        <v>78</v>
      </c>
      <c r="B1099" s="13">
        <v>80359</v>
      </c>
      <c r="C1099" s="13" t="s">
        <v>76</v>
      </c>
      <c r="D1099" s="13" t="s">
        <v>76</v>
      </c>
      <c r="E1099" s="13" t="s">
        <v>2105</v>
      </c>
      <c r="F1099" s="13" t="s">
        <v>335</v>
      </c>
    </row>
    <row r="1100" spans="1:6" hidden="1" x14ac:dyDescent="0.25">
      <c r="A1100" s="13" t="s">
        <v>78</v>
      </c>
      <c r="B1100" s="13">
        <v>144548</v>
      </c>
      <c r="C1100" s="13" t="s">
        <v>338</v>
      </c>
      <c r="D1100" s="13" t="s">
        <v>338</v>
      </c>
      <c r="E1100" s="13" t="s">
        <v>2549</v>
      </c>
      <c r="F1100" s="13" t="s">
        <v>335</v>
      </c>
    </row>
    <row r="1101" spans="1:6" hidden="1" x14ac:dyDescent="0.25">
      <c r="A1101" s="13" t="s">
        <v>78</v>
      </c>
      <c r="B1101" s="13">
        <v>80374</v>
      </c>
      <c r="C1101" s="13" t="s">
        <v>118</v>
      </c>
      <c r="D1101" s="13" t="s">
        <v>118</v>
      </c>
      <c r="E1101" s="13" t="s">
        <v>2333</v>
      </c>
      <c r="F1101" s="13" t="s">
        <v>335</v>
      </c>
    </row>
    <row r="1102" spans="1:6" hidden="1" x14ac:dyDescent="0.25">
      <c r="A1102" s="13" t="s">
        <v>78</v>
      </c>
      <c r="B1102" s="13">
        <v>83036</v>
      </c>
      <c r="C1102" s="13" t="s">
        <v>2350</v>
      </c>
      <c r="D1102" s="13" t="s">
        <v>2351</v>
      </c>
      <c r="E1102" s="13" t="s">
        <v>2639</v>
      </c>
      <c r="F1102" s="13" t="s">
        <v>335</v>
      </c>
    </row>
    <row r="1103" spans="1:6" hidden="1" x14ac:dyDescent="0.25">
      <c r="A1103" s="13" t="s">
        <v>78</v>
      </c>
      <c r="B1103" s="13">
        <v>12413</v>
      </c>
      <c r="C1103" s="13" t="s">
        <v>51</v>
      </c>
      <c r="D1103" s="13" t="s">
        <v>51</v>
      </c>
      <c r="E1103" s="13" t="s">
        <v>780</v>
      </c>
      <c r="F1103" s="13" t="s">
        <v>335</v>
      </c>
    </row>
    <row r="1104" spans="1:6" hidden="1" x14ac:dyDescent="0.25">
      <c r="A1104" s="13" t="s">
        <v>21</v>
      </c>
      <c r="B1104" s="13">
        <v>81885</v>
      </c>
      <c r="C1104" s="13" t="s">
        <v>2241</v>
      </c>
      <c r="D1104" s="13" t="s">
        <v>2242</v>
      </c>
      <c r="E1104" s="13" t="s">
        <v>245</v>
      </c>
      <c r="F1104" s="13" t="s">
        <v>335</v>
      </c>
    </row>
    <row r="1105" spans="1:6" hidden="1" x14ac:dyDescent="0.25">
      <c r="A1105" s="13" t="s">
        <v>78</v>
      </c>
      <c r="B1105" s="13">
        <v>80667</v>
      </c>
      <c r="C1105" s="13" t="s">
        <v>141</v>
      </c>
      <c r="D1105" s="13" t="s">
        <v>141</v>
      </c>
      <c r="E1105" s="13" t="s">
        <v>2050</v>
      </c>
      <c r="F1105" s="13" t="s">
        <v>335</v>
      </c>
    </row>
    <row r="1106" spans="1:6" hidden="1" x14ac:dyDescent="0.25">
      <c r="A1106" s="13" t="s">
        <v>78</v>
      </c>
      <c r="B1106" s="13">
        <v>80375</v>
      </c>
      <c r="C1106" s="13" t="s">
        <v>398</v>
      </c>
      <c r="D1106" s="13" t="s">
        <v>14</v>
      </c>
      <c r="E1106" s="13" t="s">
        <v>1967</v>
      </c>
      <c r="F1106" s="13" t="s">
        <v>335</v>
      </c>
    </row>
    <row r="1107" spans="1:6" hidden="1" x14ac:dyDescent="0.25">
      <c r="A1107" s="13" t="s">
        <v>78</v>
      </c>
      <c r="B1107" s="13">
        <v>18658</v>
      </c>
      <c r="C1107" s="13" t="s">
        <v>103</v>
      </c>
      <c r="D1107" s="13" t="s">
        <v>103</v>
      </c>
      <c r="E1107" s="13" t="s">
        <v>2233</v>
      </c>
      <c r="F1107" s="13" t="s">
        <v>335</v>
      </c>
    </row>
    <row r="1108" spans="1:6" hidden="1" x14ac:dyDescent="0.25">
      <c r="A1108" s="13" t="s">
        <v>78</v>
      </c>
      <c r="B1108" s="13">
        <v>82501</v>
      </c>
      <c r="C1108" s="13" t="s">
        <v>280</v>
      </c>
      <c r="D1108" s="13" t="s">
        <v>280</v>
      </c>
      <c r="E1108" s="13" t="s">
        <v>1867</v>
      </c>
      <c r="F1108" s="13" t="s">
        <v>335</v>
      </c>
    </row>
    <row r="1109" spans="1:6" hidden="1" x14ac:dyDescent="0.25">
      <c r="A1109" s="13" t="s">
        <v>21</v>
      </c>
      <c r="B1109" s="13">
        <v>82790</v>
      </c>
      <c r="C1109" s="13" t="s">
        <v>2608</v>
      </c>
      <c r="D1109" s="13" t="s">
        <v>52</v>
      </c>
      <c r="E1109" s="13" t="s">
        <v>1834</v>
      </c>
      <c r="F1109" s="13" t="s">
        <v>335</v>
      </c>
    </row>
    <row r="1110" spans="1:6" hidden="1" x14ac:dyDescent="0.25">
      <c r="A1110" s="13" t="s">
        <v>21</v>
      </c>
      <c r="B1110" s="13">
        <v>82753</v>
      </c>
      <c r="C1110" s="13" t="s">
        <v>1833</v>
      </c>
      <c r="D1110" s="13" t="s">
        <v>52</v>
      </c>
      <c r="E1110" s="13" t="s">
        <v>1834</v>
      </c>
      <c r="F1110" s="13" t="s">
        <v>335</v>
      </c>
    </row>
    <row r="1111" spans="1:6" hidden="1" x14ac:dyDescent="0.25">
      <c r="A1111" s="13" t="s">
        <v>21</v>
      </c>
      <c r="B1111" s="13">
        <v>80483</v>
      </c>
      <c r="C1111" s="13" t="s">
        <v>38</v>
      </c>
      <c r="D1111" s="13" t="s">
        <v>38</v>
      </c>
      <c r="E1111" s="13" t="s">
        <v>155</v>
      </c>
      <c r="F1111" s="13" t="s">
        <v>335</v>
      </c>
    </row>
    <row r="1112" spans="1:6" hidden="1" x14ac:dyDescent="0.25">
      <c r="A1112" s="13" t="s">
        <v>78</v>
      </c>
      <c r="B1112" s="13">
        <v>80480</v>
      </c>
      <c r="C1112" s="13" t="s">
        <v>38</v>
      </c>
      <c r="D1112" s="13" t="s">
        <v>38</v>
      </c>
      <c r="E1112" s="13" t="s">
        <v>155</v>
      </c>
      <c r="F1112" s="13" t="s">
        <v>335</v>
      </c>
    </row>
    <row r="1113" spans="1:6" hidden="1" x14ac:dyDescent="0.25">
      <c r="A1113" s="13" t="s">
        <v>78</v>
      </c>
      <c r="B1113" s="13">
        <v>81702</v>
      </c>
      <c r="C1113" s="13" t="s">
        <v>1844</v>
      </c>
      <c r="D1113" s="13" t="s">
        <v>104</v>
      </c>
      <c r="E1113" s="13" t="s">
        <v>2529</v>
      </c>
      <c r="F1113" s="13" t="s">
        <v>335</v>
      </c>
    </row>
    <row r="1114" spans="1:6" x14ac:dyDescent="0.25">
      <c r="A1114" s="13" t="s">
        <v>78</v>
      </c>
      <c r="B1114" s="13">
        <v>82597</v>
      </c>
      <c r="C1114" s="13" t="s">
        <v>290</v>
      </c>
      <c r="D1114" s="13" t="s">
        <v>290</v>
      </c>
      <c r="E1114" s="13" t="s">
        <v>1728</v>
      </c>
      <c r="F1114" s="13" t="s">
        <v>335</v>
      </c>
    </row>
    <row r="1115" spans="1:6" hidden="1" x14ac:dyDescent="0.25">
      <c r="A1115" s="13" t="s">
        <v>78</v>
      </c>
      <c r="B1115" s="13">
        <v>441000</v>
      </c>
      <c r="C1115" s="13" t="s">
        <v>99</v>
      </c>
      <c r="D1115" s="13" t="s">
        <v>99</v>
      </c>
      <c r="E1115" s="13" t="s">
        <v>1992</v>
      </c>
      <c r="F1115" s="13" t="s">
        <v>335</v>
      </c>
    </row>
    <row r="1116" spans="1:6" hidden="1" x14ac:dyDescent="0.25">
      <c r="A1116" s="13" t="s">
        <v>78</v>
      </c>
      <c r="B1116" s="13">
        <v>80961</v>
      </c>
      <c r="C1116" s="13" t="s">
        <v>85</v>
      </c>
      <c r="D1116" s="13" t="s">
        <v>85</v>
      </c>
      <c r="E1116" s="13" t="s">
        <v>2459</v>
      </c>
      <c r="F1116" s="13" t="s">
        <v>335</v>
      </c>
    </row>
    <row r="1117" spans="1:6" hidden="1" x14ac:dyDescent="0.25">
      <c r="A1117" s="13" t="s">
        <v>78</v>
      </c>
      <c r="B1117" s="13">
        <v>82818</v>
      </c>
      <c r="C1117" s="13" t="s">
        <v>1876</v>
      </c>
      <c r="D1117" s="13" t="s">
        <v>267</v>
      </c>
      <c r="E1117" s="13" t="s">
        <v>2002</v>
      </c>
      <c r="F1117" s="13" t="s">
        <v>335</v>
      </c>
    </row>
    <row r="1118" spans="1:6" hidden="1" x14ac:dyDescent="0.25">
      <c r="A1118" s="13" t="s">
        <v>78</v>
      </c>
      <c r="B1118" s="13">
        <v>82248</v>
      </c>
      <c r="C1118" s="13" t="s">
        <v>1836</v>
      </c>
      <c r="D1118" s="13" t="s">
        <v>267</v>
      </c>
      <c r="E1118" s="13" t="s">
        <v>2002</v>
      </c>
      <c r="F1118" s="13" t="s">
        <v>335</v>
      </c>
    </row>
    <row r="1119" spans="1:6" hidden="1" x14ac:dyDescent="0.25">
      <c r="A1119" s="13" t="s">
        <v>21</v>
      </c>
      <c r="B1119" s="13">
        <v>82248</v>
      </c>
      <c r="C1119" s="13" t="s">
        <v>1836</v>
      </c>
      <c r="D1119" s="13" t="s">
        <v>267</v>
      </c>
      <c r="E1119" s="13" t="s">
        <v>2002</v>
      </c>
      <c r="F1119" s="13" t="s">
        <v>335</v>
      </c>
    </row>
    <row r="1120" spans="1:6" hidden="1" x14ac:dyDescent="0.25">
      <c r="A1120" s="13" t="s">
        <v>21</v>
      </c>
      <c r="B1120" s="13">
        <v>82778</v>
      </c>
      <c r="C1120" s="13" t="s">
        <v>267</v>
      </c>
      <c r="D1120" s="13" t="s">
        <v>267</v>
      </c>
      <c r="E1120" s="13" t="s">
        <v>2002</v>
      </c>
      <c r="F1120" s="13" t="s">
        <v>335</v>
      </c>
    </row>
    <row r="1121" spans="1:6" hidden="1" x14ac:dyDescent="0.25">
      <c r="A1121" s="13" t="s">
        <v>78</v>
      </c>
      <c r="B1121" s="13">
        <v>82778</v>
      </c>
      <c r="C1121" s="13" t="s">
        <v>267</v>
      </c>
      <c r="D1121" s="13" t="s">
        <v>267</v>
      </c>
      <c r="E1121" s="13" t="s">
        <v>2002</v>
      </c>
      <c r="F1121" s="13" t="s">
        <v>335</v>
      </c>
    </row>
    <row r="1122" spans="1:6" hidden="1" x14ac:dyDescent="0.25">
      <c r="A1122" s="13" t="s">
        <v>21</v>
      </c>
      <c r="B1122" s="13">
        <v>12404</v>
      </c>
      <c r="C1122" s="13" t="s">
        <v>267</v>
      </c>
      <c r="D1122" s="13" t="s">
        <v>267</v>
      </c>
      <c r="E1122" s="13" t="s">
        <v>2002</v>
      </c>
      <c r="F1122" s="13" t="s">
        <v>335</v>
      </c>
    </row>
    <row r="1123" spans="1:6" hidden="1" x14ac:dyDescent="0.25">
      <c r="A1123" s="13" t="s">
        <v>78</v>
      </c>
      <c r="B1123" s="13">
        <v>83031</v>
      </c>
      <c r="C1123" s="13" t="s">
        <v>2342</v>
      </c>
      <c r="D1123" s="13" t="s">
        <v>267</v>
      </c>
      <c r="E1123" s="13" t="s">
        <v>2002</v>
      </c>
      <c r="F1123" s="13" t="s">
        <v>335</v>
      </c>
    </row>
    <row r="1124" spans="1:6" hidden="1" x14ac:dyDescent="0.25">
      <c r="A1124" s="13" t="s">
        <v>21</v>
      </c>
      <c r="B1124" s="13">
        <v>83031</v>
      </c>
      <c r="C1124" s="13" t="s">
        <v>2342</v>
      </c>
      <c r="D1124" s="13" t="s">
        <v>267</v>
      </c>
      <c r="E1124" s="13" t="s">
        <v>2002</v>
      </c>
      <c r="F1124" s="13" t="s">
        <v>335</v>
      </c>
    </row>
    <row r="1125" spans="1:6" hidden="1" x14ac:dyDescent="0.25">
      <c r="A1125" s="13" t="s">
        <v>78</v>
      </c>
      <c r="B1125" s="13">
        <v>82967</v>
      </c>
      <c r="C1125" s="13" t="s">
        <v>2511</v>
      </c>
      <c r="D1125" s="13"/>
      <c r="E1125" s="13" t="s">
        <v>2002</v>
      </c>
      <c r="F1125" s="13" t="s">
        <v>335</v>
      </c>
    </row>
    <row r="1126" spans="1:6" hidden="1" x14ac:dyDescent="0.25">
      <c r="A1126" s="13" t="s">
        <v>78</v>
      </c>
      <c r="B1126" s="13">
        <v>82901</v>
      </c>
      <c r="C1126" s="13" t="s">
        <v>1909</v>
      </c>
      <c r="D1126" s="13" t="s">
        <v>267</v>
      </c>
      <c r="E1126" s="13" t="s">
        <v>2002</v>
      </c>
      <c r="F1126" s="13" t="s">
        <v>335</v>
      </c>
    </row>
    <row r="1127" spans="1:6" hidden="1" x14ac:dyDescent="0.25">
      <c r="A1127" s="13" t="s">
        <v>21</v>
      </c>
      <c r="B1127" s="13">
        <v>82901</v>
      </c>
      <c r="C1127" s="13" t="s">
        <v>1909</v>
      </c>
      <c r="D1127" s="13" t="s">
        <v>267</v>
      </c>
      <c r="E1127" s="13" t="s">
        <v>2002</v>
      </c>
      <c r="F1127" s="13" t="s">
        <v>335</v>
      </c>
    </row>
    <row r="1128" spans="1:6" hidden="1" x14ac:dyDescent="0.25">
      <c r="A1128" s="13" t="s">
        <v>21</v>
      </c>
      <c r="B1128" s="13">
        <v>12404</v>
      </c>
      <c r="C1128" s="13" t="s">
        <v>267</v>
      </c>
      <c r="D1128" s="13" t="s">
        <v>267</v>
      </c>
      <c r="E1128" s="13" t="s">
        <v>2366</v>
      </c>
      <c r="F1128" s="13" t="s">
        <v>335</v>
      </c>
    </row>
    <row r="1129" spans="1:6" hidden="1" x14ac:dyDescent="0.25">
      <c r="A1129" s="13" t="s">
        <v>78</v>
      </c>
      <c r="B1129" s="13">
        <v>80067</v>
      </c>
      <c r="C1129" s="13" t="s">
        <v>69</v>
      </c>
      <c r="D1129" s="13" t="s">
        <v>2472</v>
      </c>
      <c r="E1129" s="13" t="s">
        <v>2473</v>
      </c>
      <c r="F1129" s="13" t="s">
        <v>335</v>
      </c>
    </row>
    <row r="1130" spans="1:6" hidden="1" x14ac:dyDescent="0.25">
      <c r="A1130" s="13" t="s">
        <v>78</v>
      </c>
      <c r="B1130" s="13">
        <v>81643</v>
      </c>
      <c r="C1130" s="13" t="s">
        <v>93</v>
      </c>
      <c r="D1130" s="13" t="s">
        <v>1903</v>
      </c>
      <c r="E1130" s="13" t="s">
        <v>1959</v>
      </c>
      <c r="F1130" s="13" t="s">
        <v>335</v>
      </c>
    </row>
    <row r="1131" spans="1:6" hidden="1" x14ac:dyDescent="0.25">
      <c r="A1131" s="13" t="s">
        <v>78</v>
      </c>
      <c r="B1131" s="13">
        <v>81665</v>
      </c>
      <c r="C1131" s="13" t="s">
        <v>93</v>
      </c>
      <c r="D1131" s="13" t="s">
        <v>1903</v>
      </c>
      <c r="E1131" s="13" t="s">
        <v>1959</v>
      </c>
      <c r="F1131" s="13" t="s">
        <v>335</v>
      </c>
    </row>
    <row r="1132" spans="1:6" hidden="1" x14ac:dyDescent="0.25">
      <c r="A1132" s="13" t="s">
        <v>78</v>
      </c>
      <c r="B1132" s="13">
        <v>83108</v>
      </c>
      <c r="C1132" s="13" t="s">
        <v>1893</v>
      </c>
      <c r="D1132" s="13" t="s">
        <v>1893</v>
      </c>
      <c r="E1132" s="13" t="s">
        <v>1959</v>
      </c>
      <c r="F1132" s="13" t="s">
        <v>335</v>
      </c>
    </row>
    <row r="1133" spans="1:6" hidden="1" x14ac:dyDescent="0.25">
      <c r="A1133" s="13" t="s">
        <v>78</v>
      </c>
      <c r="B1133" s="13">
        <v>80667</v>
      </c>
      <c r="C1133" s="13" t="s">
        <v>141</v>
      </c>
      <c r="D1133" s="13" t="s">
        <v>141</v>
      </c>
      <c r="E1133" s="13" t="s">
        <v>2272</v>
      </c>
      <c r="F1133" s="13" t="s">
        <v>335</v>
      </c>
    </row>
    <row r="1134" spans="1:6" hidden="1" x14ac:dyDescent="0.25">
      <c r="A1134" s="13" t="s">
        <v>21</v>
      </c>
      <c r="B1134" s="13">
        <v>80667</v>
      </c>
      <c r="C1134" s="13" t="s">
        <v>141</v>
      </c>
      <c r="D1134" s="13" t="s">
        <v>141</v>
      </c>
      <c r="E1134" s="13" t="s">
        <v>2272</v>
      </c>
      <c r="F1134" s="13" t="s">
        <v>335</v>
      </c>
    </row>
    <row r="1135" spans="1:6" hidden="1" x14ac:dyDescent="0.25">
      <c r="A1135" s="13" t="s">
        <v>21</v>
      </c>
      <c r="B1135" s="13">
        <v>81710</v>
      </c>
      <c r="C1135" s="13" t="s">
        <v>375</v>
      </c>
      <c r="D1135" s="13" t="s">
        <v>375</v>
      </c>
      <c r="E1135" s="13" t="s">
        <v>2471</v>
      </c>
      <c r="F1135" s="13" t="s">
        <v>335</v>
      </c>
    </row>
    <row r="1136" spans="1:6" hidden="1" x14ac:dyDescent="0.25">
      <c r="A1136" s="13" t="s">
        <v>78</v>
      </c>
      <c r="B1136" s="13">
        <v>81710</v>
      </c>
      <c r="C1136" s="13" t="s">
        <v>375</v>
      </c>
      <c r="D1136" s="13" t="s">
        <v>375</v>
      </c>
      <c r="E1136" s="13" t="s">
        <v>2471</v>
      </c>
      <c r="F1136" s="13" t="s">
        <v>335</v>
      </c>
    </row>
    <row r="1137" spans="1:6" hidden="1" x14ac:dyDescent="0.25">
      <c r="A1137" s="13" t="s">
        <v>78</v>
      </c>
      <c r="B1137" s="13">
        <v>80702</v>
      </c>
      <c r="C1137" s="13" t="s">
        <v>1972</v>
      </c>
      <c r="D1137" s="13" t="s">
        <v>135</v>
      </c>
      <c r="E1137" s="13" t="s">
        <v>250</v>
      </c>
      <c r="F1137" s="13" t="s">
        <v>335</v>
      </c>
    </row>
    <row r="1138" spans="1:6" hidden="1" x14ac:dyDescent="0.25">
      <c r="A1138" s="13" t="s">
        <v>78</v>
      </c>
      <c r="B1138" s="13">
        <v>81564</v>
      </c>
      <c r="C1138" s="13" t="s">
        <v>67</v>
      </c>
      <c r="D1138" s="13" t="s">
        <v>67</v>
      </c>
      <c r="E1138" s="13" t="s">
        <v>2016</v>
      </c>
      <c r="F1138" s="13" t="s">
        <v>335</v>
      </c>
    </row>
    <row r="1139" spans="1:6" hidden="1" x14ac:dyDescent="0.25">
      <c r="A1139" s="13" t="s">
        <v>21</v>
      </c>
      <c r="B1139" s="13">
        <v>11111</v>
      </c>
      <c r="C1139" s="13" t="s">
        <v>22</v>
      </c>
      <c r="D1139" s="13" t="s">
        <v>22</v>
      </c>
      <c r="E1139" s="13" t="s">
        <v>142</v>
      </c>
      <c r="F1139" s="13" t="s">
        <v>335</v>
      </c>
    </row>
    <row r="1140" spans="1:6" hidden="1" x14ac:dyDescent="0.25">
      <c r="A1140" s="13" t="s">
        <v>21</v>
      </c>
      <c r="B1140" s="13">
        <v>1229</v>
      </c>
      <c r="C1140" s="13" t="s">
        <v>22</v>
      </c>
      <c r="D1140" s="13" t="s">
        <v>22</v>
      </c>
      <c r="E1140" s="13" t="s">
        <v>142</v>
      </c>
      <c r="F1140" s="13" t="s">
        <v>335</v>
      </c>
    </row>
    <row r="1141" spans="1:6" hidden="1" x14ac:dyDescent="0.25">
      <c r="A1141" s="13" t="s">
        <v>21</v>
      </c>
      <c r="B1141" s="13">
        <v>1229999</v>
      </c>
      <c r="C1141" s="13" t="s">
        <v>22</v>
      </c>
      <c r="D1141" s="13" t="s">
        <v>22</v>
      </c>
      <c r="E1141" s="13" t="s">
        <v>142</v>
      </c>
      <c r="F1141" s="13" t="s">
        <v>335</v>
      </c>
    </row>
    <row r="1142" spans="1:6" hidden="1" x14ac:dyDescent="0.25">
      <c r="A1142" s="13" t="s">
        <v>21</v>
      </c>
      <c r="B1142" s="13">
        <v>999921</v>
      </c>
      <c r="C1142" s="13" t="s">
        <v>22</v>
      </c>
      <c r="D1142" s="13" t="s">
        <v>22</v>
      </c>
      <c r="E1142" s="13" t="s">
        <v>142</v>
      </c>
      <c r="F1142" s="13" t="s">
        <v>335</v>
      </c>
    </row>
    <row r="1143" spans="1:6" hidden="1" x14ac:dyDescent="0.25">
      <c r="A1143" s="13" t="s">
        <v>21</v>
      </c>
      <c r="B1143" s="13">
        <v>9999300</v>
      </c>
      <c r="C1143" s="13" t="s">
        <v>22</v>
      </c>
      <c r="D1143" s="13" t="s">
        <v>22</v>
      </c>
      <c r="E1143" s="13" t="s">
        <v>142</v>
      </c>
      <c r="F1143" s="13" t="s">
        <v>335</v>
      </c>
    </row>
    <row r="1144" spans="1:6" hidden="1" x14ac:dyDescent="0.25">
      <c r="A1144" s="13" t="s">
        <v>21</v>
      </c>
      <c r="B1144" s="13">
        <v>9999601</v>
      </c>
      <c r="C1144" s="13" t="s">
        <v>22</v>
      </c>
      <c r="D1144" s="13" t="s">
        <v>22</v>
      </c>
      <c r="E1144" s="13" t="s">
        <v>142</v>
      </c>
      <c r="F1144" s="13" t="s">
        <v>335</v>
      </c>
    </row>
    <row r="1145" spans="1:6" hidden="1" x14ac:dyDescent="0.25">
      <c r="A1145" s="13" t="s">
        <v>21</v>
      </c>
      <c r="B1145" s="13">
        <v>999985</v>
      </c>
      <c r="C1145" s="13" t="s">
        <v>22</v>
      </c>
      <c r="D1145" s="13" t="s">
        <v>22</v>
      </c>
      <c r="E1145" s="13" t="s">
        <v>142</v>
      </c>
      <c r="F1145" s="13" t="s">
        <v>335</v>
      </c>
    </row>
    <row r="1146" spans="1:6" hidden="1" x14ac:dyDescent="0.25">
      <c r="A1146" s="13" t="s">
        <v>21</v>
      </c>
      <c r="B1146" s="13">
        <v>99999</v>
      </c>
      <c r="C1146" s="13" t="s">
        <v>22</v>
      </c>
      <c r="D1146" s="13" t="s">
        <v>22</v>
      </c>
      <c r="E1146" s="13" t="s">
        <v>142</v>
      </c>
      <c r="F1146" s="13" t="s">
        <v>335</v>
      </c>
    </row>
    <row r="1147" spans="1:6" hidden="1" x14ac:dyDescent="0.25">
      <c r="A1147" s="13" t="s">
        <v>21</v>
      </c>
      <c r="B1147" s="13">
        <v>999931</v>
      </c>
      <c r="C1147" s="13" t="s">
        <v>22</v>
      </c>
      <c r="D1147" s="13" t="s">
        <v>22</v>
      </c>
      <c r="E1147" s="13" t="s">
        <v>142</v>
      </c>
      <c r="F1147" s="13" t="s">
        <v>335</v>
      </c>
    </row>
    <row r="1148" spans="1:6" hidden="1" x14ac:dyDescent="0.25">
      <c r="A1148" s="13" t="s">
        <v>21</v>
      </c>
      <c r="B1148" s="13">
        <v>9999603</v>
      </c>
      <c r="C1148" s="13" t="s">
        <v>22</v>
      </c>
      <c r="D1148" s="13" t="s">
        <v>22</v>
      </c>
      <c r="E1148" s="13" t="s">
        <v>142</v>
      </c>
      <c r="F1148" s="13" t="s">
        <v>335</v>
      </c>
    </row>
    <row r="1149" spans="1:6" hidden="1" x14ac:dyDescent="0.25">
      <c r="A1149" s="13" t="s">
        <v>78</v>
      </c>
      <c r="B1149" s="13">
        <v>82488</v>
      </c>
      <c r="C1149" s="13" t="s">
        <v>280</v>
      </c>
      <c r="D1149" s="13" t="s">
        <v>280</v>
      </c>
      <c r="E1149" s="13" t="s">
        <v>1859</v>
      </c>
      <c r="F1149" s="13" t="s">
        <v>335</v>
      </c>
    </row>
    <row r="1150" spans="1:6" hidden="1" x14ac:dyDescent="0.25">
      <c r="A1150" s="13" t="s">
        <v>78</v>
      </c>
      <c r="B1150" s="13">
        <v>82503</v>
      </c>
      <c r="C1150" s="13" t="s">
        <v>280</v>
      </c>
      <c r="D1150" s="13" t="s">
        <v>280</v>
      </c>
      <c r="E1150" s="13" t="s">
        <v>1859</v>
      </c>
      <c r="F1150" s="13" t="s">
        <v>335</v>
      </c>
    </row>
    <row r="1151" spans="1:6" hidden="1" x14ac:dyDescent="0.25">
      <c r="A1151" s="13" t="s">
        <v>78</v>
      </c>
      <c r="B1151" s="13">
        <v>81702</v>
      </c>
      <c r="C1151" s="13" t="s">
        <v>1844</v>
      </c>
      <c r="D1151" s="13" t="s">
        <v>104</v>
      </c>
      <c r="E1151" s="13" t="s">
        <v>2189</v>
      </c>
      <c r="F1151" s="13" t="s">
        <v>335</v>
      </c>
    </row>
    <row r="1152" spans="1:6" hidden="1" x14ac:dyDescent="0.25">
      <c r="A1152" s="13" t="s">
        <v>78</v>
      </c>
      <c r="B1152" s="13">
        <v>82764</v>
      </c>
      <c r="C1152" s="13" t="s">
        <v>2007</v>
      </c>
      <c r="D1152" s="13" t="s">
        <v>2007</v>
      </c>
      <c r="E1152" s="13" t="s">
        <v>710</v>
      </c>
      <c r="F1152" s="13" t="s">
        <v>335</v>
      </c>
    </row>
    <row r="1153" spans="1:6" hidden="1" x14ac:dyDescent="0.25">
      <c r="A1153" s="13" t="s">
        <v>78</v>
      </c>
      <c r="B1153" s="13">
        <v>18857</v>
      </c>
      <c r="C1153" s="13" t="s">
        <v>110</v>
      </c>
      <c r="D1153" s="13" t="s">
        <v>110</v>
      </c>
      <c r="E1153" s="13" t="s">
        <v>454</v>
      </c>
      <c r="F1153" s="13" t="s">
        <v>335</v>
      </c>
    </row>
    <row r="1154" spans="1:6" hidden="1" x14ac:dyDescent="0.25">
      <c r="A1154" s="13" t="s">
        <v>78</v>
      </c>
      <c r="B1154" s="13">
        <v>81643</v>
      </c>
      <c r="C1154" s="13" t="s">
        <v>93</v>
      </c>
      <c r="D1154" s="13" t="s">
        <v>1903</v>
      </c>
      <c r="E1154" s="13" t="s">
        <v>454</v>
      </c>
      <c r="F1154" s="13" t="s">
        <v>335</v>
      </c>
    </row>
    <row r="1155" spans="1:6" hidden="1" x14ac:dyDescent="0.25">
      <c r="A1155" s="13" t="s">
        <v>78</v>
      </c>
      <c r="B1155" s="13">
        <v>18857</v>
      </c>
      <c r="C1155" s="13" t="s">
        <v>110</v>
      </c>
      <c r="D1155" s="13" t="s">
        <v>110</v>
      </c>
      <c r="E1155" s="13" t="s">
        <v>1994</v>
      </c>
      <c r="F1155" s="13" t="s">
        <v>335</v>
      </c>
    </row>
    <row r="1156" spans="1:6" hidden="1" x14ac:dyDescent="0.25">
      <c r="A1156" s="13" t="s">
        <v>78</v>
      </c>
      <c r="B1156" s="13">
        <v>81702</v>
      </c>
      <c r="C1156" s="13" t="s">
        <v>1844</v>
      </c>
      <c r="D1156" s="13" t="s">
        <v>104</v>
      </c>
      <c r="E1156" s="13" t="s">
        <v>2462</v>
      </c>
      <c r="F1156" s="13" t="s">
        <v>335</v>
      </c>
    </row>
    <row r="1157" spans="1:6" hidden="1" x14ac:dyDescent="0.25">
      <c r="A1157" s="13" t="s">
        <v>78</v>
      </c>
      <c r="B1157" s="13">
        <v>16705</v>
      </c>
      <c r="C1157" s="13" t="s">
        <v>36</v>
      </c>
      <c r="D1157" s="13" t="s">
        <v>36</v>
      </c>
      <c r="E1157" s="13" t="s">
        <v>930</v>
      </c>
      <c r="F1157" s="13" t="s">
        <v>335</v>
      </c>
    </row>
    <row r="1158" spans="1:6" hidden="1" x14ac:dyDescent="0.25">
      <c r="A1158" s="13" t="s">
        <v>78</v>
      </c>
      <c r="B1158" s="13">
        <v>80958</v>
      </c>
      <c r="C1158" s="13" t="s">
        <v>1856</v>
      </c>
      <c r="D1158" s="13" t="s">
        <v>1977</v>
      </c>
      <c r="E1158" s="13" t="s">
        <v>2557</v>
      </c>
      <c r="F1158" s="13" t="s">
        <v>335</v>
      </c>
    </row>
    <row r="1159" spans="1:6" hidden="1" x14ac:dyDescent="0.25">
      <c r="A1159" s="13" t="s">
        <v>78</v>
      </c>
      <c r="B1159" s="13">
        <v>80958</v>
      </c>
      <c r="C1159" s="13" t="s">
        <v>1856</v>
      </c>
      <c r="D1159" s="13" t="s">
        <v>1977</v>
      </c>
      <c r="E1159" s="13" t="s">
        <v>2321</v>
      </c>
      <c r="F1159" s="13" t="s">
        <v>335</v>
      </c>
    </row>
    <row r="1160" spans="1:6" hidden="1" x14ac:dyDescent="0.25">
      <c r="A1160" s="13" t="s">
        <v>21</v>
      </c>
      <c r="B1160" s="13">
        <v>82964</v>
      </c>
      <c r="C1160" s="13" t="s">
        <v>2323</v>
      </c>
      <c r="D1160" s="13" t="s">
        <v>2323</v>
      </c>
      <c r="E1160" s="13" t="s">
        <v>2324</v>
      </c>
      <c r="F1160" s="13" t="s">
        <v>335</v>
      </c>
    </row>
    <row r="1161" spans="1:6" hidden="1" x14ac:dyDescent="0.25">
      <c r="A1161" s="13" t="s">
        <v>21</v>
      </c>
      <c r="B1161" s="13">
        <v>12339</v>
      </c>
      <c r="C1161" s="13" t="s">
        <v>43</v>
      </c>
      <c r="D1161" s="13" t="s">
        <v>43</v>
      </c>
      <c r="E1161" s="13" t="s">
        <v>161</v>
      </c>
      <c r="F1161" s="13" t="s">
        <v>335</v>
      </c>
    </row>
    <row r="1162" spans="1:6" hidden="1" x14ac:dyDescent="0.25">
      <c r="A1162" s="13" t="s">
        <v>78</v>
      </c>
      <c r="B1162" s="13">
        <v>12339</v>
      </c>
      <c r="C1162" s="13" t="s">
        <v>43</v>
      </c>
      <c r="D1162" s="13" t="s">
        <v>43</v>
      </c>
      <c r="E1162" s="13" t="s">
        <v>161</v>
      </c>
      <c r="F1162" s="13" t="s">
        <v>335</v>
      </c>
    </row>
    <row r="1163" spans="1:6" hidden="1" x14ac:dyDescent="0.25">
      <c r="A1163" s="13" t="s">
        <v>78</v>
      </c>
      <c r="B1163" s="13">
        <v>82494</v>
      </c>
      <c r="C1163" s="13" t="s">
        <v>280</v>
      </c>
      <c r="D1163" s="13" t="s">
        <v>280</v>
      </c>
      <c r="E1163" s="13" t="s">
        <v>1915</v>
      </c>
      <c r="F1163" s="13" t="s">
        <v>335</v>
      </c>
    </row>
    <row r="1164" spans="1:6" hidden="1" x14ac:dyDescent="0.25">
      <c r="A1164" s="13" t="s">
        <v>78</v>
      </c>
      <c r="B1164" s="13">
        <v>14498</v>
      </c>
      <c r="C1164" s="13" t="s">
        <v>13</v>
      </c>
      <c r="D1164" s="13" t="s">
        <v>1818</v>
      </c>
      <c r="E1164" s="13" t="s">
        <v>199</v>
      </c>
      <c r="F1164" s="13" t="s">
        <v>335</v>
      </c>
    </row>
    <row r="1165" spans="1:6" hidden="1" x14ac:dyDescent="0.25">
      <c r="A1165" s="13" t="s">
        <v>78</v>
      </c>
      <c r="B1165" s="13">
        <v>83004</v>
      </c>
      <c r="C1165" s="13" t="s">
        <v>2264</v>
      </c>
      <c r="D1165" s="13" t="s">
        <v>2264</v>
      </c>
      <c r="E1165" s="13" t="s">
        <v>2265</v>
      </c>
      <c r="F1165" s="13" t="s">
        <v>335</v>
      </c>
    </row>
    <row r="1166" spans="1:6" hidden="1" x14ac:dyDescent="0.25">
      <c r="A1166" s="13" t="s">
        <v>78</v>
      </c>
      <c r="B1166" s="13">
        <v>80512</v>
      </c>
      <c r="C1166" s="13" t="s">
        <v>296</v>
      </c>
      <c r="D1166" s="13" t="s">
        <v>296</v>
      </c>
      <c r="E1166" s="13" t="s">
        <v>278</v>
      </c>
      <c r="F1166" s="13" t="s">
        <v>335</v>
      </c>
    </row>
    <row r="1167" spans="1:6" hidden="1" x14ac:dyDescent="0.25">
      <c r="A1167" s="13" t="s">
        <v>21</v>
      </c>
      <c r="B1167" s="13">
        <v>80512</v>
      </c>
      <c r="C1167" s="13" t="s">
        <v>296</v>
      </c>
      <c r="D1167" s="13" t="s">
        <v>296</v>
      </c>
      <c r="E1167" s="13" t="s">
        <v>278</v>
      </c>
      <c r="F1167" s="13" t="s">
        <v>335</v>
      </c>
    </row>
    <row r="1168" spans="1:6" hidden="1" x14ac:dyDescent="0.25">
      <c r="A1168" s="13" t="s">
        <v>21</v>
      </c>
      <c r="B1168" s="13">
        <v>12262</v>
      </c>
      <c r="C1168" s="13" t="s">
        <v>32</v>
      </c>
      <c r="D1168" s="13" t="s">
        <v>32</v>
      </c>
      <c r="E1168" s="13" t="s">
        <v>149</v>
      </c>
      <c r="F1168" s="13" t="s">
        <v>335</v>
      </c>
    </row>
    <row r="1169" spans="1:6" hidden="1" x14ac:dyDescent="0.25">
      <c r="A1169" s="13" t="s">
        <v>21</v>
      </c>
      <c r="B1169" s="13">
        <v>122394</v>
      </c>
      <c r="C1169" s="13" t="s">
        <v>29</v>
      </c>
      <c r="D1169" s="13" t="s">
        <v>32</v>
      </c>
      <c r="E1169" s="13" t="s">
        <v>149</v>
      </c>
      <c r="F1169" s="13" t="s">
        <v>335</v>
      </c>
    </row>
    <row r="1170" spans="1:6" hidden="1" x14ac:dyDescent="0.25">
      <c r="A1170" s="13" t="s">
        <v>78</v>
      </c>
      <c r="B1170" s="13">
        <v>82963</v>
      </c>
      <c r="C1170" s="13" t="s">
        <v>82</v>
      </c>
      <c r="D1170" s="13" t="s">
        <v>82</v>
      </c>
      <c r="E1170" s="13" t="s">
        <v>187</v>
      </c>
      <c r="F1170" s="13" t="s">
        <v>335</v>
      </c>
    </row>
    <row r="1171" spans="1:6" hidden="1" x14ac:dyDescent="0.25">
      <c r="A1171" s="13" t="s">
        <v>78</v>
      </c>
      <c r="B1171" s="13">
        <v>82706</v>
      </c>
      <c r="C1171" s="13" t="s">
        <v>1926</v>
      </c>
      <c r="D1171" s="13" t="s">
        <v>1886</v>
      </c>
      <c r="E1171" s="13" t="s">
        <v>2020</v>
      </c>
      <c r="F1171" s="13" t="s">
        <v>335</v>
      </c>
    </row>
    <row r="1172" spans="1:6" hidden="1" x14ac:dyDescent="0.25">
      <c r="A1172" s="13" t="s">
        <v>78</v>
      </c>
      <c r="B1172" s="13">
        <v>82705</v>
      </c>
      <c r="C1172" s="13" t="s">
        <v>1926</v>
      </c>
      <c r="D1172" s="13" t="s">
        <v>1886</v>
      </c>
      <c r="E1172" s="13" t="s">
        <v>2020</v>
      </c>
      <c r="F1172" s="13" t="s">
        <v>335</v>
      </c>
    </row>
    <row r="1173" spans="1:6" hidden="1" x14ac:dyDescent="0.25">
      <c r="A1173" s="13" t="s">
        <v>78</v>
      </c>
      <c r="B1173" s="13">
        <v>82707</v>
      </c>
      <c r="C1173" s="13" t="s">
        <v>1926</v>
      </c>
      <c r="D1173" s="13" t="s">
        <v>1886</v>
      </c>
      <c r="E1173" s="13" t="s">
        <v>2020</v>
      </c>
      <c r="F1173" s="13" t="s">
        <v>335</v>
      </c>
    </row>
    <row r="1174" spans="1:6" hidden="1" x14ac:dyDescent="0.25">
      <c r="A1174" s="13" t="s">
        <v>78</v>
      </c>
      <c r="B1174" s="13">
        <v>95007</v>
      </c>
      <c r="C1174" s="13" t="s">
        <v>104</v>
      </c>
      <c r="D1174" s="13" t="s">
        <v>104</v>
      </c>
      <c r="E1174" s="13" t="s">
        <v>1998</v>
      </c>
      <c r="F1174" s="13" t="s">
        <v>335</v>
      </c>
    </row>
    <row r="1175" spans="1:6" hidden="1" x14ac:dyDescent="0.25">
      <c r="A1175" s="13" t="s">
        <v>78</v>
      </c>
      <c r="B1175" s="13">
        <v>95005</v>
      </c>
      <c r="C1175" s="13" t="s">
        <v>303</v>
      </c>
      <c r="D1175" s="13" t="s">
        <v>104</v>
      </c>
      <c r="E1175" s="13" t="s">
        <v>1998</v>
      </c>
      <c r="F1175" s="13" t="s">
        <v>335</v>
      </c>
    </row>
    <row r="1176" spans="1:6" hidden="1" x14ac:dyDescent="0.25">
      <c r="A1176" s="13" t="s">
        <v>78</v>
      </c>
      <c r="B1176" s="13">
        <v>95005</v>
      </c>
      <c r="C1176" s="13" t="s">
        <v>303</v>
      </c>
      <c r="D1176" s="13" t="s">
        <v>104</v>
      </c>
      <c r="E1176" s="13" t="s">
        <v>2640</v>
      </c>
      <c r="F1176" s="13" t="s">
        <v>335</v>
      </c>
    </row>
    <row r="1177" spans="1:6" hidden="1" x14ac:dyDescent="0.25">
      <c r="A1177" s="13" t="s">
        <v>78</v>
      </c>
      <c r="B1177" s="13">
        <v>95007</v>
      </c>
      <c r="C1177" s="13" t="s">
        <v>104</v>
      </c>
      <c r="D1177" s="13" t="s">
        <v>104</v>
      </c>
      <c r="E1177" s="13" t="s">
        <v>1897</v>
      </c>
      <c r="F1177" s="13" t="s">
        <v>335</v>
      </c>
    </row>
    <row r="1178" spans="1:6" hidden="1" x14ac:dyDescent="0.25">
      <c r="A1178" s="13" t="s">
        <v>78</v>
      </c>
      <c r="B1178" s="13">
        <v>95005</v>
      </c>
      <c r="C1178" s="13" t="s">
        <v>303</v>
      </c>
      <c r="D1178" s="13" t="s">
        <v>104</v>
      </c>
      <c r="E1178" s="13" t="s">
        <v>1897</v>
      </c>
      <c r="F1178" s="13" t="s">
        <v>335</v>
      </c>
    </row>
    <row r="1179" spans="1:6" hidden="1" x14ac:dyDescent="0.25">
      <c r="A1179" s="13" t="s">
        <v>78</v>
      </c>
      <c r="B1179" s="13">
        <v>95014</v>
      </c>
      <c r="C1179" s="13" t="s">
        <v>1889</v>
      </c>
      <c r="D1179" s="13" t="s">
        <v>104</v>
      </c>
      <c r="E1179" s="13" t="s">
        <v>1897</v>
      </c>
      <c r="F1179" s="13" t="s">
        <v>335</v>
      </c>
    </row>
    <row r="1180" spans="1:6" hidden="1" x14ac:dyDescent="0.25">
      <c r="A1180" s="13" t="s">
        <v>78</v>
      </c>
      <c r="B1180" s="13">
        <v>95005</v>
      </c>
      <c r="C1180" s="13" t="s">
        <v>303</v>
      </c>
      <c r="D1180" s="13" t="s">
        <v>104</v>
      </c>
      <c r="E1180" s="13" t="s">
        <v>1911</v>
      </c>
      <c r="F1180" s="13" t="s">
        <v>335</v>
      </c>
    </row>
    <row r="1181" spans="1:6" hidden="1" x14ac:dyDescent="0.25">
      <c r="A1181" s="13" t="s">
        <v>21</v>
      </c>
      <c r="B1181" s="13">
        <v>82406</v>
      </c>
      <c r="C1181" s="13" t="s">
        <v>1926</v>
      </c>
      <c r="D1181" s="13" t="s">
        <v>1886</v>
      </c>
      <c r="E1181" s="13" t="s">
        <v>2285</v>
      </c>
      <c r="F1181" s="13" t="s">
        <v>335</v>
      </c>
    </row>
    <row r="1182" spans="1:6" hidden="1" x14ac:dyDescent="0.25">
      <c r="A1182" s="13" t="s">
        <v>78</v>
      </c>
      <c r="B1182" s="13">
        <v>80064</v>
      </c>
      <c r="C1182" s="13" t="s">
        <v>2095</v>
      </c>
      <c r="D1182" s="13" t="s">
        <v>26</v>
      </c>
      <c r="E1182" s="13" t="s">
        <v>2398</v>
      </c>
      <c r="F1182" s="13" t="s">
        <v>335</v>
      </c>
    </row>
    <row r="1183" spans="1:6" hidden="1" x14ac:dyDescent="0.25">
      <c r="A1183" s="13" t="s">
        <v>78</v>
      </c>
      <c r="B1183" s="13">
        <v>79452</v>
      </c>
      <c r="C1183" s="13" t="s">
        <v>57</v>
      </c>
      <c r="D1183" s="13" t="s">
        <v>66</v>
      </c>
      <c r="E1183" s="13" t="s">
        <v>2436</v>
      </c>
      <c r="F1183" s="13" t="s">
        <v>335</v>
      </c>
    </row>
    <row r="1184" spans="1:6" hidden="1" x14ac:dyDescent="0.25">
      <c r="A1184" s="13" t="s">
        <v>78</v>
      </c>
      <c r="B1184" s="13">
        <v>79452</v>
      </c>
      <c r="C1184" s="13" t="s">
        <v>57</v>
      </c>
      <c r="D1184" s="13" t="s">
        <v>66</v>
      </c>
      <c r="E1184" s="13" t="s">
        <v>2179</v>
      </c>
      <c r="F1184" s="13" t="s">
        <v>335</v>
      </c>
    </row>
    <row r="1185" spans="1:6" hidden="1" x14ac:dyDescent="0.25">
      <c r="A1185" s="13" t="s">
        <v>21</v>
      </c>
      <c r="B1185" s="13">
        <v>12374</v>
      </c>
      <c r="C1185" s="13" t="s">
        <v>164</v>
      </c>
      <c r="D1185" s="13" t="s">
        <v>164</v>
      </c>
      <c r="E1185" s="13" t="s">
        <v>305</v>
      </c>
      <c r="F1185" s="13" t="s">
        <v>335</v>
      </c>
    </row>
    <row r="1186" spans="1:6" hidden="1" x14ac:dyDescent="0.25">
      <c r="A1186" s="13" t="s">
        <v>78</v>
      </c>
      <c r="B1186" s="13">
        <v>79453</v>
      </c>
      <c r="C1186" s="13" t="s">
        <v>398</v>
      </c>
      <c r="D1186" s="13" t="s">
        <v>14</v>
      </c>
      <c r="E1186" s="13" t="s">
        <v>2444</v>
      </c>
      <c r="F1186" s="13" t="s">
        <v>335</v>
      </c>
    </row>
    <row r="1187" spans="1:6" hidden="1" x14ac:dyDescent="0.25">
      <c r="A1187" s="13" t="s">
        <v>78</v>
      </c>
      <c r="B1187" s="13">
        <v>80195</v>
      </c>
      <c r="C1187" s="13" t="s">
        <v>114</v>
      </c>
      <c r="D1187" s="13" t="s">
        <v>1805</v>
      </c>
      <c r="E1187" s="13" t="s">
        <v>283</v>
      </c>
      <c r="F1187" s="13" t="s">
        <v>335</v>
      </c>
    </row>
    <row r="1188" spans="1:6" hidden="1" x14ac:dyDescent="0.25">
      <c r="A1188" s="13" t="s">
        <v>78</v>
      </c>
      <c r="B1188" s="13">
        <v>80749</v>
      </c>
      <c r="C1188" s="13" t="s">
        <v>343</v>
      </c>
      <c r="D1188" s="13" t="s">
        <v>1886</v>
      </c>
      <c r="E1188" s="13" t="s">
        <v>2320</v>
      </c>
      <c r="F1188" s="13" t="s">
        <v>335</v>
      </c>
    </row>
    <row r="1189" spans="1:6" hidden="1" x14ac:dyDescent="0.25">
      <c r="A1189" s="13" t="s">
        <v>78</v>
      </c>
      <c r="B1189" s="13">
        <v>81348</v>
      </c>
      <c r="C1189" s="13" t="s">
        <v>325</v>
      </c>
      <c r="D1189" s="13" t="s">
        <v>1801</v>
      </c>
      <c r="E1189" s="13" t="s">
        <v>1779</v>
      </c>
      <c r="F1189" s="13" t="s">
        <v>335</v>
      </c>
    </row>
    <row r="1190" spans="1:6" hidden="1" x14ac:dyDescent="0.25">
      <c r="A1190" s="13" t="s">
        <v>78</v>
      </c>
      <c r="B1190" s="13">
        <v>81643</v>
      </c>
      <c r="C1190" s="13" t="s">
        <v>93</v>
      </c>
      <c r="D1190" s="13" t="s">
        <v>1903</v>
      </c>
      <c r="E1190" s="13" t="s">
        <v>1975</v>
      </c>
      <c r="F1190" s="13" t="s">
        <v>335</v>
      </c>
    </row>
    <row r="1191" spans="1:6" hidden="1" x14ac:dyDescent="0.25">
      <c r="A1191" s="13" t="s">
        <v>78</v>
      </c>
      <c r="B1191" s="13">
        <v>81756</v>
      </c>
      <c r="C1191" s="13" t="s">
        <v>121</v>
      </c>
      <c r="D1191" s="13" t="s">
        <v>121</v>
      </c>
      <c r="E1191" s="13" t="s">
        <v>2203</v>
      </c>
      <c r="F1191" s="13" t="s">
        <v>335</v>
      </c>
    </row>
    <row r="1192" spans="1:6" hidden="1" x14ac:dyDescent="0.25">
      <c r="A1192" s="13" t="s">
        <v>78</v>
      </c>
      <c r="B1192" s="13">
        <v>80667</v>
      </c>
      <c r="C1192" s="13" t="s">
        <v>141</v>
      </c>
      <c r="D1192" s="13" t="s">
        <v>141</v>
      </c>
      <c r="E1192" s="13" t="s">
        <v>2311</v>
      </c>
      <c r="F1192" s="13" t="s">
        <v>335</v>
      </c>
    </row>
    <row r="1193" spans="1:6" hidden="1" x14ac:dyDescent="0.25">
      <c r="A1193" s="13" t="s">
        <v>78</v>
      </c>
      <c r="B1193" s="13">
        <v>79241</v>
      </c>
      <c r="C1193" s="13" t="s">
        <v>106</v>
      </c>
      <c r="D1193" s="13" t="s">
        <v>94</v>
      </c>
      <c r="E1193" s="13" t="s">
        <v>2224</v>
      </c>
      <c r="F1193" s="13" t="s">
        <v>335</v>
      </c>
    </row>
    <row r="1194" spans="1:6" hidden="1" x14ac:dyDescent="0.25">
      <c r="A1194" s="13" t="s">
        <v>78</v>
      </c>
      <c r="B1194" s="13">
        <v>81348</v>
      </c>
      <c r="C1194" s="13" t="s">
        <v>325</v>
      </c>
      <c r="D1194" s="13" t="s">
        <v>1801</v>
      </c>
      <c r="E1194" s="13" t="s">
        <v>326</v>
      </c>
      <c r="F1194" s="13" t="s">
        <v>335</v>
      </c>
    </row>
    <row r="1195" spans="1:6" hidden="1" x14ac:dyDescent="0.25">
      <c r="A1195" s="13" t="s">
        <v>78</v>
      </c>
      <c r="B1195" s="13">
        <v>75380</v>
      </c>
      <c r="C1195" s="13" t="s">
        <v>101</v>
      </c>
      <c r="D1195" s="13" t="s">
        <v>1823</v>
      </c>
      <c r="E1195" s="13" t="s">
        <v>344</v>
      </c>
      <c r="F1195" s="13" t="s">
        <v>335</v>
      </c>
    </row>
    <row r="1196" spans="1:6" hidden="1" x14ac:dyDescent="0.25">
      <c r="A1196" s="13" t="s">
        <v>78</v>
      </c>
      <c r="B1196" s="13">
        <v>81685</v>
      </c>
      <c r="C1196" s="13" t="s">
        <v>101</v>
      </c>
      <c r="D1196" s="13" t="s">
        <v>1823</v>
      </c>
      <c r="E1196" s="13" t="s">
        <v>344</v>
      </c>
      <c r="F1196" s="13" t="s">
        <v>335</v>
      </c>
    </row>
    <row r="1197" spans="1:6" hidden="1" x14ac:dyDescent="0.25">
      <c r="A1197" s="13" t="s">
        <v>78</v>
      </c>
      <c r="B1197" s="13">
        <v>81684</v>
      </c>
      <c r="C1197" s="13" t="s">
        <v>101</v>
      </c>
      <c r="D1197" s="13" t="s">
        <v>1823</v>
      </c>
      <c r="E1197" s="13" t="s">
        <v>344</v>
      </c>
      <c r="F1197" s="13" t="s">
        <v>335</v>
      </c>
    </row>
    <row r="1198" spans="1:6" hidden="1" x14ac:dyDescent="0.25">
      <c r="A1198" s="13" t="s">
        <v>78</v>
      </c>
      <c r="B1198" s="13">
        <v>82276</v>
      </c>
      <c r="C1198" s="13" t="s">
        <v>101</v>
      </c>
      <c r="D1198" s="13" t="s">
        <v>1823</v>
      </c>
      <c r="E1198" s="13" t="s">
        <v>344</v>
      </c>
      <c r="F1198" s="13" t="s">
        <v>335</v>
      </c>
    </row>
    <row r="1199" spans="1:6" hidden="1" x14ac:dyDescent="0.25">
      <c r="A1199" s="13" t="s">
        <v>78</v>
      </c>
      <c r="B1199" s="13">
        <v>79375</v>
      </c>
      <c r="C1199" s="13" t="s">
        <v>62</v>
      </c>
      <c r="D1199" s="13" t="s">
        <v>62</v>
      </c>
      <c r="E1199" s="13" t="s">
        <v>2258</v>
      </c>
      <c r="F1199" s="13" t="s">
        <v>335</v>
      </c>
    </row>
    <row r="1200" spans="1:6" hidden="1" x14ac:dyDescent="0.25">
      <c r="A1200" s="13" t="s">
        <v>78</v>
      </c>
      <c r="B1200" s="13">
        <v>79241</v>
      </c>
      <c r="C1200" s="13" t="s">
        <v>106</v>
      </c>
      <c r="D1200" s="13" t="s">
        <v>94</v>
      </c>
      <c r="E1200" s="13" t="s">
        <v>2099</v>
      </c>
      <c r="F1200" s="13" t="s">
        <v>335</v>
      </c>
    </row>
    <row r="1201" spans="1:6" hidden="1" x14ac:dyDescent="0.25">
      <c r="A1201" s="13" t="s">
        <v>78</v>
      </c>
      <c r="B1201" s="13">
        <v>80064</v>
      </c>
      <c r="C1201" s="13" t="s">
        <v>2095</v>
      </c>
      <c r="D1201" s="13" t="s">
        <v>26</v>
      </c>
      <c r="E1201" s="13" t="s">
        <v>2096</v>
      </c>
      <c r="F1201" s="13" t="s">
        <v>335</v>
      </c>
    </row>
    <row r="1202" spans="1:6" hidden="1" x14ac:dyDescent="0.25">
      <c r="A1202" s="13" t="s">
        <v>78</v>
      </c>
      <c r="B1202" s="13">
        <v>95007</v>
      </c>
      <c r="C1202" s="13" t="s">
        <v>104</v>
      </c>
      <c r="D1202" s="13" t="s">
        <v>104</v>
      </c>
      <c r="E1202" s="13" t="s">
        <v>2199</v>
      </c>
      <c r="F1202" s="13" t="s">
        <v>335</v>
      </c>
    </row>
    <row r="1203" spans="1:6" hidden="1" x14ac:dyDescent="0.25">
      <c r="A1203" s="13" t="s">
        <v>78</v>
      </c>
      <c r="B1203" s="13">
        <v>95009</v>
      </c>
      <c r="C1203" s="13" t="s">
        <v>104</v>
      </c>
      <c r="D1203" s="13" t="s">
        <v>104</v>
      </c>
      <c r="E1203" s="13" t="s">
        <v>2199</v>
      </c>
      <c r="F1203" s="13" t="s">
        <v>335</v>
      </c>
    </row>
    <row r="1204" spans="1:6" hidden="1" x14ac:dyDescent="0.25">
      <c r="A1204" s="13" t="s">
        <v>78</v>
      </c>
      <c r="B1204" s="13">
        <v>79386</v>
      </c>
      <c r="C1204" s="13" t="s">
        <v>1814</v>
      </c>
      <c r="D1204" s="13" t="s">
        <v>26</v>
      </c>
      <c r="E1204" s="13" t="s">
        <v>1973</v>
      </c>
      <c r="F1204" s="13" t="s">
        <v>335</v>
      </c>
    </row>
    <row r="1205" spans="1:6" hidden="1" x14ac:dyDescent="0.25">
      <c r="A1205" s="13" t="s">
        <v>78</v>
      </c>
      <c r="B1205" s="13">
        <v>80064</v>
      </c>
      <c r="C1205" s="13" t="s">
        <v>2095</v>
      </c>
      <c r="D1205" s="13" t="s">
        <v>26</v>
      </c>
      <c r="E1205" s="13" t="s">
        <v>1973</v>
      </c>
      <c r="F1205" s="13" t="s">
        <v>335</v>
      </c>
    </row>
    <row r="1206" spans="1:6" hidden="1" x14ac:dyDescent="0.25">
      <c r="A1206" s="13" t="s">
        <v>78</v>
      </c>
      <c r="B1206" s="13">
        <v>80754</v>
      </c>
      <c r="C1206" s="13" t="s">
        <v>354</v>
      </c>
      <c r="D1206" s="13" t="s">
        <v>64</v>
      </c>
      <c r="E1206" s="13" t="s">
        <v>1973</v>
      </c>
      <c r="F1206" s="13" t="s">
        <v>335</v>
      </c>
    </row>
    <row r="1207" spans="1:6" hidden="1" x14ac:dyDescent="0.25">
      <c r="A1207" s="13" t="s">
        <v>78</v>
      </c>
      <c r="B1207" s="13">
        <v>80667</v>
      </c>
      <c r="C1207" s="13" t="s">
        <v>141</v>
      </c>
      <c r="D1207" s="13" t="s">
        <v>141</v>
      </c>
      <c r="E1207" s="13" t="s">
        <v>2059</v>
      </c>
      <c r="F1207" s="13" t="s">
        <v>335</v>
      </c>
    </row>
    <row r="1208" spans="1:6" hidden="1" x14ac:dyDescent="0.25">
      <c r="A1208" s="13" t="s">
        <v>78</v>
      </c>
      <c r="B1208" s="13">
        <v>80064</v>
      </c>
      <c r="C1208" s="13" t="s">
        <v>2095</v>
      </c>
      <c r="D1208" s="13" t="s">
        <v>26</v>
      </c>
      <c r="E1208" s="13" t="s">
        <v>2210</v>
      </c>
      <c r="F1208" s="13" t="s">
        <v>335</v>
      </c>
    </row>
    <row r="1209" spans="1:6" hidden="1" x14ac:dyDescent="0.25">
      <c r="A1209" s="13" t="s">
        <v>78</v>
      </c>
      <c r="B1209" s="13">
        <v>82707</v>
      </c>
      <c r="C1209" s="13" t="s">
        <v>1926</v>
      </c>
      <c r="D1209" s="13" t="s">
        <v>1886</v>
      </c>
      <c r="E1209" s="13" t="s">
        <v>2491</v>
      </c>
      <c r="F1209" s="13" t="s">
        <v>335</v>
      </c>
    </row>
    <row r="1210" spans="1:6" hidden="1" x14ac:dyDescent="0.25">
      <c r="A1210" s="13" t="s">
        <v>78</v>
      </c>
      <c r="B1210" s="13">
        <v>82706</v>
      </c>
      <c r="C1210" s="13" t="s">
        <v>1926</v>
      </c>
      <c r="D1210" s="13" t="s">
        <v>1886</v>
      </c>
      <c r="E1210" s="13" t="s">
        <v>2491</v>
      </c>
      <c r="F1210" s="13" t="s">
        <v>335</v>
      </c>
    </row>
    <row r="1211" spans="1:6" hidden="1" x14ac:dyDescent="0.25">
      <c r="A1211" s="13" t="s">
        <v>21</v>
      </c>
      <c r="B1211" s="13">
        <v>82554</v>
      </c>
      <c r="C1211" s="13" t="s">
        <v>1900</v>
      </c>
      <c r="D1211" s="13" t="s">
        <v>56</v>
      </c>
      <c r="E1211" s="13" t="s">
        <v>1901</v>
      </c>
      <c r="F1211" s="13" t="s">
        <v>335</v>
      </c>
    </row>
    <row r="1212" spans="1:6" hidden="1" x14ac:dyDescent="0.25">
      <c r="A1212" s="13" t="s">
        <v>21</v>
      </c>
      <c r="B1212" s="13">
        <v>82551</v>
      </c>
      <c r="C1212" s="13" t="s">
        <v>1848</v>
      </c>
      <c r="D1212" s="13" t="s">
        <v>56</v>
      </c>
      <c r="E1212" s="13" t="s">
        <v>1901</v>
      </c>
      <c r="F1212" s="13" t="s">
        <v>335</v>
      </c>
    </row>
    <row r="1213" spans="1:6" hidden="1" x14ac:dyDescent="0.25">
      <c r="A1213" s="13" t="s">
        <v>78</v>
      </c>
      <c r="B1213" s="13" t="s">
        <v>2817</v>
      </c>
      <c r="C1213" s="13" t="s">
        <v>1848</v>
      </c>
      <c r="D1213" s="13" t="s">
        <v>56</v>
      </c>
      <c r="E1213" s="13" t="s">
        <v>1901</v>
      </c>
      <c r="F1213" s="13" t="s">
        <v>335</v>
      </c>
    </row>
    <row r="1214" spans="1:6" hidden="1" x14ac:dyDescent="0.25">
      <c r="A1214" s="13" t="s">
        <v>21</v>
      </c>
      <c r="B1214" s="13">
        <v>82555</v>
      </c>
      <c r="C1214" s="13" t="s">
        <v>2621</v>
      </c>
      <c r="D1214" s="13" t="s">
        <v>56</v>
      </c>
      <c r="E1214" s="13" t="s">
        <v>1901</v>
      </c>
      <c r="F1214" s="13" t="s">
        <v>335</v>
      </c>
    </row>
    <row r="1215" spans="1:6" hidden="1" x14ac:dyDescent="0.25">
      <c r="A1215" s="13" t="s">
        <v>78</v>
      </c>
      <c r="B1215" s="13">
        <v>81693</v>
      </c>
      <c r="C1215" s="13" t="s">
        <v>75</v>
      </c>
      <c r="D1215" s="13" t="s">
        <v>75</v>
      </c>
      <c r="E1215" s="13" t="s">
        <v>1960</v>
      </c>
      <c r="F1215" s="13" t="s">
        <v>335</v>
      </c>
    </row>
    <row r="1216" spans="1:6" hidden="1" x14ac:dyDescent="0.25">
      <c r="A1216" s="13" t="s">
        <v>78</v>
      </c>
      <c r="B1216" s="13">
        <v>14479</v>
      </c>
      <c r="C1216" s="13" t="s">
        <v>24</v>
      </c>
      <c r="D1216" s="13" t="s">
        <v>24</v>
      </c>
      <c r="E1216" s="13" t="s">
        <v>1820</v>
      </c>
      <c r="F1216" s="13" t="s">
        <v>335</v>
      </c>
    </row>
    <row r="1217" spans="1:6" hidden="1" x14ac:dyDescent="0.25">
      <c r="A1217" s="13" t="s">
        <v>78</v>
      </c>
      <c r="B1217" s="13">
        <v>80218</v>
      </c>
      <c r="C1217" s="13" t="s">
        <v>71</v>
      </c>
      <c r="D1217" s="13" t="s">
        <v>71</v>
      </c>
      <c r="E1217" s="13" t="s">
        <v>2135</v>
      </c>
      <c r="F1217" s="13" t="s">
        <v>335</v>
      </c>
    </row>
    <row r="1218" spans="1:6" hidden="1" x14ac:dyDescent="0.25">
      <c r="A1218" s="13" t="s">
        <v>78</v>
      </c>
      <c r="B1218" s="13">
        <v>80360</v>
      </c>
      <c r="C1218" s="13" t="s">
        <v>342</v>
      </c>
      <c r="D1218" s="13" t="s">
        <v>2106</v>
      </c>
      <c r="E1218" s="13" t="s">
        <v>2507</v>
      </c>
      <c r="F1218" s="13" t="s">
        <v>335</v>
      </c>
    </row>
    <row r="1219" spans="1:6" hidden="1" x14ac:dyDescent="0.25">
      <c r="A1219" s="13" t="s">
        <v>78</v>
      </c>
      <c r="B1219" s="13">
        <v>14479</v>
      </c>
      <c r="C1219" s="13" t="s">
        <v>24</v>
      </c>
      <c r="D1219" s="13" t="s">
        <v>24</v>
      </c>
      <c r="E1219" s="13" t="s">
        <v>230</v>
      </c>
      <c r="F1219" s="13" t="s">
        <v>335</v>
      </c>
    </row>
    <row r="1220" spans="1:6" hidden="1" x14ac:dyDescent="0.25">
      <c r="A1220" s="13" t="s">
        <v>78</v>
      </c>
      <c r="B1220" s="13">
        <v>80007</v>
      </c>
      <c r="C1220" s="13" t="s">
        <v>24</v>
      </c>
      <c r="D1220" s="13" t="s">
        <v>24</v>
      </c>
      <c r="E1220" s="13" t="s">
        <v>230</v>
      </c>
      <c r="F1220" s="13" t="s">
        <v>335</v>
      </c>
    </row>
    <row r="1221" spans="1:6" hidden="1" x14ac:dyDescent="0.25">
      <c r="A1221" s="13" t="s">
        <v>78</v>
      </c>
      <c r="B1221" s="13">
        <v>79407</v>
      </c>
      <c r="C1221" s="13" t="s">
        <v>64</v>
      </c>
      <c r="D1221" s="13" t="s">
        <v>64</v>
      </c>
      <c r="E1221" s="13" t="s">
        <v>1569</v>
      </c>
      <c r="F1221" s="13" t="s">
        <v>335</v>
      </c>
    </row>
    <row r="1222" spans="1:6" hidden="1" x14ac:dyDescent="0.25">
      <c r="A1222" s="13" t="s">
        <v>78</v>
      </c>
      <c r="B1222" s="13">
        <v>79386</v>
      </c>
      <c r="C1222" s="13" t="s">
        <v>1814</v>
      </c>
      <c r="D1222" s="13" t="s">
        <v>26</v>
      </c>
      <c r="E1222" s="13" t="s">
        <v>1569</v>
      </c>
      <c r="F1222" s="13" t="s">
        <v>335</v>
      </c>
    </row>
    <row r="1223" spans="1:6" hidden="1" x14ac:dyDescent="0.25">
      <c r="A1223" s="13" t="s">
        <v>78</v>
      </c>
      <c r="B1223" s="13">
        <v>80064</v>
      </c>
      <c r="C1223" s="13" t="s">
        <v>2095</v>
      </c>
      <c r="D1223" s="13" t="s">
        <v>26</v>
      </c>
      <c r="E1223" s="13" t="s">
        <v>1569</v>
      </c>
      <c r="F1223" s="13" t="s">
        <v>335</v>
      </c>
    </row>
    <row r="1224" spans="1:6" hidden="1" x14ac:dyDescent="0.25">
      <c r="A1224" s="13" t="s">
        <v>78</v>
      </c>
      <c r="B1224" s="13">
        <v>81260</v>
      </c>
      <c r="C1224" s="13" t="s">
        <v>319</v>
      </c>
      <c r="D1224" s="13" t="s">
        <v>2164</v>
      </c>
      <c r="E1224" s="13" t="s">
        <v>2284</v>
      </c>
      <c r="F1224" s="13" t="s">
        <v>335</v>
      </c>
    </row>
    <row r="1225" spans="1:6" hidden="1" x14ac:dyDescent="0.25">
      <c r="A1225" s="13" t="s">
        <v>78</v>
      </c>
      <c r="B1225" s="13">
        <v>81259</v>
      </c>
      <c r="C1225" s="13" t="s">
        <v>320</v>
      </c>
      <c r="D1225" s="13" t="s">
        <v>109</v>
      </c>
      <c r="E1225" s="13" t="s">
        <v>2417</v>
      </c>
      <c r="F1225" s="13" t="s">
        <v>335</v>
      </c>
    </row>
    <row r="1226" spans="1:6" hidden="1" x14ac:dyDescent="0.25">
      <c r="A1226" s="13" t="s">
        <v>78</v>
      </c>
      <c r="B1226" s="13">
        <v>81259</v>
      </c>
      <c r="C1226" s="13" t="s">
        <v>320</v>
      </c>
      <c r="D1226" s="13" t="s">
        <v>109</v>
      </c>
      <c r="E1226" s="13" t="s">
        <v>2053</v>
      </c>
      <c r="F1226" s="13" t="s">
        <v>335</v>
      </c>
    </row>
    <row r="1227" spans="1:6" hidden="1" x14ac:dyDescent="0.25">
      <c r="A1227" s="13" t="s">
        <v>78</v>
      </c>
      <c r="B1227" s="13">
        <v>81259</v>
      </c>
      <c r="C1227" s="13" t="s">
        <v>320</v>
      </c>
      <c r="D1227" s="13" t="s">
        <v>109</v>
      </c>
      <c r="E1227" s="13" t="s">
        <v>1958</v>
      </c>
      <c r="F1227" s="13" t="s">
        <v>335</v>
      </c>
    </row>
    <row r="1228" spans="1:6" hidden="1" x14ac:dyDescent="0.25">
      <c r="A1228" s="13" t="s">
        <v>78</v>
      </c>
      <c r="B1228" s="13">
        <v>80958</v>
      </c>
      <c r="C1228" s="13" t="s">
        <v>1856</v>
      </c>
      <c r="D1228" s="13" t="s">
        <v>1977</v>
      </c>
      <c r="E1228" s="13" t="s">
        <v>2299</v>
      </c>
      <c r="F1228" s="13" t="s">
        <v>335</v>
      </c>
    </row>
    <row r="1229" spans="1:6" hidden="1" x14ac:dyDescent="0.25">
      <c r="A1229" s="13" t="s">
        <v>78</v>
      </c>
      <c r="B1229" s="13">
        <v>95005</v>
      </c>
      <c r="C1229" s="13" t="s">
        <v>303</v>
      </c>
      <c r="D1229" s="13" t="s">
        <v>104</v>
      </c>
      <c r="E1229" s="13" t="s">
        <v>2108</v>
      </c>
      <c r="F1229" s="13" t="s">
        <v>335</v>
      </c>
    </row>
    <row r="1230" spans="1:6" hidden="1" x14ac:dyDescent="0.25">
      <c r="A1230" s="13" t="s">
        <v>78</v>
      </c>
      <c r="B1230" s="13">
        <v>82050</v>
      </c>
      <c r="C1230" s="13" t="s">
        <v>61</v>
      </c>
      <c r="D1230" s="13" t="s">
        <v>61</v>
      </c>
      <c r="E1230" s="13" t="s">
        <v>2355</v>
      </c>
      <c r="F1230" s="13" t="s">
        <v>335</v>
      </c>
    </row>
    <row r="1231" spans="1:6" hidden="1" x14ac:dyDescent="0.25">
      <c r="A1231" s="13" t="s">
        <v>78</v>
      </c>
      <c r="B1231" s="13">
        <v>80749</v>
      </c>
      <c r="C1231" s="13" t="s">
        <v>343</v>
      </c>
      <c r="D1231" s="13" t="s">
        <v>1886</v>
      </c>
      <c r="E1231" s="13" t="s">
        <v>1964</v>
      </c>
      <c r="F1231" s="13" t="s">
        <v>335</v>
      </c>
    </row>
    <row r="1232" spans="1:6" hidden="1" x14ac:dyDescent="0.25">
      <c r="A1232" s="13" t="s">
        <v>78</v>
      </c>
      <c r="B1232" s="13">
        <v>12413</v>
      </c>
      <c r="C1232" s="13" t="s">
        <v>51</v>
      </c>
      <c r="D1232" s="13" t="s">
        <v>51</v>
      </c>
      <c r="E1232" s="13" t="s">
        <v>239</v>
      </c>
      <c r="F1232" s="13" t="s">
        <v>335</v>
      </c>
    </row>
    <row r="1233" spans="1:6" hidden="1" x14ac:dyDescent="0.25">
      <c r="A1233" s="13" t="s">
        <v>78</v>
      </c>
      <c r="B1233" s="13">
        <v>82787</v>
      </c>
      <c r="C1233" s="13" t="s">
        <v>51</v>
      </c>
      <c r="D1233" s="13" t="s">
        <v>51</v>
      </c>
      <c r="E1233" s="13" t="s">
        <v>239</v>
      </c>
      <c r="F1233" s="13" t="s">
        <v>335</v>
      </c>
    </row>
    <row r="1234" spans="1:6" hidden="1" x14ac:dyDescent="0.25">
      <c r="A1234" s="13" t="s">
        <v>78</v>
      </c>
      <c r="B1234" s="13">
        <v>83118</v>
      </c>
      <c r="C1234" s="13" t="s">
        <v>2426</v>
      </c>
      <c r="D1234" s="13" t="s">
        <v>2426</v>
      </c>
      <c r="E1234" s="13" t="s">
        <v>2625</v>
      </c>
      <c r="F1234" s="13" t="s">
        <v>335</v>
      </c>
    </row>
    <row r="1235" spans="1:6" hidden="1" x14ac:dyDescent="0.25">
      <c r="A1235" s="13" t="s">
        <v>21</v>
      </c>
      <c r="B1235" s="13">
        <v>83118</v>
      </c>
      <c r="C1235" s="13" t="s">
        <v>2426</v>
      </c>
      <c r="D1235" s="13" t="s">
        <v>2426</v>
      </c>
      <c r="E1235" s="13" t="s">
        <v>2625</v>
      </c>
      <c r="F1235" s="13" t="s">
        <v>335</v>
      </c>
    </row>
    <row r="1236" spans="1:6" hidden="1" x14ac:dyDescent="0.25">
      <c r="A1236" s="13" t="s">
        <v>78</v>
      </c>
      <c r="B1236" s="13">
        <v>80375</v>
      </c>
      <c r="C1236" s="13" t="s">
        <v>398</v>
      </c>
      <c r="D1236" s="13" t="s">
        <v>14</v>
      </c>
      <c r="E1236" s="13" t="s">
        <v>675</v>
      </c>
      <c r="F1236" s="13" t="s">
        <v>335</v>
      </c>
    </row>
    <row r="1237" spans="1:6" hidden="1" x14ac:dyDescent="0.25">
      <c r="A1237" s="13" t="s">
        <v>78</v>
      </c>
      <c r="B1237" s="13">
        <v>81199</v>
      </c>
      <c r="C1237" s="13" t="s">
        <v>300</v>
      </c>
      <c r="D1237" s="13" t="s">
        <v>300</v>
      </c>
      <c r="E1237" s="13" t="s">
        <v>2469</v>
      </c>
      <c r="F1237" s="13" t="s">
        <v>335</v>
      </c>
    </row>
    <row r="1238" spans="1:6" hidden="1" x14ac:dyDescent="0.25">
      <c r="A1238" s="13" t="s">
        <v>78</v>
      </c>
      <c r="B1238" s="13">
        <v>95007</v>
      </c>
      <c r="C1238" s="13" t="s">
        <v>104</v>
      </c>
      <c r="D1238" s="13" t="s">
        <v>104</v>
      </c>
      <c r="E1238" s="13" t="s">
        <v>1916</v>
      </c>
      <c r="F1238" s="13" t="s">
        <v>335</v>
      </c>
    </row>
    <row r="1239" spans="1:6" hidden="1" x14ac:dyDescent="0.25">
      <c r="A1239" s="13" t="s">
        <v>78</v>
      </c>
      <c r="B1239" s="13">
        <v>95005</v>
      </c>
      <c r="C1239" s="13" t="s">
        <v>303</v>
      </c>
      <c r="D1239" s="13" t="s">
        <v>104</v>
      </c>
      <c r="E1239" s="13" t="s">
        <v>1916</v>
      </c>
      <c r="F1239" s="13" t="s">
        <v>335</v>
      </c>
    </row>
    <row r="1240" spans="1:6" hidden="1" x14ac:dyDescent="0.25">
      <c r="A1240" s="13" t="s">
        <v>78</v>
      </c>
      <c r="B1240" s="13">
        <v>95005</v>
      </c>
      <c r="C1240" s="13" t="s">
        <v>303</v>
      </c>
      <c r="D1240" s="13" t="s">
        <v>104</v>
      </c>
      <c r="E1240" s="13" t="s">
        <v>2429</v>
      </c>
      <c r="F1240" s="13" t="s">
        <v>335</v>
      </c>
    </row>
    <row r="1241" spans="1:6" hidden="1" x14ac:dyDescent="0.25">
      <c r="A1241" s="13" t="s">
        <v>78</v>
      </c>
      <c r="B1241" s="13">
        <v>14479</v>
      </c>
      <c r="C1241" s="13" t="s">
        <v>24</v>
      </c>
      <c r="D1241" s="13" t="s">
        <v>24</v>
      </c>
      <c r="E1241" s="13" t="s">
        <v>228</v>
      </c>
      <c r="F1241" s="13" t="s">
        <v>335</v>
      </c>
    </row>
    <row r="1242" spans="1:6" hidden="1" x14ac:dyDescent="0.25">
      <c r="A1242" s="13" t="s">
        <v>78</v>
      </c>
      <c r="B1242" s="13">
        <v>82018</v>
      </c>
      <c r="C1242" s="13" t="s">
        <v>2338</v>
      </c>
      <c r="D1242" s="13" t="s">
        <v>2339</v>
      </c>
      <c r="E1242" s="13" t="s">
        <v>391</v>
      </c>
      <c r="F1242" s="13" t="s">
        <v>335</v>
      </c>
    </row>
    <row r="1243" spans="1:6" hidden="1" x14ac:dyDescent="0.25">
      <c r="A1243" s="13" t="s">
        <v>78</v>
      </c>
      <c r="B1243" s="13">
        <v>79746</v>
      </c>
      <c r="C1243" s="13" t="s">
        <v>90</v>
      </c>
      <c r="D1243" s="13" t="s">
        <v>90</v>
      </c>
      <c r="E1243" s="13" t="s">
        <v>2624</v>
      </c>
      <c r="F1243" s="13" t="s">
        <v>335</v>
      </c>
    </row>
    <row r="1244" spans="1:6" hidden="1" x14ac:dyDescent="0.25">
      <c r="A1244" s="13" t="s">
        <v>78</v>
      </c>
      <c r="B1244" s="13">
        <v>79313</v>
      </c>
      <c r="C1244" s="13" t="s">
        <v>1930</v>
      </c>
      <c r="D1244" s="13" t="s">
        <v>1930</v>
      </c>
      <c r="E1244" s="13" t="s">
        <v>192</v>
      </c>
      <c r="F1244" s="13" t="s">
        <v>335</v>
      </c>
    </row>
    <row r="1245" spans="1:6" hidden="1" x14ac:dyDescent="0.25">
      <c r="A1245" s="13" t="s">
        <v>21</v>
      </c>
      <c r="B1245" s="13">
        <v>81765</v>
      </c>
      <c r="C1245" s="13" t="s">
        <v>1930</v>
      </c>
      <c r="D1245" s="13" t="s">
        <v>1930</v>
      </c>
      <c r="E1245" s="13" t="s">
        <v>192</v>
      </c>
      <c r="F1245" s="13" t="s">
        <v>335</v>
      </c>
    </row>
    <row r="1246" spans="1:6" hidden="1" x14ac:dyDescent="0.25">
      <c r="A1246" s="13" t="s">
        <v>78</v>
      </c>
      <c r="B1246" s="13">
        <v>14383</v>
      </c>
      <c r="C1246" s="13" t="s">
        <v>1930</v>
      </c>
      <c r="D1246" s="13" t="s">
        <v>1930</v>
      </c>
      <c r="E1246" s="13" t="s">
        <v>192</v>
      </c>
      <c r="F1246" s="13" t="s">
        <v>335</v>
      </c>
    </row>
    <row r="1247" spans="1:6" hidden="1" x14ac:dyDescent="0.25">
      <c r="A1247" s="13" t="s">
        <v>78</v>
      </c>
      <c r="B1247" s="13">
        <v>79602</v>
      </c>
      <c r="C1247" s="13" t="s">
        <v>63</v>
      </c>
      <c r="D1247" s="13" t="s">
        <v>85</v>
      </c>
      <c r="E1247" s="13" t="s">
        <v>2130</v>
      </c>
      <c r="F1247" s="13" t="s">
        <v>335</v>
      </c>
    </row>
    <row r="1248" spans="1:6" hidden="1" x14ac:dyDescent="0.25">
      <c r="A1248" s="13" t="s">
        <v>21</v>
      </c>
      <c r="B1248" s="13">
        <v>79409</v>
      </c>
      <c r="C1248" s="13" t="s">
        <v>63</v>
      </c>
      <c r="D1248" s="13" t="s">
        <v>85</v>
      </c>
      <c r="E1248" s="13" t="s">
        <v>2130</v>
      </c>
      <c r="F1248" s="13" t="s">
        <v>335</v>
      </c>
    </row>
    <row r="1249" spans="1:6" hidden="1" x14ac:dyDescent="0.25">
      <c r="A1249" s="13" t="s">
        <v>78</v>
      </c>
      <c r="B1249" s="13">
        <v>80961</v>
      </c>
      <c r="C1249" s="13" t="s">
        <v>85</v>
      </c>
      <c r="D1249" s="13" t="s">
        <v>85</v>
      </c>
      <c r="E1249" s="13" t="s">
        <v>2052</v>
      </c>
      <c r="F1249" s="13" t="s">
        <v>335</v>
      </c>
    </row>
    <row r="1250" spans="1:6" hidden="1" x14ac:dyDescent="0.25">
      <c r="A1250" s="13" t="s">
        <v>21</v>
      </c>
      <c r="B1250" s="13">
        <v>81653</v>
      </c>
      <c r="C1250" s="13" t="s">
        <v>85</v>
      </c>
      <c r="D1250" s="13" t="s">
        <v>85</v>
      </c>
      <c r="E1250" s="13" t="s">
        <v>2052</v>
      </c>
      <c r="F1250" s="13" t="s">
        <v>335</v>
      </c>
    </row>
    <row r="1251" spans="1:6" hidden="1" x14ac:dyDescent="0.25">
      <c r="A1251" s="13" t="s">
        <v>78</v>
      </c>
      <c r="B1251" s="13">
        <v>83103</v>
      </c>
      <c r="C1251" s="13" t="s">
        <v>2467</v>
      </c>
      <c r="D1251" s="13" t="s">
        <v>2467</v>
      </c>
      <c r="E1251" s="13" t="s">
        <v>2468</v>
      </c>
      <c r="F1251" s="13" t="s">
        <v>335</v>
      </c>
    </row>
    <row r="1252" spans="1:6" hidden="1" x14ac:dyDescent="0.25">
      <c r="A1252" s="13" t="s">
        <v>78</v>
      </c>
      <c r="B1252" s="13">
        <v>81707</v>
      </c>
      <c r="C1252" s="13" t="s">
        <v>408</v>
      </c>
      <c r="D1252" s="13" t="s">
        <v>408</v>
      </c>
      <c r="E1252" s="13" t="s">
        <v>1966</v>
      </c>
      <c r="F1252" s="13" t="s">
        <v>335</v>
      </c>
    </row>
    <row r="1253" spans="1:6" hidden="1" x14ac:dyDescent="0.25">
      <c r="A1253" s="13" t="s">
        <v>78</v>
      </c>
      <c r="B1253" s="13">
        <v>80654</v>
      </c>
      <c r="C1253" s="13" t="s">
        <v>131</v>
      </c>
      <c r="D1253" s="13" t="s">
        <v>131</v>
      </c>
      <c r="E1253" s="13" t="s">
        <v>2245</v>
      </c>
      <c r="F1253" s="13" t="s">
        <v>335</v>
      </c>
    </row>
    <row r="1254" spans="1:6" hidden="1" x14ac:dyDescent="0.25">
      <c r="A1254" s="13" t="s">
        <v>78</v>
      </c>
      <c r="B1254" s="13">
        <v>95007</v>
      </c>
      <c r="C1254" s="13" t="s">
        <v>104</v>
      </c>
      <c r="D1254" s="13" t="s">
        <v>104</v>
      </c>
      <c r="E1254" s="13" t="s">
        <v>271</v>
      </c>
      <c r="F1254" s="13" t="s">
        <v>335</v>
      </c>
    </row>
    <row r="1255" spans="1:6" hidden="1" x14ac:dyDescent="0.25">
      <c r="A1255" s="13" t="s">
        <v>78</v>
      </c>
      <c r="B1255" s="13">
        <v>95005</v>
      </c>
      <c r="C1255" s="13" t="s">
        <v>303</v>
      </c>
      <c r="D1255" s="13" t="s">
        <v>104</v>
      </c>
      <c r="E1255" s="13" t="s">
        <v>271</v>
      </c>
      <c r="F1255" s="13" t="s">
        <v>335</v>
      </c>
    </row>
    <row r="1256" spans="1:6" hidden="1" x14ac:dyDescent="0.25">
      <c r="A1256" s="13" t="s">
        <v>78</v>
      </c>
      <c r="B1256" s="13">
        <v>95014</v>
      </c>
      <c r="C1256" s="13" t="s">
        <v>1889</v>
      </c>
      <c r="D1256" s="13" t="s">
        <v>104</v>
      </c>
      <c r="E1256" s="13" t="s">
        <v>271</v>
      </c>
      <c r="F1256" s="13" t="s">
        <v>335</v>
      </c>
    </row>
    <row r="1257" spans="1:6" hidden="1" x14ac:dyDescent="0.25">
      <c r="A1257" s="13" t="s">
        <v>78</v>
      </c>
      <c r="B1257" s="13">
        <v>82639</v>
      </c>
      <c r="C1257" s="13" t="s">
        <v>1921</v>
      </c>
      <c r="D1257" s="13" t="s">
        <v>1921</v>
      </c>
      <c r="E1257" s="13" t="s">
        <v>2078</v>
      </c>
      <c r="F1257" s="13" t="s">
        <v>335</v>
      </c>
    </row>
    <row r="1258" spans="1:6" hidden="1" x14ac:dyDescent="0.25">
      <c r="A1258" s="13" t="s">
        <v>78</v>
      </c>
      <c r="B1258" s="13">
        <v>80359</v>
      </c>
      <c r="C1258" s="13" t="s">
        <v>76</v>
      </c>
      <c r="D1258" s="13" t="s">
        <v>76</v>
      </c>
      <c r="E1258" s="13" t="s">
        <v>2327</v>
      </c>
      <c r="F1258" s="13" t="s">
        <v>335</v>
      </c>
    </row>
    <row r="1259" spans="1:6" hidden="1" x14ac:dyDescent="0.25">
      <c r="A1259" s="13" t="s">
        <v>21</v>
      </c>
      <c r="B1259" s="13">
        <v>81291</v>
      </c>
      <c r="C1259" s="13" t="s">
        <v>2029</v>
      </c>
      <c r="D1259" s="13" t="s">
        <v>2029</v>
      </c>
      <c r="E1259" s="13" t="s">
        <v>2631</v>
      </c>
      <c r="F1259" s="13" t="s">
        <v>335</v>
      </c>
    </row>
    <row r="1260" spans="1:6" hidden="1" x14ac:dyDescent="0.25">
      <c r="A1260" s="13" t="s">
        <v>78</v>
      </c>
      <c r="B1260" s="13">
        <v>80111</v>
      </c>
      <c r="C1260" s="13" t="s">
        <v>2009</v>
      </c>
      <c r="D1260" s="13" t="s">
        <v>152</v>
      </c>
      <c r="E1260" s="13" t="s">
        <v>2129</v>
      </c>
      <c r="F1260" s="13" t="s">
        <v>335</v>
      </c>
    </row>
    <row r="1261" spans="1:6" hidden="1" x14ac:dyDescent="0.25">
      <c r="A1261" s="13" t="s">
        <v>78</v>
      </c>
      <c r="B1261" s="13">
        <v>82639</v>
      </c>
      <c r="C1261" s="13" t="s">
        <v>1921</v>
      </c>
      <c r="D1261" s="13" t="s">
        <v>1921</v>
      </c>
      <c r="E1261" s="13" t="s">
        <v>2158</v>
      </c>
      <c r="F1261" s="13" t="s">
        <v>335</v>
      </c>
    </row>
    <row r="1262" spans="1:6" hidden="1" x14ac:dyDescent="0.25">
      <c r="A1262" s="13" t="s">
        <v>78</v>
      </c>
      <c r="B1262" s="13">
        <v>81767</v>
      </c>
      <c r="C1262" s="13" t="s">
        <v>2445</v>
      </c>
      <c r="D1262" s="13" t="s">
        <v>2445</v>
      </c>
      <c r="E1262" s="13" t="s">
        <v>2158</v>
      </c>
      <c r="F1262" s="13" t="s">
        <v>335</v>
      </c>
    </row>
    <row r="1263" spans="1:6" hidden="1" x14ac:dyDescent="0.25">
      <c r="A1263" s="13" t="s">
        <v>78</v>
      </c>
      <c r="B1263" s="13">
        <v>79258</v>
      </c>
      <c r="C1263" s="13" t="s">
        <v>398</v>
      </c>
      <c r="D1263" s="13" t="s">
        <v>14</v>
      </c>
      <c r="E1263" s="13" t="s">
        <v>2035</v>
      </c>
      <c r="F1263" s="13" t="s">
        <v>335</v>
      </c>
    </row>
    <row r="1264" spans="1:6" hidden="1" x14ac:dyDescent="0.25">
      <c r="A1264" s="13" t="s">
        <v>78</v>
      </c>
      <c r="B1264" s="13">
        <v>80667</v>
      </c>
      <c r="C1264" s="13" t="s">
        <v>141</v>
      </c>
      <c r="D1264" s="13" t="s">
        <v>141</v>
      </c>
      <c r="E1264" s="13" t="s">
        <v>2010</v>
      </c>
      <c r="F1264" s="13" t="s">
        <v>335</v>
      </c>
    </row>
    <row r="1265" spans="1:6" hidden="1" x14ac:dyDescent="0.25">
      <c r="A1265" s="13" t="s">
        <v>21</v>
      </c>
      <c r="B1265" s="13">
        <v>83061</v>
      </c>
      <c r="C1265" s="13" t="s">
        <v>2420</v>
      </c>
      <c r="D1265" s="13" t="s">
        <v>2421</v>
      </c>
      <c r="E1265" s="13" t="s">
        <v>2428</v>
      </c>
      <c r="F1265" s="13" t="s">
        <v>335</v>
      </c>
    </row>
    <row r="1266" spans="1:6" hidden="1" x14ac:dyDescent="0.25">
      <c r="A1266" s="13" t="s">
        <v>78</v>
      </c>
      <c r="B1266" s="13">
        <v>83063</v>
      </c>
      <c r="C1266" s="13" t="s">
        <v>2420</v>
      </c>
      <c r="D1266" s="13" t="s">
        <v>2421</v>
      </c>
      <c r="E1266" s="13" t="s">
        <v>2428</v>
      </c>
      <c r="F1266" s="13" t="s">
        <v>335</v>
      </c>
    </row>
    <row r="1267" spans="1:6" hidden="1" x14ac:dyDescent="0.25">
      <c r="A1267" s="13" t="s">
        <v>78</v>
      </c>
      <c r="B1267" s="13">
        <v>82053</v>
      </c>
      <c r="C1267" s="13" t="s">
        <v>1856</v>
      </c>
      <c r="D1267" s="13" t="s">
        <v>2145</v>
      </c>
      <c r="E1267" s="13" t="s">
        <v>2297</v>
      </c>
      <c r="F1267" s="13" t="s">
        <v>335</v>
      </c>
    </row>
    <row r="1268" spans="1:6" hidden="1" x14ac:dyDescent="0.25">
      <c r="A1268" s="13" t="s">
        <v>78</v>
      </c>
      <c r="B1268" s="13">
        <v>82053</v>
      </c>
      <c r="C1268" s="13" t="s">
        <v>1856</v>
      </c>
      <c r="D1268" s="13" t="s">
        <v>2145</v>
      </c>
      <c r="E1268" s="13" t="s">
        <v>2202</v>
      </c>
      <c r="F1268" s="13" t="s">
        <v>335</v>
      </c>
    </row>
    <row r="1269" spans="1:6" hidden="1" x14ac:dyDescent="0.25">
      <c r="A1269" s="13" t="s">
        <v>78</v>
      </c>
      <c r="B1269" s="13">
        <v>82053</v>
      </c>
      <c r="C1269" s="13" t="s">
        <v>1856</v>
      </c>
      <c r="D1269" s="13" t="s">
        <v>2145</v>
      </c>
      <c r="E1269" s="13" t="s">
        <v>2300</v>
      </c>
      <c r="F1269" s="13" t="s">
        <v>335</v>
      </c>
    </row>
    <row r="1270" spans="1:6" hidden="1" x14ac:dyDescent="0.25">
      <c r="A1270" s="13" t="s">
        <v>78</v>
      </c>
      <c r="B1270" s="13">
        <v>81643</v>
      </c>
      <c r="C1270" s="13" t="s">
        <v>93</v>
      </c>
      <c r="D1270" s="13" t="s">
        <v>1903</v>
      </c>
      <c r="E1270" s="13" t="s">
        <v>255</v>
      </c>
      <c r="F1270" s="13" t="s">
        <v>335</v>
      </c>
    </row>
    <row r="1271" spans="1:6" hidden="1" x14ac:dyDescent="0.25">
      <c r="A1271" s="13" t="s">
        <v>78</v>
      </c>
      <c r="B1271" s="13">
        <v>81665</v>
      </c>
      <c r="C1271" s="13" t="s">
        <v>93</v>
      </c>
      <c r="D1271" s="13" t="s">
        <v>1903</v>
      </c>
      <c r="E1271" s="13" t="s">
        <v>255</v>
      </c>
      <c r="F1271" s="13" t="s">
        <v>335</v>
      </c>
    </row>
    <row r="1272" spans="1:6" hidden="1" x14ac:dyDescent="0.25">
      <c r="A1272" s="13" t="s">
        <v>78</v>
      </c>
      <c r="B1272" s="13">
        <v>79460</v>
      </c>
      <c r="C1272" s="13" t="s">
        <v>398</v>
      </c>
      <c r="D1272" s="13" t="s">
        <v>14</v>
      </c>
      <c r="E1272" s="13" t="s">
        <v>2448</v>
      </c>
      <c r="F1272" s="13" t="s">
        <v>335</v>
      </c>
    </row>
    <row r="1273" spans="1:6" hidden="1" x14ac:dyDescent="0.25">
      <c r="A1273" s="13" t="s">
        <v>78</v>
      </c>
      <c r="B1273" s="13">
        <v>83036</v>
      </c>
      <c r="C1273" s="13" t="s">
        <v>2350</v>
      </c>
      <c r="D1273" s="13" t="s">
        <v>2351</v>
      </c>
      <c r="E1273" s="13" t="s">
        <v>2352</v>
      </c>
      <c r="F1273" s="13" t="s">
        <v>335</v>
      </c>
    </row>
    <row r="1274" spans="1:6" hidden="1" x14ac:dyDescent="0.25">
      <c r="A1274" s="13" t="s">
        <v>78</v>
      </c>
      <c r="B1274" s="13">
        <v>83100</v>
      </c>
      <c r="C1274" s="13" t="s">
        <v>2623</v>
      </c>
      <c r="D1274" s="13" t="s">
        <v>2351</v>
      </c>
      <c r="E1274" s="13" t="s">
        <v>2352</v>
      </c>
      <c r="F1274" s="13" t="s">
        <v>335</v>
      </c>
    </row>
    <row r="1275" spans="1:6" hidden="1" x14ac:dyDescent="0.25">
      <c r="A1275" s="13" t="s">
        <v>21</v>
      </c>
      <c r="B1275" s="13">
        <v>83100</v>
      </c>
      <c r="C1275" s="13" t="s">
        <v>2623</v>
      </c>
      <c r="D1275" s="13" t="s">
        <v>2351</v>
      </c>
      <c r="E1275" s="13" t="s">
        <v>2352</v>
      </c>
      <c r="F1275" s="13" t="s">
        <v>335</v>
      </c>
    </row>
    <row r="1276" spans="1:6" hidden="1" x14ac:dyDescent="0.25">
      <c r="A1276" s="13" t="s">
        <v>78</v>
      </c>
      <c r="B1276" s="13">
        <v>80041</v>
      </c>
      <c r="C1276" s="13" t="s">
        <v>68</v>
      </c>
      <c r="D1276" s="13" t="s">
        <v>68</v>
      </c>
      <c r="E1276" s="13" t="s">
        <v>209</v>
      </c>
      <c r="F1276" s="13" t="s">
        <v>335</v>
      </c>
    </row>
    <row r="1277" spans="1:6" hidden="1" x14ac:dyDescent="0.25">
      <c r="A1277" s="13" t="s">
        <v>78</v>
      </c>
      <c r="B1277" s="13">
        <v>95007</v>
      </c>
      <c r="C1277" s="13" t="s">
        <v>104</v>
      </c>
      <c r="D1277" s="13" t="s">
        <v>104</v>
      </c>
      <c r="E1277" s="13" t="s">
        <v>2192</v>
      </c>
      <c r="F1277" s="13" t="s">
        <v>335</v>
      </c>
    </row>
    <row r="1278" spans="1:6" hidden="1" x14ac:dyDescent="0.25">
      <c r="A1278" s="13" t="s">
        <v>78</v>
      </c>
      <c r="B1278" s="13">
        <v>81701</v>
      </c>
      <c r="C1278" s="13" t="s">
        <v>2131</v>
      </c>
      <c r="D1278" s="13" t="s">
        <v>104</v>
      </c>
      <c r="E1278" s="13" t="s">
        <v>2192</v>
      </c>
      <c r="F1278" s="13" t="s">
        <v>335</v>
      </c>
    </row>
    <row r="1279" spans="1:6" hidden="1" x14ac:dyDescent="0.25">
      <c r="A1279" s="13" t="s">
        <v>78</v>
      </c>
      <c r="B1279" s="13">
        <v>82707</v>
      </c>
      <c r="C1279" s="13" t="s">
        <v>1926</v>
      </c>
      <c r="D1279" s="13" t="s">
        <v>1886</v>
      </c>
      <c r="E1279" s="13" t="s">
        <v>2296</v>
      </c>
      <c r="F1279" s="13" t="s">
        <v>335</v>
      </c>
    </row>
    <row r="1280" spans="1:6" hidden="1" x14ac:dyDescent="0.25">
      <c r="A1280" s="13" t="s">
        <v>78</v>
      </c>
      <c r="B1280" s="13">
        <v>80375</v>
      </c>
      <c r="C1280" s="13" t="s">
        <v>398</v>
      </c>
      <c r="D1280" s="13" t="s">
        <v>14</v>
      </c>
      <c r="E1280" s="13" t="s">
        <v>1878</v>
      </c>
      <c r="F1280" s="13" t="s">
        <v>335</v>
      </c>
    </row>
    <row r="1281" spans="1:6" hidden="1" x14ac:dyDescent="0.25">
      <c r="A1281" s="13" t="s">
        <v>78</v>
      </c>
      <c r="B1281" s="13">
        <v>81259</v>
      </c>
      <c r="C1281" s="13" t="s">
        <v>320</v>
      </c>
      <c r="D1281" s="13" t="s">
        <v>109</v>
      </c>
      <c r="E1281" s="13" t="s">
        <v>2528</v>
      </c>
      <c r="F1281" s="13" t="s">
        <v>335</v>
      </c>
    </row>
    <row r="1282" spans="1:6" hidden="1" x14ac:dyDescent="0.25">
      <c r="A1282" s="13" t="s">
        <v>78</v>
      </c>
      <c r="B1282" s="13">
        <v>80667</v>
      </c>
      <c r="C1282" s="13" t="s">
        <v>141</v>
      </c>
      <c r="D1282" s="13" t="s">
        <v>141</v>
      </c>
      <c r="E1282" s="13" t="s">
        <v>2394</v>
      </c>
      <c r="F1282" s="13" t="s">
        <v>335</v>
      </c>
    </row>
    <row r="1283" spans="1:6" hidden="1" x14ac:dyDescent="0.25">
      <c r="A1283" s="13" t="s">
        <v>21</v>
      </c>
      <c r="B1283" s="13">
        <v>12296</v>
      </c>
      <c r="C1283" s="13" t="s">
        <v>2022</v>
      </c>
      <c r="D1283" s="13" t="s">
        <v>2022</v>
      </c>
      <c r="E1283" s="13" t="s">
        <v>2023</v>
      </c>
      <c r="F1283" s="13" t="s">
        <v>335</v>
      </c>
    </row>
    <row r="1284" spans="1:6" hidden="1" x14ac:dyDescent="0.25">
      <c r="A1284" s="13" t="s">
        <v>21</v>
      </c>
      <c r="B1284" s="13">
        <v>82841</v>
      </c>
      <c r="C1284" s="13" t="s">
        <v>2114</v>
      </c>
      <c r="D1284" s="13" t="s">
        <v>2114</v>
      </c>
      <c r="E1284" s="13" t="s">
        <v>2399</v>
      </c>
      <c r="F1284" s="13" t="s">
        <v>335</v>
      </c>
    </row>
    <row r="1285" spans="1:6" hidden="1" x14ac:dyDescent="0.25">
      <c r="A1285" s="13" t="s">
        <v>78</v>
      </c>
      <c r="B1285" s="13">
        <v>82764</v>
      </c>
      <c r="C1285" s="13" t="s">
        <v>2007</v>
      </c>
      <c r="D1285" s="13" t="s">
        <v>2007</v>
      </c>
      <c r="E1285" s="13" t="s">
        <v>2262</v>
      </c>
      <c r="F1285" s="13" t="s">
        <v>335</v>
      </c>
    </row>
    <row r="1286" spans="1:6" hidden="1" x14ac:dyDescent="0.25">
      <c r="A1286" s="13" t="s">
        <v>78</v>
      </c>
      <c r="B1286" s="13">
        <v>14479</v>
      </c>
      <c r="C1286" s="13" t="s">
        <v>24</v>
      </c>
      <c r="D1286" s="13" t="s">
        <v>24</v>
      </c>
      <c r="E1286" s="13" t="s">
        <v>214</v>
      </c>
      <c r="F1286" s="13" t="s">
        <v>335</v>
      </c>
    </row>
    <row r="1287" spans="1:6" hidden="1" x14ac:dyDescent="0.25">
      <c r="A1287" s="13" t="s">
        <v>78</v>
      </c>
      <c r="B1287" s="13">
        <v>80667</v>
      </c>
      <c r="C1287" s="13" t="s">
        <v>141</v>
      </c>
      <c r="D1287" s="13" t="s">
        <v>141</v>
      </c>
      <c r="E1287" s="13" t="s">
        <v>1971</v>
      </c>
      <c r="F1287" s="13" t="s">
        <v>335</v>
      </c>
    </row>
    <row r="1288" spans="1:6" hidden="1" x14ac:dyDescent="0.25">
      <c r="A1288" s="13" t="s">
        <v>78</v>
      </c>
      <c r="B1288" s="13">
        <v>80047</v>
      </c>
      <c r="C1288" s="13" t="s">
        <v>112</v>
      </c>
      <c r="D1288" s="13" t="s">
        <v>112</v>
      </c>
      <c r="E1288" s="13" t="s">
        <v>272</v>
      </c>
      <c r="F1288" s="13" t="s">
        <v>335</v>
      </c>
    </row>
    <row r="1289" spans="1:6" hidden="1" x14ac:dyDescent="0.25">
      <c r="A1289" s="13" t="s">
        <v>21</v>
      </c>
      <c r="B1289" s="13">
        <v>80576</v>
      </c>
      <c r="C1289" s="13" t="s">
        <v>128</v>
      </c>
      <c r="D1289" s="13" t="s">
        <v>128</v>
      </c>
      <c r="E1289" s="13" t="s">
        <v>2540</v>
      </c>
      <c r="F1289" s="13" t="s">
        <v>335</v>
      </c>
    </row>
    <row r="1290" spans="1:6" hidden="1" x14ac:dyDescent="0.25">
      <c r="A1290" s="13" t="s">
        <v>78</v>
      </c>
      <c r="B1290" s="13">
        <v>15501</v>
      </c>
      <c r="C1290" s="13" t="s">
        <v>9</v>
      </c>
      <c r="D1290" s="13" t="s">
        <v>9</v>
      </c>
      <c r="E1290" s="13" t="s">
        <v>1991</v>
      </c>
      <c r="F1290" s="13" t="s">
        <v>335</v>
      </c>
    </row>
    <row r="1291" spans="1:6" hidden="1" x14ac:dyDescent="0.25">
      <c r="A1291" s="13" t="s">
        <v>21</v>
      </c>
      <c r="B1291" s="13">
        <v>82831</v>
      </c>
      <c r="C1291" s="13" t="s">
        <v>2260</v>
      </c>
      <c r="D1291" s="13" t="s">
        <v>1899</v>
      </c>
      <c r="E1291" s="13" t="s">
        <v>2261</v>
      </c>
      <c r="F1291" s="13" t="s">
        <v>335</v>
      </c>
    </row>
    <row r="1292" spans="1:6" hidden="1" x14ac:dyDescent="0.25">
      <c r="A1292" s="13" t="s">
        <v>21</v>
      </c>
      <c r="B1292" s="13">
        <v>82830</v>
      </c>
      <c r="C1292" s="13" t="s">
        <v>1899</v>
      </c>
      <c r="D1292" s="13" t="s">
        <v>1899</v>
      </c>
      <c r="E1292" s="13" t="s">
        <v>2261</v>
      </c>
      <c r="F1292" s="13" t="s">
        <v>335</v>
      </c>
    </row>
    <row r="1293" spans="1:6" hidden="1" x14ac:dyDescent="0.25">
      <c r="A1293" s="13" t="s">
        <v>21</v>
      </c>
      <c r="B1293" s="13">
        <v>83140</v>
      </c>
      <c r="C1293" s="13" t="s">
        <v>2648</v>
      </c>
      <c r="D1293" s="13" t="s">
        <v>1899</v>
      </c>
      <c r="E1293" s="13" t="s">
        <v>2261</v>
      </c>
      <c r="F1293" s="13" t="s">
        <v>335</v>
      </c>
    </row>
    <row r="1294" spans="1:6" hidden="1" x14ac:dyDescent="0.25">
      <c r="A1294" s="13" t="s">
        <v>78</v>
      </c>
      <c r="B1294" s="13">
        <v>79258</v>
      </c>
      <c r="C1294" s="13" t="s">
        <v>398</v>
      </c>
      <c r="D1294" s="13" t="s">
        <v>14</v>
      </c>
      <c r="E1294" s="13" t="s">
        <v>1096</v>
      </c>
      <c r="F1294" s="13" t="s">
        <v>335</v>
      </c>
    </row>
    <row r="1295" spans="1:6" hidden="1" x14ac:dyDescent="0.25">
      <c r="A1295" s="13" t="s">
        <v>78</v>
      </c>
      <c r="B1295" s="13">
        <v>79805</v>
      </c>
      <c r="C1295" s="13" t="s">
        <v>54</v>
      </c>
      <c r="D1295" s="13" t="s">
        <v>14</v>
      </c>
      <c r="E1295" s="13" t="s">
        <v>1096</v>
      </c>
      <c r="F1295" s="13" t="s">
        <v>335</v>
      </c>
    </row>
    <row r="1296" spans="1:6" hidden="1" x14ac:dyDescent="0.25">
      <c r="A1296" s="13" t="s">
        <v>21</v>
      </c>
      <c r="B1296" s="13">
        <v>12296</v>
      </c>
      <c r="C1296" s="13" t="s">
        <v>2022</v>
      </c>
      <c r="D1296" s="13" t="s">
        <v>2022</v>
      </c>
      <c r="E1296" s="13" t="s">
        <v>2287</v>
      </c>
      <c r="F1296" s="13" t="s">
        <v>335</v>
      </c>
    </row>
    <row r="1297" spans="1:6" hidden="1" x14ac:dyDescent="0.25">
      <c r="A1297" s="13" t="s">
        <v>78</v>
      </c>
      <c r="B1297" s="13">
        <v>12296</v>
      </c>
      <c r="C1297" s="13" t="s">
        <v>2022</v>
      </c>
      <c r="D1297" s="13" t="s">
        <v>2022</v>
      </c>
      <c r="E1297" s="13" t="s">
        <v>2287</v>
      </c>
      <c r="F1297" s="13" t="s">
        <v>335</v>
      </c>
    </row>
    <row r="1298" spans="1:6" hidden="1" x14ac:dyDescent="0.25">
      <c r="A1298" s="13" t="s">
        <v>78</v>
      </c>
      <c r="B1298" s="13">
        <v>15501</v>
      </c>
      <c r="C1298" s="13" t="s">
        <v>9</v>
      </c>
      <c r="D1298" s="13" t="s">
        <v>9</v>
      </c>
      <c r="E1298" s="13" t="s">
        <v>1982</v>
      </c>
      <c r="F1298" s="13" t="s">
        <v>335</v>
      </c>
    </row>
    <row r="1299" spans="1:6" hidden="1" x14ac:dyDescent="0.25">
      <c r="A1299" s="13" t="s">
        <v>78</v>
      </c>
      <c r="B1299" s="13">
        <v>81977</v>
      </c>
      <c r="C1299" s="13" t="s">
        <v>2201</v>
      </c>
      <c r="D1299" s="13" t="s">
        <v>28</v>
      </c>
      <c r="E1299" s="13" t="s">
        <v>2314</v>
      </c>
      <c r="F1299" s="13" t="s">
        <v>335</v>
      </c>
    </row>
    <row r="1300" spans="1:6" hidden="1" x14ac:dyDescent="0.25">
      <c r="A1300" s="13" t="s">
        <v>78</v>
      </c>
      <c r="B1300" s="13">
        <v>83063</v>
      </c>
      <c r="C1300" s="13" t="s">
        <v>2420</v>
      </c>
      <c r="D1300" s="13" t="s">
        <v>2421</v>
      </c>
      <c r="E1300" s="13" t="s">
        <v>2515</v>
      </c>
      <c r="F1300" s="13" t="s">
        <v>335</v>
      </c>
    </row>
    <row r="1301" spans="1:6" hidden="1" x14ac:dyDescent="0.25">
      <c r="A1301" s="13" t="s">
        <v>78</v>
      </c>
      <c r="B1301" s="13">
        <v>12413</v>
      </c>
      <c r="C1301" s="13" t="s">
        <v>51</v>
      </c>
      <c r="D1301" s="13" t="s">
        <v>51</v>
      </c>
      <c r="E1301" s="13" t="s">
        <v>1793</v>
      </c>
      <c r="F1301" s="13" t="s">
        <v>335</v>
      </c>
    </row>
    <row r="1302" spans="1:6" hidden="1" x14ac:dyDescent="0.25">
      <c r="A1302" s="13" t="s">
        <v>21</v>
      </c>
      <c r="B1302" s="13">
        <v>12413</v>
      </c>
      <c r="C1302" s="13" t="s">
        <v>51</v>
      </c>
      <c r="D1302" s="13" t="s">
        <v>51</v>
      </c>
      <c r="E1302" s="13" t="s">
        <v>1793</v>
      </c>
      <c r="F1302" s="13" t="s">
        <v>335</v>
      </c>
    </row>
    <row r="1303" spans="1:6" hidden="1" x14ac:dyDescent="0.25">
      <c r="A1303" s="13" t="s">
        <v>78</v>
      </c>
      <c r="B1303" s="13">
        <v>80828</v>
      </c>
      <c r="C1303" s="13" t="s">
        <v>137</v>
      </c>
      <c r="D1303" s="13" t="s">
        <v>137</v>
      </c>
      <c r="E1303" s="13" t="s">
        <v>2416</v>
      </c>
      <c r="F1303" s="13" t="s">
        <v>335</v>
      </c>
    </row>
    <row r="1304" spans="1:6" hidden="1" x14ac:dyDescent="0.25">
      <c r="A1304" s="13" t="s">
        <v>78</v>
      </c>
      <c r="B1304" s="13">
        <v>79804</v>
      </c>
      <c r="C1304" s="13" t="s">
        <v>54</v>
      </c>
      <c r="D1304" s="13" t="s">
        <v>14</v>
      </c>
      <c r="E1304" s="13" t="s">
        <v>1993</v>
      </c>
      <c r="F1304" s="13" t="s">
        <v>335</v>
      </c>
    </row>
    <row r="1305" spans="1:6" hidden="1" x14ac:dyDescent="0.25">
      <c r="A1305" s="13" t="s">
        <v>78</v>
      </c>
      <c r="B1305" s="13">
        <v>79798</v>
      </c>
      <c r="C1305" s="13" t="s">
        <v>54</v>
      </c>
      <c r="D1305" s="13" t="s">
        <v>14</v>
      </c>
      <c r="E1305" s="13" t="s">
        <v>1993</v>
      </c>
      <c r="F1305" s="13" t="s">
        <v>335</v>
      </c>
    </row>
    <row r="1306" spans="1:6" hidden="1" x14ac:dyDescent="0.25">
      <c r="A1306" s="13" t="s">
        <v>78</v>
      </c>
      <c r="B1306" s="13">
        <v>14479</v>
      </c>
      <c r="C1306" s="13" t="s">
        <v>24</v>
      </c>
      <c r="D1306" s="13" t="s">
        <v>24</v>
      </c>
      <c r="E1306" s="13" t="s">
        <v>229</v>
      </c>
      <c r="F1306" s="13" t="s">
        <v>335</v>
      </c>
    </row>
    <row r="1307" spans="1:6" hidden="1" x14ac:dyDescent="0.25">
      <c r="A1307" s="13" t="s">
        <v>78</v>
      </c>
      <c r="B1307" s="13">
        <v>80240</v>
      </c>
      <c r="C1307" s="13" t="s">
        <v>73</v>
      </c>
      <c r="D1307" s="13" t="s">
        <v>73</v>
      </c>
      <c r="E1307" s="13" t="s">
        <v>2466</v>
      </c>
      <c r="F1307" s="13" t="s">
        <v>335</v>
      </c>
    </row>
    <row r="1308" spans="1:6" hidden="1" x14ac:dyDescent="0.25">
      <c r="A1308" s="13" t="s">
        <v>78</v>
      </c>
      <c r="B1308" s="13">
        <v>80359</v>
      </c>
      <c r="C1308" s="13" t="s">
        <v>76</v>
      </c>
      <c r="D1308" s="13" t="s">
        <v>76</v>
      </c>
      <c r="E1308" s="13" t="s">
        <v>2360</v>
      </c>
      <c r="F1308" s="13" t="s">
        <v>335</v>
      </c>
    </row>
    <row r="1309" spans="1:6" hidden="1" x14ac:dyDescent="0.25">
      <c r="A1309" s="13" t="s">
        <v>78</v>
      </c>
      <c r="B1309" s="13">
        <v>82244</v>
      </c>
      <c r="C1309" s="13" t="s">
        <v>413</v>
      </c>
      <c r="D1309" s="13" t="s">
        <v>413</v>
      </c>
      <c r="E1309" s="13" t="s">
        <v>381</v>
      </c>
      <c r="F1309" s="13" t="s">
        <v>335</v>
      </c>
    </row>
    <row r="1310" spans="1:6" hidden="1" x14ac:dyDescent="0.25">
      <c r="A1310" s="13" t="s">
        <v>21</v>
      </c>
      <c r="C1310" s="13" t="s">
        <v>413</v>
      </c>
      <c r="D1310" s="13" t="s">
        <v>413</v>
      </c>
      <c r="E1310" s="13" t="s">
        <v>381</v>
      </c>
      <c r="F1310" s="13" t="s">
        <v>335</v>
      </c>
    </row>
    <row r="1311" spans="1:6" hidden="1" x14ac:dyDescent="0.25">
      <c r="A1311" s="13" t="s">
        <v>78</v>
      </c>
      <c r="B1311" s="13">
        <v>79400</v>
      </c>
      <c r="C1311" s="13" t="s">
        <v>81</v>
      </c>
      <c r="D1311" s="13" t="s">
        <v>94</v>
      </c>
      <c r="E1311" s="13" t="s">
        <v>2181</v>
      </c>
      <c r="F1311" s="13" t="s">
        <v>335</v>
      </c>
    </row>
    <row r="1312" spans="1:6" hidden="1" x14ac:dyDescent="0.25">
      <c r="A1312" s="13" t="s">
        <v>21</v>
      </c>
      <c r="B1312" s="13">
        <v>82554</v>
      </c>
      <c r="C1312" s="13" t="s">
        <v>1900</v>
      </c>
      <c r="D1312" s="13" t="s">
        <v>56</v>
      </c>
      <c r="E1312" s="13" t="s">
        <v>1849</v>
      </c>
      <c r="F1312" s="13" t="s">
        <v>335</v>
      </c>
    </row>
    <row r="1313" spans="1:6" hidden="1" x14ac:dyDescent="0.25">
      <c r="A1313" s="13" t="s">
        <v>78</v>
      </c>
      <c r="B1313" s="13">
        <v>82551</v>
      </c>
      <c r="C1313" s="13" t="s">
        <v>1848</v>
      </c>
      <c r="D1313" s="13" t="s">
        <v>56</v>
      </c>
      <c r="E1313" s="13" t="s">
        <v>1849</v>
      </c>
      <c r="F1313" s="13" t="s">
        <v>335</v>
      </c>
    </row>
    <row r="1314" spans="1:6" hidden="1" x14ac:dyDescent="0.25">
      <c r="A1314" s="13" t="s">
        <v>21</v>
      </c>
      <c r="B1314" s="13">
        <v>82551</v>
      </c>
      <c r="C1314" s="13" t="s">
        <v>1848</v>
      </c>
      <c r="D1314" s="13" t="s">
        <v>56</v>
      </c>
      <c r="E1314" s="13" t="s">
        <v>1849</v>
      </c>
      <c r="F1314" s="13" t="s">
        <v>335</v>
      </c>
    </row>
    <row r="1315" spans="1:6" hidden="1" x14ac:dyDescent="0.25">
      <c r="A1315" s="13" t="s">
        <v>78</v>
      </c>
      <c r="B1315" s="13">
        <v>79924</v>
      </c>
      <c r="C1315" s="13" t="s">
        <v>402</v>
      </c>
      <c r="D1315" s="13" t="s">
        <v>402</v>
      </c>
      <c r="E1315" s="13" t="s">
        <v>2434</v>
      </c>
      <c r="F1315" s="13" t="s">
        <v>335</v>
      </c>
    </row>
    <row r="1316" spans="1:6" hidden="1" x14ac:dyDescent="0.25">
      <c r="A1316" s="13" t="s">
        <v>78</v>
      </c>
      <c r="B1316" s="13">
        <v>79924</v>
      </c>
      <c r="C1316" s="13" t="s">
        <v>402</v>
      </c>
      <c r="D1316" s="13" t="s">
        <v>402</v>
      </c>
      <c r="E1316" s="13" t="s">
        <v>359</v>
      </c>
      <c r="F1316" s="13" t="s">
        <v>335</v>
      </c>
    </row>
    <row r="1317" spans="1:6" hidden="1" x14ac:dyDescent="0.25">
      <c r="A1317" s="13" t="s">
        <v>78</v>
      </c>
      <c r="B1317" s="13">
        <v>82707</v>
      </c>
      <c r="C1317" s="13" t="s">
        <v>1926</v>
      </c>
      <c r="D1317" s="13" t="s">
        <v>1886</v>
      </c>
      <c r="E1317" s="13" t="s">
        <v>2270</v>
      </c>
      <c r="F1317" s="13" t="s">
        <v>335</v>
      </c>
    </row>
    <row r="1318" spans="1:6" hidden="1" x14ac:dyDescent="0.25">
      <c r="A1318" s="13" t="s">
        <v>78</v>
      </c>
      <c r="B1318" s="13">
        <v>82706</v>
      </c>
      <c r="C1318" s="13" t="s">
        <v>1926</v>
      </c>
      <c r="D1318" s="13" t="s">
        <v>1886</v>
      </c>
      <c r="E1318" s="13" t="s">
        <v>2270</v>
      </c>
      <c r="F1318" s="13" t="s">
        <v>335</v>
      </c>
    </row>
    <row r="1319" spans="1:6" hidden="1" x14ac:dyDescent="0.25">
      <c r="A1319" s="13" t="s">
        <v>78</v>
      </c>
      <c r="B1319" s="13">
        <v>125262</v>
      </c>
      <c r="C1319" s="13" t="s">
        <v>133</v>
      </c>
      <c r="D1319" s="13" t="s">
        <v>19</v>
      </c>
      <c r="E1319" s="13" t="s">
        <v>2138</v>
      </c>
      <c r="F1319" s="13" t="s">
        <v>335</v>
      </c>
    </row>
    <row r="1320" spans="1:6" hidden="1" x14ac:dyDescent="0.25">
      <c r="A1320" s="13" t="s">
        <v>78</v>
      </c>
      <c r="B1320" s="13">
        <v>80111</v>
      </c>
      <c r="C1320" s="13" t="s">
        <v>2009</v>
      </c>
      <c r="D1320" s="13" t="s">
        <v>152</v>
      </c>
      <c r="E1320" s="13" t="s">
        <v>2407</v>
      </c>
      <c r="F1320" s="13" t="s">
        <v>335</v>
      </c>
    </row>
    <row r="1321" spans="1:6" hidden="1" x14ac:dyDescent="0.25">
      <c r="A1321" s="13" t="s">
        <v>78</v>
      </c>
      <c r="B1321" s="13">
        <v>81260</v>
      </c>
      <c r="C1321" s="13" t="s">
        <v>319</v>
      </c>
      <c r="D1321" s="13" t="s">
        <v>2164</v>
      </c>
      <c r="E1321" s="13" t="s">
        <v>2165</v>
      </c>
      <c r="F1321" s="13" t="s">
        <v>335</v>
      </c>
    </row>
    <row r="1322" spans="1:6" hidden="1" x14ac:dyDescent="0.25">
      <c r="A1322" s="13" t="s">
        <v>78</v>
      </c>
      <c r="B1322" s="13">
        <v>81648</v>
      </c>
      <c r="C1322" s="13" t="s">
        <v>297</v>
      </c>
      <c r="D1322" s="13" t="s">
        <v>297</v>
      </c>
      <c r="E1322" s="13" t="s">
        <v>298</v>
      </c>
      <c r="F1322" s="13" t="s">
        <v>335</v>
      </c>
    </row>
    <row r="1323" spans="1:6" hidden="1" x14ac:dyDescent="0.25">
      <c r="A1323" s="13" t="s">
        <v>21</v>
      </c>
      <c r="B1323" s="13">
        <v>81648</v>
      </c>
      <c r="C1323" s="13" t="s">
        <v>297</v>
      </c>
      <c r="D1323" s="13" t="s">
        <v>297</v>
      </c>
      <c r="E1323" s="13" t="s">
        <v>298</v>
      </c>
      <c r="F1323" s="13" t="s">
        <v>335</v>
      </c>
    </row>
    <row r="1324" spans="1:6" hidden="1" x14ac:dyDescent="0.25">
      <c r="A1324" s="13" t="s">
        <v>78</v>
      </c>
      <c r="B1324" s="13">
        <v>82968</v>
      </c>
      <c r="C1324" s="13" t="s">
        <v>50</v>
      </c>
      <c r="D1324" s="13" t="s">
        <v>297</v>
      </c>
      <c r="E1324" s="13" t="s">
        <v>2252</v>
      </c>
      <c r="F1324" s="13" t="s">
        <v>335</v>
      </c>
    </row>
    <row r="1325" spans="1:6" hidden="1" x14ac:dyDescent="0.25">
      <c r="A1325" s="13" t="s">
        <v>78</v>
      </c>
      <c r="B1325" s="13">
        <v>80667</v>
      </c>
      <c r="C1325" s="13" t="s">
        <v>141</v>
      </c>
      <c r="D1325" s="13" t="s">
        <v>141</v>
      </c>
      <c r="E1325" s="13" t="s">
        <v>2649</v>
      </c>
      <c r="F1325" s="13" t="s">
        <v>335</v>
      </c>
    </row>
    <row r="1326" spans="1:6" hidden="1" x14ac:dyDescent="0.25">
      <c r="A1326" s="13" t="s">
        <v>78</v>
      </c>
      <c r="B1326" s="13">
        <v>16705</v>
      </c>
      <c r="C1326" s="13" t="s">
        <v>36</v>
      </c>
      <c r="D1326" s="13" t="s">
        <v>36</v>
      </c>
      <c r="E1326" s="13" t="s">
        <v>2051</v>
      </c>
      <c r="F1326" s="13" t="s">
        <v>335</v>
      </c>
    </row>
    <row r="1327" spans="1:6" hidden="1" x14ac:dyDescent="0.25">
      <c r="A1327" s="13" t="s">
        <v>78</v>
      </c>
      <c r="B1327" s="13">
        <v>14479</v>
      </c>
      <c r="C1327" s="13" t="s">
        <v>24</v>
      </c>
      <c r="D1327" s="13" t="s">
        <v>24</v>
      </c>
      <c r="E1327" s="13" t="s">
        <v>1939</v>
      </c>
      <c r="F1327" s="13" t="s">
        <v>335</v>
      </c>
    </row>
    <row r="1328" spans="1:6" hidden="1" x14ac:dyDescent="0.25">
      <c r="A1328" s="13" t="s">
        <v>78</v>
      </c>
      <c r="B1328" s="13">
        <v>80195</v>
      </c>
      <c r="C1328" s="13" t="s">
        <v>114</v>
      </c>
      <c r="D1328" s="13" t="s">
        <v>1805</v>
      </c>
      <c r="E1328" s="13" t="s">
        <v>1939</v>
      </c>
      <c r="F1328" s="13" t="s">
        <v>335</v>
      </c>
    </row>
    <row r="1329" spans="1:6" hidden="1" x14ac:dyDescent="0.25">
      <c r="A1329" s="13" t="s">
        <v>78</v>
      </c>
      <c r="B1329" s="13">
        <v>441000</v>
      </c>
      <c r="C1329" s="13" t="s">
        <v>99</v>
      </c>
      <c r="D1329" s="13" t="s">
        <v>99</v>
      </c>
      <c r="E1329" s="13" t="s">
        <v>1995</v>
      </c>
      <c r="F1329" s="13" t="s">
        <v>335</v>
      </c>
    </row>
    <row r="1330" spans="1:6" hidden="1" x14ac:dyDescent="0.25">
      <c r="A1330" s="13" t="s">
        <v>78</v>
      </c>
      <c r="B1330" s="13">
        <v>81972</v>
      </c>
      <c r="C1330" s="13" t="s">
        <v>99</v>
      </c>
      <c r="D1330" s="13" t="s">
        <v>99</v>
      </c>
      <c r="E1330" s="13" t="s">
        <v>1995</v>
      </c>
      <c r="F1330" s="13" t="s">
        <v>335</v>
      </c>
    </row>
    <row r="1331" spans="1:6" hidden="1" x14ac:dyDescent="0.25">
      <c r="A1331" s="13" t="s">
        <v>78</v>
      </c>
      <c r="B1331" s="13">
        <v>80250</v>
      </c>
      <c r="C1331" s="13" t="s">
        <v>2603</v>
      </c>
      <c r="D1331" s="13" t="s">
        <v>104</v>
      </c>
      <c r="E1331" s="13" t="s">
        <v>1995</v>
      </c>
      <c r="F1331" s="13" t="s">
        <v>335</v>
      </c>
    </row>
    <row r="1332" spans="1:6" hidden="1" x14ac:dyDescent="0.25">
      <c r="A1332" s="13" t="s">
        <v>78</v>
      </c>
      <c r="B1332" s="13">
        <v>80359</v>
      </c>
      <c r="C1332" s="13" t="s">
        <v>76</v>
      </c>
      <c r="D1332" s="13" t="s">
        <v>76</v>
      </c>
      <c r="E1332" s="13" t="s">
        <v>855</v>
      </c>
      <c r="F1332" s="13" t="s">
        <v>335</v>
      </c>
    </row>
    <row r="1333" spans="1:6" hidden="1" x14ac:dyDescent="0.25">
      <c r="A1333" s="13" t="s">
        <v>78</v>
      </c>
      <c r="B1333" s="13">
        <v>14479</v>
      </c>
      <c r="C1333" s="13" t="s">
        <v>24</v>
      </c>
      <c r="D1333" s="13" t="s">
        <v>24</v>
      </c>
      <c r="E1333" s="13" t="s">
        <v>1767</v>
      </c>
      <c r="F1333" s="13" t="s">
        <v>335</v>
      </c>
    </row>
    <row r="1334" spans="1:6" hidden="1" x14ac:dyDescent="0.25">
      <c r="A1334" s="13" t="s">
        <v>78</v>
      </c>
      <c r="B1334" s="13">
        <v>80195</v>
      </c>
      <c r="C1334" s="13" t="s">
        <v>114</v>
      </c>
      <c r="D1334" s="13" t="s">
        <v>1805</v>
      </c>
      <c r="E1334" s="13" t="s">
        <v>1767</v>
      </c>
      <c r="F1334" s="13" t="s">
        <v>335</v>
      </c>
    </row>
    <row r="1335" spans="1:6" hidden="1" x14ac:dyDescent="0.25">
      <c r="A1335" s="13" t="s">
        <v>78</v>
      </c>
      <c r="B1335" s="13">
        <v>14432</v>
      </c>
      <c r="C1335" s="13" t="s">
        <v>2029</v>
      </c>
      <c r="D1335" s="13" t="s">
        <v>2029</v>
      </c>
      <c r="E1335" s="13" t="s">
        <v>2413</v>
      </c>
      <c r="F1335" s="13" t="s">
        <v>335</v>
      </c>
    </row>
    <row r="1336" spans="1:6" hidden="1" x14ac:dyDescent="0.25">
      <c r="A1336" s="13" t="s">
        <v>21</v>
      </c>
      <c r="B1336" s="13">
        <v>81291</v>
      </c>
      <c r="C1336" s="13" t="s">
        <v>2029</v>
      </c>
      <c r="D1336" s="13" t="s">
        <v>2029</v>
      </c>
      <c r="E1336" s="13" t="s">
        <v>2413</v>
      </c>
      <c r="F1336" s="13" t="s">
        <v>335</v>
      </c>
    </row>
    <row r="1337" spans="1:6" hidden="1" x14ac:dyDescent="0.25">
      <c r="A1337" s="13" t="s">
        <v>78</v>
      </c>
      <c r="B1337" s="13">
        <v>80233</v>
      </c>
      <c r="C1337" s="13" t="s">
        <v>72</v>
      </c>
      <c r="D1337" s="13" t="s">
        <v>72</v>
      </c>
      <c r="E1337" s="13" t="s">
        <v>1929</v>
      </c>
      <c r="F1337" s="13" t="s">
        <v>335</v>
      </c>
    </row>
    <row r="1338" spans="1:6" hidden="1" x14ac:dyDescent="0.25">
      <c r="A1338" s="13" t="s">
        <v>21</v>
      </c>
      <c r="B1338" s="13">
        <v>83119</v>
      </c>
      <c r="C1338" s="13" t="s">
        <v>2426</v>
      </c>
      <c r="D1338" s="13" t="s">
        <v>2426</v>
      </c>
      <c r="E1338" s="13" t="s">
        <v>2566</v>
      </c>
      <c r="F1338" s="13" t="s">
        <v>335</v>
      </c>
    </row>
    <row r="1339" spans="1:6" hidden="1" x14ac:dyDescent="0.25">
      <c r="A1339" s="13" t="s">
        <v>78</v>
      </c>
      <c r="B1339" s="13">
        <v>82968</v>
      </c>
      <c r="C1339" s="13" t="s">
        <v>50</v>
      </c>
      <c r="D1339" s="13" t="s">
        <v>297</v>
      </c>
      <c r="E1339" s="13" t="s">
        <v>2409</v>
      </c>
      <c r="F1339" s="13" t="s">
        <v>335</v>
      </c>
    </row>
    <row r="1340" spans="1:6" hidden="1" x14ac:dyDescent="0.25">
      <c r="A1340" s="13" t="s">
        <v>78</v>
      </c>
      <c r="B1340" s="13">
        <v>80005</v>
      </c>
      <c r="C1340" s="13" t="s">
        <v>97</v>
      </c>
      <c r="D1340" s="13" t="s">
        <v>1914</v>
      </c>
      <c r="E1340" s="13" t="s">
        <v>677</v>
      </c>
      <c r="F1340" s="13" t="s">
        <v>335</v>
      </c>
    </row>
    <row r="1341" spans="1:6" hidden="1" x14ac:dyDescent="0.25">
      <c r="A1341" s="13" t="s">
        <v>78</v>
      </c>
      <c r="B1341" s="13">
        <v>9000</v>
      </c>
      <c r="C1341" s="13" t="s">
        <v>1913</v>
      </c>
      <c r="D1341" s="13" t="s">
        <v>1914</v>
      </c>
      <c r="E1341" s="13" t="s">
        <v>677</v>
      </c>
      <c r="F1341" s="13" t="s">
        <v>335</v>
      </c>
    </row>
    <row r="1342" spans="1:6" hidden="1" x14ac:dyDescent="0.25">
      <c r="A1342" s="13" t="s">
        <v>78</v>
      </c>
      <c r="B1342" s="13">
        <v>15781</v>
      </c>
      <c r="C1342" s="13" t="s">
        <v>12</v>
      </c>
      <c r="D1342" s="13" t="s">
        <v>12</v>
      </c>
      <c r="E1342" s="13" t="s">
        <v>1783</v>
      </c>
      <c r="F1342" s="13" t="s">
        <v>335</v>
      </c>
    </row>
    <row r="1343" spans="1:6" hidden="1" x14ac:dyDescent="0.25">
      <c r="A1343" s="13" t="s">
        <v>78</v>
      </c>
      <c r="B1343" s="13">
        <v>12413</v>
      </c>
      <c r="C1343" s="13" t="s">
        <v>51</v>
      </c>
      <c r="D1343" s="13" t="s">
        <v>51</v>
      </c>
      <c r="E1343" s="13" t="s">
        <v>2236</v>
      </c>
      <c r="F1343" s="13" t="s">
        <v>335</v>
      </c>
    </row>
    <row r="1344" spans="1:6" hidden="1" x14ac:dyDescent="0.25">
      <c r="A1344" s="13" t="s">
        <v>21</v>
      </c>
      <c r="B1344" s="13">
        <v>80955</v>
      </c>
      <c r="C1344" s="13" t="s">
        <v>2605</v>
      </c>
      <c r="D1344" s="13" t="s">
        <v>1879</v>
      </c>
      <c r="E1344" s="13" t="s">
        <v>1880</v>
      </c>
      <c r="F1344" s="13" t="s">
        <v>335</v>
      </c>
    </row>
    <row r="1345" spans="1:6" hidden="1" x14ac:dyDescent="0.25">
      <c r="A1345" s="13" t="s">
        <v>78</v>
      </c>
      <c r="B1345" s="13">
        <v>80783</v>
      </c>
      <c r="C1345" s="13" t="s">
        <v>1879</v>
      </c>
      <c r="D1345" s="13" t="s">
        <v>1879</v>
      </c>
      <c r="E1345" s="13" t="s">
        <v>1880</v>
      </c>
      <c r="F1345" s="13" t="s">
        <v>335</v>
      </c>
    </row>
    <row r="1346" spans="1:6" hidden="1" x14ac:dyDescent="0.25">
      <c r="A1346" s="13" t="s">
        <v>21</v>
      </c>
      <c r="B1346" s="13">
        <v>80783</v>
      </c>
      <c r="C1346" s="13" t="s">
        <v>1879</v>
      </c>
      <c r="D1346" s="13" t="s">
        <v>1879</v>
      </c>
      <c r="E1346" s="13" t="s">
        <v>1880</v>
      </c>
      <c r="F1346" s="13" t="s">
        <v>335</v>
      </c>
    </row>
    <row r="1347" spans="1:6" hidden="1" x14ac:dyDescent="0.25">
      <c r="A1347" s="13" t="s">
        <v>78</v>
      </c>
      <c r="B1347" s="13">
        <v>14479</v>
      </c>
      <c r="C1347" s="13" t="s">
        <v>24</v>
      </c>
      <c r="D1347" s="13" t="s">
        <v>24</v>
      </c>
      <c r="E1347" s="13" t="s">
        <v>207</v>
      </c>
      <c r="F1347" s="13" t="s">
        <v>335</v>
      </c>
    </row>
    <row r="1348" spans="1:6" hidden="1" x14ac:dyDescent="0.25">
      <c r="A1348" s="13" t="s">
        <v>78</v>
      </c>
      <c r="B1348" s="13">
        <v>80007</v>
      </c>
      <c r="C1348" s="13" t="s">
        <v>24</v>
      </c>
      <c r="D1348" s="13" t="s">
        <v>24</v>
      </c>
      <c r="E1348" s="13" t="s">
        <v>207</v>
      </c>
      <c r="F1348" s="13" t="s">
        <v>335</v>
      </c>
    </row>
    <row r="1349" spans="1:6" hidden="1" x14ac:dyDescent="0.25">
      <c r="A1349" s="13" t="s">
        <v>78</v>
      </c>
      <c r="B1349" s="13">
        <v>80375</v>
      </c>
      <c r="C1349" s="13" t="s">
        <v>398</v>
      </c>
      <c r="D1349" s="13" t="s">
        <v>14</v>
      </c>
      <c r="E1349" s="13" t="s">
        <v>1064</v>
      </c>
      <c r="F1349" s="13" t="s">
        <v>335</v>
      </c>
    </row>
    <row r="1350" spans="1:6" hidden="1" x14ac:dyDescent="0.25">
      <c r="A1350" s="13" t="s">
        <v>78</v>
      </c>
      <c r="B1350" s="13">
        <v>14439</v>
      </c>
      <c r="C1350" s="13" t="s">
        <v>59</v>
      </c>
      <c r="D1350" s="13" t="s">
        <v>59</v>
      </c>
      <c r="E1350" s="13" t="s">
        <v>175</v>
      </c>
      <c r="F1350" s="13" t="s">
        <v>335</v>
      </c>
    </row>
    <row r="1351" spans="1:6" hidden="1" x14ac:dyDescent="0.25">
      <c r="A1351" s="13" t="s">
        <v>78</v>
      </c>
      <c r="B1351" s="13">
        <v>79258</v>
      </c>
      <c r="C1351" s="13" t="s">
        <v>398</v>
      </c>
      <c r="D1351" s="13" t="s">
        <v>14</v>
      </c>
      <c r="E1351" s="13" t="s">
        <v>517</v>
      </c>
      <c r="F1351" s="13" t="s">
        <v>335</v>
      </c>
    </row>
    <row r="1352" spans="1:6" hidden="1" x14ac:dyDescent="0.25">
      <c r="A1352" s="13" t="s">
        <v>78</v>
      </c>
      <c r="B1352" s="13">
        <v>79805</v>
      </c>
      <c r="C1352" s="13" t="s">
        <v>54</v>
      </c>
      <c r="D1352" s="13" t="s">
        <v>14</v>
      </c>
      <c r="E1352" s="13" t="s">
        <v>517</v>
      </c>
      <c r="F1352" s="13" t="s">
        <v>335</v>
      </c>
    </row>
    <row r="1353" spans="1:6" hidden="1" x14ac:dyDescent="0.25">
      <c r="A1353" s="13" t="s">
        <v>78</v>
      </c>
      <c r="B1353" s="13">
        <v>16703</v>
      </c>
      <c r="C1353" s="13" t="s">
        <v>2102</v>
      </c>
      <c r="D1353" s="13" t="s">
        <v>36</v>
      </c>
      <c r="E1353" s="13" t="s">
        <v>1681</v>
      </c>
      <c r="F1353" s="13" t="s">
        <v>335</v>
      </c>
    </row>
    <row r="1354" spans="1:6" hidden="1" x14ac:dyDescent="0.25">
      <c r="A1354" s="13" t="s">
        <v>21</v>
      </c>
      <c r="B1354" s="13">
        <v>82406</v>
      </c>
      <c r="C1354" s="13" t="s">
        <v>1926</v>
      </c>
      <c r="D1354" s="13" t="s">
        <v>1886</v>
      </c>
      <c r="E1354" s="13" t="s">
        <v>364</v>
      </c>
      <c r="F1354" s="13" t="s">
        <v>335</v>
      </c>
    </row>
    <row r="1355" spans="1:6" hidden="1" x14ac:dyDescent="0.25">
      <c r="A1355" s="13" t="s">
        <v>78</v>
      </c>
      <c r="B1355" s="13">
        <v>82707</v>
      </c>
      <c r="C1355" s="13" t="s">
        <v>1926</v>
      </c>
      <c r="D1355" s="13" t="s">
        <v>1886</v>
      </c>
      <c r="E1355" s="13" t="s">
        <v>364</v>
      </c>
      <c r="F1355" s="13" t="s">
        <v>335</v>
      </c>
    </row>
    <row r="1356" spans="1:6" hidden="1" x14ac:dyDescent="0.25">
      <c r="A1356" s="13" t="s">
        <v>78</v>
      </c>
      <c r="B1356" s="13">
        <v>82706</v>
      </c>
      <c r="C1356" s="13" t="s">
        <v>1926</v>
      </c>
      <c r="D1356" s="13" t="s">
        <v>1886</v>
      </c>
      <c r="E1356" s="13" t="s">
        <v>364</v>
      </c>
      <c r="F1356" s="13" t="s">
        <v>335</v>
      </c>
    </row>
    <row r="1357" spans="1:6" hidden="1" x14ac:dyDescent="0.25">
      <c r="A1357" s="13" t="s">
        <v>78</v>
      </c>
      <c r="B1357" s="13">
        <v>14479</v>
      </c>
      <c r="C1357" s="13" t="s">
        <v>24</v>
      </c>
      <c r="D1357" s="13" t="s">
        <v>24</v>
      </c>
      <c r="E1357" s="13" t="s">
        <v>2117</v>
      </c>
      <c r="F1357" s="13" t="s">
        <v>335</v>
      </c>
    </row>
    <row r="1358" spans="1:6" hidden="1" x14ac:dyDescent="0.25">
      <c r="A1358" s="13" t="s">
        <v>78</v>
      </c>
      <c r="B1358" s="13">
        <v>14479</v>
      </c>
      <c r="C1358" s="13" t="s">
        <v>24</v>
      </c>
      <c r="D1358" s="13" t="s">
        <v>24</v>
      </c>
      <c r="E1358" s="13" t="s">
        <v>1950</v>
      </c>
      <c r="F1358" s="13" t="s">
        <v>335</v>
      </c>
    </row>
    <row r="1359" spans="1:6" hidden="1" x14ac:dyDescent="0.25">
      <c r="A1359" s="13" t="s">
        <v>78</v>
      </c>
      <c r="B1359" s="13">
        <v>80359</v>
      </c>
      <c r="C1359" s="13" t="s">
        <v>76</v>
      </c>
      <c r="D1359" s="13" t="s">
        <v>76</v>
      </c>
      <c r="E1359" s="13" t="s">
        <v>2238</v>
      </c>
      <c r="F1359" s="13" t="s">
        <v>335</v>
      </c>
    </row>
    <row r="1360" spans="1:6" hidden="1" x14ac:dyDescent="0.25">
      <c r="A1360" s="13" t="s">
        <v>78</v>
      </c>
      <c r="B1360" s="13">
        <v>14432</v>
      </c>
      <c r="C1360" s="13" t="s">
        <v>2029</v>
      </c>
      <c r="D1360" s="13" t="s">
        <v>2029</v>
      </c>
      <c r="E1360" s="13" t="s">
        <v>2191</v>
      </c>
      <c r="F1360" s="13" t="s">
        <v>335</v>
      </c>
    </row>
    <row r="1361" spans="1:6" hidden="1" x14ac:dyDescent="0.25">
      <c r="A1361" s="13" t="s">
        <v>21</v>
      </c>
      <c r="B1361" s="13">
        <v>81291</v>
      </c>
      <c r="C1361" s="13" t="s">
        <v>2029</v>
      </c>
      <c r="D1361" s="13" t="s">
        <v>2029</v>
      </c>
      <c r="E1361" s="13" t="s">
        <v>2191</v>
      </c>
      <c r="F1361" s="13" t="s">
        <v>335</v>
      </c>
    </row>
    <row r="1362" spans="1:6" hidden="1" x14ac:dyDescent="0.25">
      <c r="A1362" s="13" t="s">
        <v>21</v>
      </c>
      <c r="B1362" s="13">
        <v>81291</v>
      </c>
      <c r="C1362" s="13" t="s">
        <v>2029</v>
      </c>
      <c r="D1362" s="13" t="s">
        <v>2029</v>
      </c>
      <c r="E1362" s="13" t="s">
        <v>2030</v>
      </c>
      <c r="F1362" s="13" t="s">
        <v>335</v>
      </c>
    </row>
    <row r="1363" spans="1:6" hidden="1" x14ac:dyDescent="0.25">
      <c r="A1363" s="13" t="s">
        <v>78</v>
      </c>
      <c r="B1363" s="13">
        <v>14432</v>
      </c>
      <c r="C1363" s="13" t="s">
        <v>2029</v>
      </c>
      <c r="D1363" s="13" t="s">
        <v>2029</v>
      </c>
      <c r="E1363" s="13" t="s">
        <v>2030</v>
      </c>
      <c r="F1363" s="13" t="s">
        <v>335</v>
      </c>
    </row>
    <row r="1364" spans="1:6" hidden="1" x14ac:dyDescent="0.25">
      <c r="A1364" s="13" t="s">
        <v>21</v>
      </c>
      <c r="B1364" s="13">
        <v>81291</v>
      </c>
      <c r="C1364" s="13" t="s">
        <v>2029</v>
      </c>
      <c r="D1364" s="13" t="s">
        <v>2029</v>
      </c>
      <c r="E1364" s="13" t="s">
        <v>2465</v>
      </c>
      <c r="F1364" s="13" t="s">
        <v>335</v>
      </c>
    </row>
    <row r="1365" spans="1:6" hidden="1" x14ac:dyDescent="0.25">
      <c r="A1365" s="13" t="s">
        <v>21</v>
      </c>
      <c r="B1365" s="13">
        <v>81291</v>
      </c>
      <c r="C1365" s="13" t="s">
        <v>2029</v>
      </c>
      <c r="D1365" s="13" t="s">
        <v>2029</v>
      </c>
      <c r="E1365" s="13" t="s">
        <v>2062</v>
      </c>
      <c r="F1365" s="13" t="s">
        <v>335</v>
      </c>
    </row>
    <row r="1366" spans="1:6" hidden="1" x14ac:dyDescent="0.25">
      <c r="A1366" s="13" t="s">
        <v>78</v>
      </c>
      <c r="B1366" s="13">
        <v>14432</v>
      </c>
      <c r="C1366" s="13" t="s">
        <v>2029</v>
      </c>
      <c r="D1366" s="13" t="s">
        <v>2029</v>
      </c>
      <c r="E1366" s="13" t="s">
        <v>2062</v>
      </c>
      <c r="F1366" s="13" t="s">
        <v>335</v>
      </c>
    </row>
    <row r="1367" spans="1:6" hidden="1" x14ac:dyDescent="0.25">
      <c r="A1367" s="13" t="s">
        <v>21</v>
      </c>
      <c r="B1367" s="13">
        <v>81291</v>
      </c>
      <c r="C1367" s="13" t="s">
        <v>2029</v>
      </c>
      <c r="D1367" s="13" t="s">
        <v>2029</v>
      </c>
      <c r="E1367" s="13" t="s">
        <v>2395</v>
      </c>
      <c r="F1367" s="13" t="s">
        <v>335</v>
      </c>
    </row>
    <row r="1368" spans="1:6" hidden="1" x14ac:dyDescent="0.25">
      <c r="A1368" s="13" t="s">
        <v>78</v>
      </c>
      <c r="B1368" s="13">
        <v>14432</v>
      </c>
      <c r="C1368" s="13" t="s">
        <v>2029</v>
      </c>
      <c r="D1368" s="13" t="s">
        <v>2029</v>
      </c>
      <c r="E1368" s="13" t="s">
        <v>2395</v>
      </c>
      <c r="F1368" s="13" t="s">
        <v>335</v>
      </c>
    </row>
    <row r="1369" spans="1:6" hidden="1" x14ac:dyDescent="0.25">
      <c r="A1369" s="13" t="s">
        <v>78</v>
      </c>
      <c r="B1369" s="13">
        <v>14432</v>
      </c>
      <c r="C1369" s="13" t="s">
        <v>2029</v>
      </c>
      <c r="D1369" s="13" t="s">
        <v>2029</v>
      </c>
      <c r="E1369" s="13" t="s">
        <v>2038</v>
      </c>
      <c r="F1369" s="13" t="s">
        <v>335</v>
      </c>
    </row>
    <row r="1370" spans="1:6" hidden="1" x14ac:dyDescent="0.25">
      <c r="A1370" s="13" t="s">
        <v>21</v>
      </c>
      <c r="B1370" s="13">
        <v>81291</v>
      </c>
      <c r="C1370" s="13" t="s">
        <v>2029</v>
      </c>
      <c r="D1370" s="13" t="s">
        <v>2029</v>
      </c>
      <c r="E1370" s="13" t="s">
        <v>2038</v>
      </c>
      <c r="F1370" s="13" t="s">
        <v>335</v>
      </c>
    </row>
    <row r="1371" spans="1:6" hidden="1" x14ac:dyDescent="0.25">
      <c r="A1371" s="13" t="s">
        <v>21</v>
      </c>
      <c r="B1371" s="13">
        <v>81291</v>
      </c>
      <c r="C1371" s="13" t="s">
        <v>2029</v>
      </c>
      <c r="D1371" s="13" t="s">
        <v>2029</v>
      </c>
      <c r="E1371" s="13" t="s">
        <v>2146</v>
      </c>
      <c r="F1371" s="13" t="s">
        <v>335</v>
      </c>
    </row>
    <row r="1372" spans="1:6" hidden="1" x14ac:dyDescent="0.25">
      <c r="A1372" s="13" t="s">
        <v>78</v>
      </c>
      <c r="B1372" s="13">
        <v>14432</v>
      </c>
      <c r="C1372" s="13" t="s">
        <v>2029</v>
      </c>
      <c r="D1372" s="13" t="s">
        <v>2029</v>
      </c>
      <c r="E1372" s="13" t="s">
        <v>2146</v>
      </c>
      <c r="F1372" s="13" t="s">
        <v>335</v>
      </c>
    </row>
    <row r="1373" spans="1:6" hidden="1" x14ac:dyDescent="0.25">
      <c r="A1373" s="13" t="s">
        <v>78</v>
      </c>
      <c r="B1373" s="13">
        <v>81199</v>
      </c>
      <c r="C1373" s="13" t="s">
        <v>300</v>
      </c>
      <c r="D1373" s="13" t="s">
        <v>300</v>
      </c>
      <c r="E1373" s="13" t="s">
        <v>2125</v>
      </c>
      <c r="F1373" s="13" t="s">
        <v>335</v>
      </c>
    </row>
    <row r="1374" spans="1:6" hidden="1" x14ac:dyDescent="0.25">
      <c r="A1374" s="13" t="s">
        <v>78</v>
      </c>
      <c r="B1374" s="13">
        <v>70172</v>
      </c>
      <c r="C1374" s="13" t="s">
        <v>2232</v>
      </c>
      <c r="D1374" s="13" t="s">
        <v>2612</v>
      </c>
      <c r="E1374" s="13" t="s">
        <v>795</v>
      </c>
      <c r="F1374" s="13" t="s">
        <v>335</v>
      </c>
    </row>
    <row r="1375" spans="1:6" hidden="1" x14ac:dyDescent="0.25">
      <c r="A1375" s="13" t="s">
        <v>78</v>
      </c>
      <c r="B1375" s="13">
        <v>79978</v>
      </c>
      <c r="C1375" s="13" t="s">
        <v>41</v>
      </c>
      <c r="D1375" s="13" t="s">
        <v>41</v>
      </c>
      <c r="E1375" s="13" t="s">
        <v>795</v>
      </c>
      <c r="F1375" s="13" t="s">
        <v>335</v>
      </c>
    </row>
    <row r="1376" spans="1:6" hidden="1" x14ac:dyDescent="0.25">
      <c r="A1376" s="13" t="s">
        <v>78</v>
      </c>
      <c r="B1376" s="13">
        <v>83007</v>
      </c>
      <c r="C1376" s="13" t="s">
        <v>2231</v>
      </c>
      <c r="D1376" s="13" t="s">
        <v>2232</v>
      </c>
      <c r="E1376" s="13" t="s">
        <v>795</v>
      </c>
      <c r="F1376" s="13" t="s">
        <v>335</v>
      </c>
    </row>
    <row r="1377" spans="1:6" hidden="1" x14ac:dyDescent="0.25">
      <c r="A1377" s="13" t="s">
        <v>78</v>
      </c>
      <c r="B1377" s="13">
        <v>81259</v>
      </c>
      <c r="C1377" s="13" t="s">
        <v>320</v>
      </c>
      <c r="D1377" s="13" t="s">
        <v>109</v>
      </c>
      <c r="E1377" s="13" t="s">
        <v>1976</v>
      </c>
      <c r="F1377" s="13" t="s">
        <v>335</v>
      </c>
    </row>
    <row r="1378" spans="1:6" hidden="1" x14ac:dyDescent="0.25">
      <c r="A1378" s="13" t="s">
        <v>21</v>
      </c>
      <c r="B1378" s="13">
        <v>81565</v>
      </c>
      <c r="C1378" s="13" t="s">
        <v>67</v>
      </c>
      <c r="D1378" s="13" t="s">
        <v>67</v>
      </c>
      <c r="E1378" s="13" t="s">
        <v>1996</v>
      </c>
      <c r="F1378" s="13" t="s">
        <v>335</v>
      </c>
    </row>
    <row r="1379" spans="1:6" hidden="1" x14ac:dyDescent="0.25">
      <c r="A1379" s="13" t="s">
        <v>78</v>
      </c>
      <c r="B1379" s="13">
        <v>81565</v>
      </c>
      <c r="C1379" s="13" t="s">
        <v>67</v>
      </c>
      <c r="D1379" s="13" t="s">
        <v>67</v>
      </c>
      <c r="E1379" s="13" t="s">
        <v>1996</v>
      </c>
      <c r="F1379" s="13" t="s">
        <v>335</v>
      </c>
    </row>
    <row r="1380" spans="1:6" hidden="1" x14ac:dyDescent="0.25">
      <c r="A1380" s="13" t="s">
        <v>78</v>
      </c>
      <c r="B1380" s="13">
        <v>81174</v>
      </c>
      <c r="C1380" s="13" t="s">
        <v>2012</v>
      </c>
      <c r="D1380" s="13" t="s">
        <v>1862</v>
      </c>
      <c r="E1380" s="13" t="s">
        <v>2024</v>
      </c>
      <c r="F1380" s="13" t="s">
        <v>335</v>
      </c>
    </row>
    <row r="1381" spans="1:6" hidden="1" x14ac:dyDescent="0.25">
      <c r="A1381" s="13" t="s">
        <v>78</v>
      </c>
      <c r="B1381" s="13">
        <v>144310</v>
      </c>
      <c r="C1381" s="13" t="s">
        <v>58</v>
      </c>
      <c r="D1381" s="13" t="s">
        <v>58</v>
      </c>
      <c r="E1381" s="13" t="s">
        <v>1830</v>
      </c>
      <c r="F1381" s="13" t="s">
        <v>335</v>
      </c>
    </row>
    <row r="1382" spans="1:6" hidden="1" x14ac:dyDescent="0.25">
      <c r="A1382" s="13" t="s">
        <v>78</v>
      </c>
      <c r="B1382" s="13">
        <v>79791</v>
      </c>
      <c r="C1382" s="13" t="s">
        <v>15</v>
      </c>
      <c r="D1382" s="13" t="s">
        <v>109</v>
      </c>
      <c r="E1382" s="13" t="s">
        <v>2014</v>
      </c>
      <c r="F1382" s="13" t="s">
        <v>335</v>
      </c>
    </row>
    <row r="1383" spans="1:6" hidden="1" x14ac:dyDescent="0.25">
      <c r="A1383" s="13" t="s">
        <v>21</v>
      </c>
      <c r="B1383" s="13">
        <v>123491</v>
      </c>
      <c r="C1383" s="13" t="s">
        <v>15</v>
      </c>
      <c r="D1383" s="13" t="s">
        <v>109</v>
      </c>
      <c r="E1383" s="13" t="s">
        <v>2014</v>
      </c>
      <c r="F1383" s="13" t="s">
        <v>335</v>
      </c>
    </row>
    <row r="1384" spans="1:6" hidden="1" x14ac:dyDescent="0.25">
      <c r="A1384" s="13" t="s">
        <v>78</v>
      </c>
      <c r="B1384" s="13">
        <v>81595</v>
      </c>
      <c r="C1384" s="13" t="s">
        <v>1873</v>
      </c>
      <c r="D1384" s="13" t="s">
        <v>1874</v>
      </c>
      <c r="E1384" s="13" t="s">
        <v>370</v>
      </c>
      <c r="F1384" s="13" t="s">
        <v>335</v>
      </c>
    </row>
    <row r="1385" spans="1:6" hidden="1" x14ac:dyDescent="0.25">
      <c r="A1385" s="13" t="s">
        <v>78</v>
      </c>
      <c r="B1385" s="13">
        <v>79985</v>
      </c>
      <c r="C1385" s="13" t="s">
        <v>398</v>
      </c>
      <c r="D1385" s="13" t="s">
        <v>14</v>
      </c>
      <c r="E1385" s="13" t="s">
        <v>227</v>
      </c>
      <c r="F1385" s="13" t="s">
        <v>335</v>
      </c>
    </row>
    <row r="1386" spans="1:6" hidden="1" x14ac:dyDescent="0.25">
      <c r="A1386" s="13" t="s">
        <v>78</v>
      </c>
      <c r="B1386" s="13">
        <v>80227</v>
      </c>
      <c r="C1386" s="13" t="s">
        <v>398</v>
      </c>
      <c r="D1386" s="13" t="s">
        <v>14</v>
      </c>
      <c r="E1386" s="13" t="s">
        <v>227</v>
      </c>
      <c r="F1386" s="13" t="s">
        <v>335</v>
      </c>
    </row>
    <row r="1387" spans="1:6" hidden="1" x14ac:dyDescent="0.25">
      <c r="A1387" s="13" t="s">
        <v>78</v>
      </c>
      <c r="B1387" s="13">
        <v>82585</v>
      </c>
      <c r="C1387" s="13" t="s">
        <v>398</v>
      </c>
      <c r="D1387" s="13" t="s">
        <v>14</v>
      </c>
      <c r="E1387" s="13" t="s">
        <v>286</v>
      </c>
      <c r="F1387" s="13" t="s">
        <v>335</v>
      </c>
    </row>
    <row r="1388" spans="1:6" hidden="1" x14ac:dyDescent="0.25">
      <c r="A1388" s="13" t="s">
        <v>21</v>
      </c>
      <c r="B1388" s="13">
        <v>80637</v>
      </c>
      <c r="C1388" s="13" t="s">
        <v>54</v>
      </c>
      <c r="D1388" s="13" t="s">
        <v>14</v>
      </c>
      <c r="E1388" s="13" t="s">
        <v>286</v>
      </c>
      <c r="F1388" s="13" t="s">
        <v>335</v>
      </c>
    </row>
    <row r="1389" spans="1:6" hidden="1" x14ac:dyDescent="0.25">
      <c r="A1389" s="13" t="s">
        <v>78</v>
      </c>
      <c r="B1389" s="13">
        <v>79806</v>
      </c>
      <c r="C1389" s="13" t="s">
        <v>54</v>
      </c>
      <c r="D1389" s="13" t="s">
        <v>14</v>
      </c>
      <c r="E1389" s="13" t="s">
        <v>286</v>
      </c>
      <c r="F1389" s="13" t="s">
        <v>335</v>
      </c>
    </row>
    <row r="1390" spans="1:6" hidden="1" x14ac:dyDescent="0.25">
      <c r="A1390" s="13" t="s">
        <v>21</v>
      </c>
      <c r="B1390" s="13">
        <v>80337</v>
      </c>
      <c r="C1390" s="13" t="s">
        <v>54</v>
      </c>
      <c r="D1390" s="13" t="s">
        <v>14</v>
      </c>
      <c r="E1390" s="13" t="s">
        <v>286</v>
      </c>
      <c r="F1390" s="13" t="s">
        <v>335</v>
      </c>
    </row>
    <row r="1391" spans="1:6" hidden="1" x14ac:dyDescent="0.25">
      <c r="A1391" s="13" t="s">
        <v>78</v>
      </c>
      <c r="B1391" s="13">
        <v>81217</v>
      </c>
      <c r="C1391" s="13" t="s">
        <v>353</v>
      </c>
      <c r="D1391" s="13" t="s">
        <v>353</v>
      </c>
      <c r="E1391" s="13" t="s">
        <v>2266</v>
      </c>
      <c r="F1391" s="13" t="s">
        <v>335</v>
      </c>
    </row>
    <row r="1392" spans="1:6" hidden="1" x14ac:dyDescent="0.25">
      <c r="A1392" s="13" t="s">
        <v>78</v>
      </c>
      <c r="B1392" s="13">
        <v>82505</v>
      </c>
      <c r="C1392" s="13" t="s">
        <v>280</v>
      </c>
      <c r="D1392" s="13" t="s">
        <v>280</v>
      </c>
      <c r="E1392" s="13" t="s">
        <v>1843</v>
      </c>
      <c r="F1392" s="13" t="s">
        <v>335</v>
      </c>
    </row>
    <row r="1393" spans="1:6" hidden="1" x14ac:dyDescent="0.25">
      <c r="A1393" s="13" t="s">
        <v>78</v>
      </c>
      <c r="B1393" s="13">
        <v>79985</v>
      </c>
      <c r="C1393" s="13" t="s">
        <v>398</v>
      </c>
      <c r="D1393" s="13" t="s">
        <v>14</v>
      </c>
      <c r="E1393" s="13" t="s">
        <v>1813</v>
      </c>
      <c r="F1393" s="13" t="s">
        <v>335</v>
      </c>
    </row>
    <row r="1394" spans="1:6" hidden="1" x14ac:dyDescent="0.25">
      <c r="A1394" s="13" t="s">
        <v>78</v>
      </c>
      <c r="B1394" s="13">
        <v>80227</v>
      </c>
      <c r="C1394" s="13" t="s">
        <v>398</v>
      </c>
      <c r="D1394" s="13" t="s">
        <v>14</v>
      </c>
      <c r="E1394" s="13" t="s">
        <v>1813</v>
      </c>
      <c r="F1394" s="13" t="s">
        <v>335</v>
      </c>
    </row>
    <row r="1395" spans="1:6" hidden="1" x14ac:dyDescent="0.25">
      <c r="A1395" s="13" t="s">
        <v>21</v>
      </c>
      <c r="B1395" s="13">
        <v>81609</v>
      </c>
      <c r="C1395" s="13" t="s">
        <v>85</v>
      </c>
      <c r="D1395" s="13" t="s">
        <v>85</v>
      </c>
      <c r="E1395" s="13" t="s">
        <v>392</v>
      </c>
      <c r="F1395" s="13" t="s">
        <v>335</v>
      </c>
    </row>
    <row r="1396" spans="1:6" hidden="1" x14ac:dyDescent="0.25">
      <c r="A1396" s="13" t="s">
        <v>21</v>
      </c>
      <c r="B1396" s="13">
        <v>81653</v>
      </c>
      <c r="C1396" s="13" t="s">
        <v>85</v>
      </c>
      <c r="D1396" s="13" t="s">
        <v>85</v>
      </c>
      <c r="E1396" s="13" t="s">
        <v>392</v>
      </c>
      <c r="F1396" s="13" t="s">
        <v>335</v>
      </c>
    </row>
    <row r="1397" spans="1:6" hidden="1" x14ac:dyDescent="0.25">
      <c r="A1397" s="13" t="s">
        <v>21</v>
      </c>
      <c r="B1397" s="13">
        <v>82166</v>
      </c>
      <c r="C1397" s="13" t="s">
        <v>85</v>
      </c>
      <c r="D1397" s="13" t="s">
        <v>85</v>
      </c>
      <c r="E1397" s="13" t="s">
        <v>392</v>
      </c>
      <c r="F1397" s="13" t="s">
        <v>335</v>
      </c>
    </row>
    <row r="1398" spans="1:6" hidden="1" x14ac:dyDescent="0.25">
      <c r="A1398" s="13" t="s">
        <v>21</v>
      </c>
      <c r="B1398" s="13">
        <v>82094</v>
      </c>
      <c r="C1398" s="13" t="s">
        <v>85</v>
      </c>
      <c r="D1398" s="13" t="s">
        <v>85</v>
      </c>
      <c r="E1398" s="13" t="s">
        <v>392</v>
      </c>
      <c r="F1398" s="13" t="s">
        <v>335</v>
      </c>
    </row>
    <row r="1399" spans="1:6" hidden="1" x14ac:dyDescent="0.25">
      <c r="A1399" s="13" t="s">
        <v>78</v>
      </c>
      <c r="B1399" s="13">
        <v>80961</v>
      </c>
      <c r="C1399" s="13" t="s">
        <v>85</v>
      </c>
      <c r="D1399" s="13" t="s">
        <v>85</v>
      </c>
      <c r="E1399" s="13" t="s">
        <v>392</v>
      </c>
      <c r="F1399" s="13" t="s">
        <v>335</v>
      </c>
    </row>
    <row r="1400" spans="1:6" hidden="1" x14ac:dyDescent="0.25">
      <c r="A1400" s="13" t="s">
        <v>21</v>
      </c>
      <c r="B1400" s="13">
        <v>79409</v>
      </c>
      <c r="C1400" s="13" t="s">
        <v>63</v>
      </c>
      <c r="D1400" s="13" t="s">
        <v>85</v>
      </c>
      <c r="E1400" s="13" t="s">
        <v>392</v>
      </c>
      <c r="F1400" s="13" t="s">
        <v>335</v>
      </c>
    </row>
    <row r="1401" spans="1:6" hidden="1" x14ac:dyDescent="0.25">
      <c r="A1401" s="13" t="s">
        <v>78</v>
      </c>
      <c r="B1401" s="13">
        <v>79258</v>
      </c>
      <c r="C1401" s="13" t="s">
        <v>398</v>
      </c>
      <c r="D1401" s="13" t="s">
        <v>14</v>
      </c>
      <c r="E1401" s="13" t="s">
        <v>2118</v>
      </c>
      <c r="F1401" s="13" t="s">
        <v>335</v>
      </c>
    </row>
    <row r="1402" spans="1:6" hidden="1" x14ac:dyDescent="0.25">
      <c r="A1402" s="13" t="s">
        <v>78</v>
      </c>
      <c r="B1402" s="13">
        <v>15501</v>
      </c>
      <c r="C1402" s="13" t="s">
        <v>9</v>
      </c>
      <c r="D1402" s="13" t="s">
        <v>9</v>
      </c>
      <c r="E1402" s="13" t="s">
        <v>2322</v>
      </c>
      <c r="F1402" s="13" t="s">
        <v>335</v>
      </c>
    </row>
    <row r="1403" spans="1:6" hidden="1" x14ac:dyDescent="0.25">
      <c r="A1403" s="13" t="s">
        <v>78</v>
      </c>
      <c r="B1403" s="13">
        <v>124633</v>
      </c>
      <c r="C1403" s="13" t="s">
        <v>120</v>
      </c>
      <c r="D1403" s="13" t="s">
        <v>120</v>
      </c>
      <c r="E1403" s="13" t="s">
        <v>708</v>
      </c>
      <c r="F1403" s="13" t="s">
        <v>335</v>
      </c>
    </row>
    <row r="1404" spans="1:6" hidden="1" x14ac:dyDescent="0.25">
      <c r="A1404" s="13" t="s">
        <v>78</v>
      </c>
      <c r="B1404" s="13">
        <v>81344</v>
      </c>
      <c r="C1404" s="13" t="s">
        <v>365</v>
      </c>
      <c r="D1404" s="13" t="s">
        <v>365</v>
      </c>
      <c r="E1404" s="13" t="s">
        <v>2207</v>
      </c>
      <c r="F1404" s="13" t="s">
        <v>335</v>
      </c>
    </row>
    <row r="1405" spans="1:6" hidden="1" x14ac:dyDescent="0.25">
      <c r="A1405" s="13" t="s">
        <v>78</v>
      </c>
      <c r="B1405" s="13">
        <v>79476</v>
      </c>
      <c r="C1405" s="13" t="s">
        <v>25</v>
      </c>
      <c r="D1405" s="13" t="s">
        <v>25</v>
      </c>
      <c r="E1405" s="13" t="s">
        <v>2443</v>
      </c>
      <c r="F1405" s="13" t="s">
        <v>335</v>
      </c>
    </row>
    <row r="1406" spans="1:6" hidden="1" x14ac:dyDescent="0.25">
      <c r="A1406" s="13" t="s">
        <v>78</v>
      </c>
      <c r="B1406" s="13">
        <v>15501</v>
      </c>
      <c r="C1406" s="13" t="s">
        <v>9</v>
      </c>
      <c r="D1406" s="13" t="s">
        <v>9</v>
      </c>
      <c r="E1406" s="13" t="s">
        <v>2190</v>
      </c>
      <c r="F1406" s="13" t="s">
        <v>335</v>
      </c>
    </row>
    <row r="1407" spans="1:6" hidden="1" x14ac:dyDescent="0.25">
      <c r="A1407" s="13" t="s">
        <v>78</v>
      </c>
      <c r="B1407" s="13">
        <v>82495</v>
      </c>
      <c r="C1407" s="13" t="s">
        <v>280</v>
      </c>
      <c r="D1407" s="13" t="s">
        <v>280</v>
      </c>
      <c r="E1407" s="13" t="s">
        <v>1852</v>
      </c>
      <c r="F1407" s="13" t="s">
        <v>335</v>
      </c>
    </row>
    <row r="1408" spans="1:6" hidden="1" x14ac:dyDescent="0.25">
      <c r="A1408" s="13" t="s">
        <v>78</v>
      </c>
      <c r="B1408" s="13">
        <v>82496</v>
      </c>
      <c r="C1408" s="13" t="s">
        <v>280</v>
      </c>
      <c r="D1408" s="13" t="s">
        <v>280</v>
      </c>
      <c r="E1408" s="13" t="s">
        <v>1906</v>
      </c>
      <c r="F1408" s="13" t="s">
        <v>335</v>
      </c>
    </row>
    <row r="1409" spans="1:6" hidden="1" x14ac:dyDescent="0.25">
      <c r="A1409" s="13" t="s">
        <v>21</v>
      </c>
      <c r="B1409" s="13">
        <v>83001</v>
      </c>
      <c r="C1409" s="13" t="s">
        <v>2570</v>
      </c>
      <c r="D1409" s="13" t="s">
        <v>2167</v>
      </c>
      <c r="E1409" s="13" t="s">
        <v>2168</v>
      </c>
      <c r="F1409" s="13" t="s">
        <v>335</v>
      </c>
    </row>
    <row r="1410" spans="1:6" hidden="1" x14ac:dyDescent="0.25">
      <c r="A1410" s="13" t="s">
        <v>21</v>
      </c>
      <c r="B1410" s="13">
        <v>83000</v>
      </c>
      <c r="C1410" s="13" t="s">
        <v>2167</v>
      </c>
      <c r="D1410" s="13" t="s">
        <v>2167</v>
      </c>
      <c r="E1410" s="13" t="s">
        <v>2168</v>
      </c>
      <c r="F1410" s="13" t="s">
        <v>335</v>
      </c>
    </row>
    <row r="1411" spans="1:6" hidden="1" x14ac:dyDescent="0.25">
      <c r="A1411" s="13" t="s">
        <v>78</v>
      </c>
      <c r="B1411" s="13">
        <v>83000</v>
      </c>
      <c r="C1411" s="13" t="s">
        <v>2167</v>
      </c>
      <c r="D1411" s="13" t="s">
        <v>2167</v>
      </c>
      <c r="E1411" s="13" t="s">
        <v>2168</v>
      </c>
      <c r="F1411" s="13" t="s">
        <v>335</v>
      </c>
    </row>
    <row r="1412" spans="1:6" hidden="1" x14ac:dyDescent="0.25">
      <c r="A1412" s="13" t="s">
        <v>78</v>
      </c>
      <c r="B1412" s="13">
        <v>79258</v>
      </c>
      <c r="C1412" s="13" t="s">
        <v>398</v>
      </c>
      <c r="D1412" s="13" t="s">
        <v>14</v>
      </c>
      <c r="E1412" s="13" t="s">
        <v>2097</v>
      </c>
      <c r="F1412" s="13" t="s">
        <v>335</v>
      </c>
    </row>
    <row r="1413" spans="1:6" hidden="1" x14ac:dyDescent="0.25">
      <c r="A1413" s="13" t="s">
        <v>78</v>
      </c>
      <c r="B1413" s="13">
        <v>80754</v>
      </c>
      <c r="C1413" s="13" t="s">
        <v>354</v>
      </c>
      <c r="D1413" s="13" t="s">
        <v>64</v>
      </c>
      <c r="E1413" s="13" t="s">
        <v>2056</v>
      </c>
      <c r="F1413" s="13" t="s">
        <v>335</v>
      </c>
    </row>
    <row r="1414" spans="1:6" hidden="1" x14ac:dyDescent="0.25">
      <c r="A1414" s="13" t="s">
        <v>78</v>
      </c>
      <c r="B1414" s="13">
        <v>79806</v>
      </c>
      <c r="C1414" s="13" t="s">
        <v>54</v>
      </c>
      <c r="D1414" s="13" t="s">
        <v>14</v>
      </c>
      <c r="E1414" s="13" t="s">
        <v>1800</v>
      </c>
      <c r="F1414" s="13" t="s">
        <v>335</v>
      </c>
    </row>
    <row r="1415" spans="1:6" hidden="1" x14ac:dyDescent="0.25">
      <c r="A1415" s="13" t="s">
        <v>78</v>
      </c>
      <c r="B1415" s="13">
        <v>80576</v>
      </c>
      <c r="C1415" s="13" t="s">
        <v>128</v>
      </c>
      <c r="D1415" s="13" t="s">
        <v>128</v>
      </c>
      <c r="E1415" s="13" t="s">
        <v>2196</v>
      </c>
      <c r="F1415" s="13" t="s">
        <v>335</v>
      </c>
    </row>
    <row r="1416" spans="1:6" hidden="1" x14ac:dyDescent="0.25">
      <c r="A1416" s="13" t="s">
        <v>78</v>
      </c>
      <c r="B1416" s="13">
        <v>80749</v>
      </c>
      <c r="C1416" s="13" t="s">
        <v>343</v>
      </c>
      <c r="D1416" s="13" t="s">
        <v>1886</v>
      </c>
      <c r="E1416" s="13" t="s">
        <v>2071</v>
      </c>
      <c r="F1416" s="13" t="s">
        <v>335</v>
      </c>
    </row>
    <row r="1417" spans="1:6" hidden="1" x14ac:dyDescent="0.25">
      <c r="A1417" s="13" t="s">
        <v>78</v>
      </c>
      <c r="B1417" s="13">
        <v>80418</v>
      </c>
      <c r="C1417" s="13" t="s">
        <v>398</v>
      </c>
      <c r="D1417" s="13" t="s">
        <v>14</v>
      </c>
      <c r="E1417" s="13" t="s">
        <v>2055</v>
      </c>
      <c r="F1417" s="13" t="s">
        <v>335</v>
      </c>
    </row>
    <row r="1418" spans="1:6" hidden="1" x14ac:dyDescent="0.25">
      <c r="A1418" s="13" t="s">
        <v>78</v>
      </c>
      <c r="B1418" s="13">
        <v>79463</v>
      </c>
      <c r="C1418" s="13" t="s">
        <v>398</v>
      </c>
      <c r="D1418" s="13" t="s">
        <v>14</v>
      </c>
      <c r="E1418" s="13" t="s">
        <v>2055</v>
      </c>
      <c r="F1418" s="13" t="s">
        <v>335</v>
      </c>
    </row>
    <row r="1419" spans="1:6" hidden="1" x14ac:dyDescent="0.25">
      <c r="A1419" s="13" t="s">
        <v>78</v>
      </c>
      <c r="B1419" s="13">
        <v>79459</v>
      </c>
      <c r="C1419" s="13" t="s">
        <v>398</v>
      </c>
      <c r="D1419" s="13" t="s">
        <v>14</v>
      </c>
      <c r="E1419" s="13" t="s">
        <v>2055</v>
      </c>
      <c r="F1419" s="13" t="s">
        <v>335</v>
      </c>
    </row>
    <row r="1420" spans="1:6" hidden="1" x14ac:dyDescent="0.25">
      <c r="A1420" s="13" t="s">
        <v>78</v>
      </c>
      <c r="B1420" s="13">
        <v>79776</v>
      </c>
      <c r="C1420" s="13" t="s">
        <v>398</v>
      </c>
      <c r="D1420" s="13" t="s">
        <v>14</v>
      </c>
      <c r="E1420" s="13" t="s">
        <v>2055</v>
      </c>
      <c r="F1420" s="13" t="s">
        <v>335</v>
      </c>
    </row>
    <row r="1421" spans="1:6" hidden="1" x14ac:dyDescent="0.25">
      <c r="A1421" s="13" t="s">
        <v>78</v>
      </c>
      <c r="B1421" s="13">
        <v>82499</v>
      </c>
      <c r="C1421" s="13" t="s">
        <v>280</v>
      </c>
      <c r="D1421" s="13" t="s">
        <v>280</v>
      </c>
      <c r="E1421" s="13" t="s">
        <v>1931</v>
      </c>
      <c r="F1421" s="13" t="s">
        <v>335</v>
      </c>
    </row>
    <row r="1422" spans="1:6" hidden="1" x14ac:dyDescent="0.25">
      <c r="A1422" s="13" t="s">
        <v>21</v>
      </c>
      <c r="B1422" s="13">
        <v>80667</v>
      </c>
      <c r="C1422" s="13" t="s">
        <v>141</v>
      </c>
      <c r="D1422" s="13" t="s">
        <v>141</v>
      </c>
      <c r="E1422" s="13" t="s">
        <v>2547</v>
      </c>
      <c r="F1422" s="13" t="s">
        <v>335</v>
      </c>
    </row>
    <row r="1423" spans="1:6" hidden="1" x14ac:dyDescent="0.25">
      <c r="A1423" s="13" t="s">
        <v>78</v>
      </c>
      <c r="B1423" s="13">
        <v>80667</v>
      </c>
      <c r="C1423" s="13" t="s">
        <v>141</v>
      </c>
      <c r="D1423" s="13" t="s">
        <v>141</v>
      </c>
      <c r="E1423" s="13" t="s">
        <v>2547</v>
      </c>
      <c r="F1423" s="13" t="s">
        <v>335</v>
      </c>
    </row>
    <row r="1424" spans="1:6" hidden="1" x14ac:dyDescent="0.25">
      <c r="A1424" s="13" t="s">
        <v>78</v>
      </c>
      <c r="B1424" s="13">
        <v>14416</v>
      </c>
      <c r="C1424" s="13" t="s">
        <v>33</v>
      </c>
      <c r="D1424" s="13" t="s">
        <v>33</v>
      </c>
      <c r="E1424" s="13" t="s">
        <v>1817</v>
      </c>
      <c r="F1424" s="13" t="s">
        <v>335</v>
      </c>
    </row>
    <row r="1425" spans="1:6" hidden="1" x14ac:dyDescent="0.25">
      <c r="A1425" s="13" t="s">
        <v>78</v>
      </c>
      <c r="B1425" s="13">
        <v>79407</v>
      </c>
      <c r="C1425" s="13" t="s">
        <v>64</v>
      </c>
      <c r="D1425" s="13" t="s">
        <v>64</v>
      </c>
      <c r="E1425" s="13" t="s">
        <v>698</v>
      </c>
      <c r="F1425" s="13" t="s">
        <v>335</v>
      </c>
    </row>
    <row r="1426" spans="1:6" hidden="1" x14ac:dyDescent="0.25">
      <c r="A1426" s="13" t="s">
        <v>78</v>
      </c>
      <c r="B1426" s="13">
        <v>79386</v>
      </c>
      <c r="C1426" s="13" t="s">
        <v>1814</v>
      </c>
      <c r="D1426" s="13" t="s">
        <v>26</v>
      </c>
      <c r="E1426" s="13" t="s">
        <v>698</v>
      </c>
      <c r="F1426" s="13" t="s">
        <v>335</v>
      </c>
    </row>
    <row r="1427" spans="1:6" hidden="1" x14ac:dyDescent="0.25">
      <c r="A1427" s="13" t="s">
        <v>78</v>
      </c>
      <c r="B1427" s="13">
        <v>80753</v>
      </c>
      <c r="C1427" s="13" t="s">
        <v>354</v>
      </c>
      <c r="D1427" s="13" t="s">
        <v>64</v>
      </c>
      <c r="E1427" s="13" t="s">
        <v>698</v>
      </c>
      <c r="F1427" s="13" t="s">
        <v>335</v>
      </c>
    </row>
    <row r="1428" spans="1:6" hidden="1" x14ac:dyDescent="0.25">
      <c r="A1428" s="13" t="s">
        <v>21</v>
      </c>
      <c r="B1428" s="13">
        <v>80397</v>
      </c>
      <c r="C1428" s="13" t="s">
        <v>119</v>
      </c>
      <c r="D1428" s="13" t="s">
        <v>119</v>
      </c>
      <c r="E1428" s="13" t="s">
        <v>2083</v>
      </c>
      <c r="F1428" s="13" t="s">
        <v>335</v>
      </c>
    </row>
    <row r="1429" spans="1:6" hidden="1" x14ac:dyDescent="0.25">
      <c r="A1429" s="13" t="s">
        <v>78</v>
      </c>
      <c r="B1429" s="13">
        <v>80397</v>
      </c>
      <c r="C1429" s="13" t="s">
        <v>119</v>
      </c>
      <c r="D1429" s="13" t="s">
        <v>119</v>
      </c>
      <c r="E1429" s="13" t="s">
        <v>2083</v>
      </c>
      <c r="F1429" s="13" t="s">
        <v>335</v>
      </c>
    </row>
    <row r="1430" spans="1:6" hidden="1" x14ac:dyDescent="0.25">
      <c r="A1430" s="13" t="s">
        <v>21</v>
      </c>
      <c r="B1430" s="13">
        <v>80667</v>
      </c>
      <c r="C1430" s="13" t="s">
        <v>141</v>
      </c>
      <c r="D1430" s="13" t="s">
        <v>141</v>
      </c>
      <c r="E1430" s="13" t="s">
        <v>2307</v>
      </c>
      <c r="F1430" s="13" t="s">
        <v>335</v>
      </c>
    </row>
    <row r="1431" spans="1:6" hidden="1" x14ac:dyDescent="0.25">
      <c r="A1431" s="13" t="s">
        <v>78</v>
      </c>
      <c r="B1431" s="13">
        <v>80667</v>
      </c>
      <c r="C1431" s="13" t="s">
        <v>141</v>
      </c>
      <c r="D1431" s="13" t="s">
        <v>141</v>
      </c>
      <c r="E1431" s="13" t="s">
        <v>2307</v>
      </c>
      <c r="F1431" s="13" t="s">
        <v>335</v>
      </c>
    </row>
    <row r="1432" spans="1:6" hidden="1" x14ac:dyDescent="0.25">
      <c r="A1432" s="13" t="s">
        <v>78</v>
      </c>
      <c r="B1432" s="13">
        <v>80667</v>
      </c>
      <c r="C1432" s="13" t="s">
        <v>141</v>
      </c>
      <c r="D1432" s="13" t="s">
        <v>141</v>
      </c>
      <c r="E1432" s="13" t="s">
        <v>2292</v>
      </c>
      <c r="F1432" s="13" t="s">
        <v>335</v>
      </c>
    </row>
    <row r="1433" spans="1:6" hidden="1" x14ac:dyDescent="0.25">
      <c r="A1433" s="13" t="s">
        <v>21</v>
      </c>
      <c r="B1433" s="13">
        <v>80667</v>
      </c>
      <c r="C1433" s="13" t="s">
        <v>141</v>
      </c>
      <c r="D1433" s="13" t="s">
        <v>141</v>
      </c>
      <c r="E1433" s="13" t="s">
        <v>2292</v>
      </c>
      <c r="F1433" s="13" t="s">
        <v>335</v>
      </c>
    </row>
    <row r="1434" spans="1:6" hidden="1" x14ac:dyDescent="0.25">
      <c r="A1434" s="13" t="s">
        <v>21</v>
      </c>
      <c r="B1434" s="13">
        <v>82554</v>
      </c>
      <c r="C1434" s="13" t="s">
        <v>1900</v>
      </c>
      <c r="D1434" s="13" t="s">
        <v>56</v>
      </c>
      <c r="E1434" s="13" t="s">
        <v>2464</v>
      </c>
      <c r="F1434" s="13" t="s">
        <v>335</v>
      </c>
    </row>
    <row r="1435" spans="1:6" hidden="1" x14ac:dyDescent="0.25">
      <c r="A1435" s="13" t="s">
        <v>78</v>
      </c>
      <c r="B1435" s="13">
        <v>82551</v>
      </c>
      <c r="C1435" s="13" t="s">
        <v>1848</v>
      </c>
      <c r="D1435" s="13" t="s">
        <v>56</v>
      </c>
      <c r="E1435" s="13" t="s">
        <v>2464</v>
      </c>
      <c r="F1435" s="13" t="s">
        <v>335</v>
      </c>
    </row>
    <row r="1436" spans="1:6" hidden="1" x14ac:dyDescent="0.25">
      <c r="A1436" s="13" t="s">
        <v>21</v>
      </c>
      <c r="B1436" s="13">
        <v>82551</v>
      </c>
      <c r="C1436" s="13" t="s">
        <v>1848</v>
      </c>
      <c r="D1436" s="13" t="s">
        <v>56</v>
      </c>
      <c r="E1436" s="13" t="s">
        <v>2464</v>
      </c>
      <c r="F1436" s="13" t="s">
        <v>335</v>
      </c>
    </row>
    <row r="1437" spans="1:6" hidden="1" x14ac:dyDescent="0.25">
      <c r="A1437" s="13" t="s">
        <v>21</v>
      </c>
      <c r="B1437" s="13">
        <v>80515</v>
      </c>
      <c r="C1437" s="13" t="s">
        <v>124</v>
      </c>
      <c r="D1437" s="13" t="s">
        <v>124</v>
      </c>
      <c r="E1437" s="13" t="s">
        <v>2538</v>
      </c>
      <c r="F1437" s="13" t="s">
        <v>335</v>
      </c>
    </row>
    <row r="1438" spans="1:6" hidden="1" x14ac:dyDescent="0.25">
      <c r="A1438" s="13" t="s">
        <v>21</v>
      </c>
      <c r="B1438" s="13">
        <v>80515</v>
      </c>
      <c r="C1438" s="13" t="s">
        <v>124</v>
      </c>
      <c r="D1438" s="13" t="s">
        <v>124</v>
      </c>
      <c r="E1438" s="13" t="s">
        <v>1924</v>
      </c>
      <c r="F1438" s="13" t="s">
        <v>335</v>
      </c>
    </row>
    <row r="1439" spans="1:6" hidden="1" x14ac:dyDescent="0.25">
      <c r="A1439" s="13" t="s">
        <v>78</v>
      </c>
      <c r="B1439" s="13">
        <v>80515</v>
      </c>
      <c r="C1439" s="13" t="s">
        <v>124</v>
      </c>
      <c r="D1439" s="13" t="s">
        <v>124</v>
      </c>
      <c r="E1439" s="13" t="s">
        <v>1924</v>
      </c>
      <c r="F1439" s="13" t="s">
        <v>335</v>
      </c>
    </row>
    <row r="1440" spans="1:6" hidden="1" x14ac:dyDescent="0.25">
      <c r="A1440" s="13" t="s">
        <v>78</v>
      </c>
      <c r="B1440" s="13">
        <v>81693</v>
      </c>
      <c r="C1440" s="13" t="s">
        <v>75</v>
      </c>
      <c r="D1440" s="13" t="s">
        <v>75</v>
      </c>
      <c r="E1440" s="13" t="s">
        <v>2005</v>
      </c>
      <c r="F1440" s="13" t="s">
        <v>335</v>
      </c>
    </row>
    <row r="1441" spans="1:6" hidden="1" x14ac:dyDescent="0.25">
      <c r="A1441" s="13" t="s">
        <v>78</v>
      </c>
      <c r="B1441" s="13">
        <v>83074</v>
      </c>
      <c r="C1441" s="13" t="s">
        <v>2426</v>
      </c>
      <c r="D1441" s="13" t="s">
        <v>2426</v>
      </c>
      <c r="E1441" s="13" t="s">
        <v>2005</v>
      </c>
      <c r="F1441" s="13" t="s">
        <v>335</v>
      </c>
    </row>
    <row r="1442" spans="1:6" hidden="1" x14ac:dyDescent="0.25">
      <c r="A1442" s="13" t="s">
        <v>78</v>
      </c>
      <c r="B1442" s="13">
        <v>83119</v>
      </c>
      <c r="C1442" s="13" t="s">
        <v>2426</v>
      </c>
      <c r="D1442" s="13" t="s">
        <v>2426</v>
      </c>
      <c r="E1442" s="13" t="s">
        <v>2005</v>
      </c>
      <c r="F1442" s="13" t="s">
        <v>335</v>
      </c>
    </row>
    <row r="1443" spans="1:6" hidden="1" x14ac:dyDescent="0.25">
      <c r="A1443" s="13" t="s">
        <v>78</v>
      </c>
      <c r="B1443" s="13">
        <v>80233</v>
      </c>
      <c r="C1443" s="13" t="s">
        <v>72</v>
      </c>
      <c r="D1443" s="13" t="s">
        <v>72</v>
      </c>
      <c r="E1443" s="13" t="s">
        <v>2101</v>
      </c>
      <c r="F1443" s="13" t="s">
        <v>335</v>
      </c>
    </row>
    <row r="1444" spans="1:6" hidden="1" x14ac:dyDescent="0.25">
      <c r="A1444" s="13" t="s">
        <v>78</v>
      </c>
      <c r="B1444" s="13">
        <v>82465</v>
      </c>
      <c r="C1444" s="13" t="s">
        <v>2147</v>
      </c>
      <c r="D1444" s="13" t="s">
        <v>2147</v>
      </c>
      <c r="E1444" s="13" t="s">
        <v>2206</v>
      </c>
      <c r="F1444" s="13" t="s">
        <v>335</v>
      </c>
    </row>
    <row r="1445" spans="1:6" hidden="1" x14ac:dyDescent="0.25">
      <c r="A1445" s="13" t="s">
        <v>78</v>
      </c>
      <c r="B1445" s="13">
        <v>82690</v>
      </c>
      <c r="C1445" s="13" t="s">
        <v>415</v>
      </c>
      <c r="D1445" s="13" t="s">
        <v>2384</v>
      </c>
      <c r="E1445" s="13" t="s">
        <v>2385</v>
      </c>
      <c r="F1445" s="13" t="s">
        <v>335</v>
      </c>
    </row>
    <row r="1446" spans="1:6" hidden="1" x14ac:dyDescent="0.25">
      <c r="A1446" s="13" t="s">
        <v>78</v>
      </c>
      <c r="B1446" s="13">
        <v>123746</v>
      </c>
      <c r="C1446" s="13" t="s">
        <v>44</v>
      </c>
      <c r="D1446" s="13" t="s">
        <v>45</v>
      </c>
      <c r="E1446" s="13" t="s">
        <v>194</v>
      </c>
      <c r="F1446" s="13" t="s">
        <v>335</v>
      </c>
    </row>
    <row r="1447" spans="1:6" hidden="1" x14ac:dyDescent="0.25">
      <c r="A1447" s="13" t="s">
        <v>78</v>
      </c>
      <c r="B1447" s="13">
        <v>80397</v>
      </c>
      <c r="C1447" s="13" t="s">
        <v>119</v>
      </c>
      <c r="D1447" s="13" t="s">
        <v>119</v>
      </c>
      <c r="E1447" s="13" t="s">
        <v>1552</v>
      </c>
      <c r="F1447" s="13" t="s">
        <v>335</v>
      </c>
    </row>
    <row r="1448" spans="1:6" hidden="1" x14ac:dyDescent="0.25">
      <c r="A1448" s="13" t="s">
        <v>78</v>
      </c>
      <c r="B1448" s="13">
        <v>81259</v>
      </c>
      <c r="C1448" s="13" t="s">
        <v>320</v>
      </c>
      <c r="D1448" s="13" t="s">
        <v>109</v>
      </c>
      <c r="E1448" s="13" t="s">
        <v>735</v>
      </c>
      <c r="F1448" s="13" t="s">
        <v>335</v>
      </c>
    </row>
    <row r="1449" spans="1:6" hidden="1" x14ac:dyDescent="0.25">
      <c r="A1449" s="13" t="s">
        <v>78</v>
      </c>
      <c r="B1449" s="13">
        <v>18857</v>
      </c>
      <c r="C1449" s="13" t="s">
        <v>110</v>
      </c>
      <c r="D1449" s="13" t="s">
        <v>110</v>
      </c>
      <c r="E1449" s="13" t="s">
        <v>2074</v>
      </c>
      <c r="F1449" s="13" t="s">
        <v>335</v>
      </c>
    </row>
    <row r="1450" spans="1:6" hidden="1" x14ac:dyDescent="0.25">
      <c r="A1450" s="13" t="s">
        <v>78</v>
      </c>
      <c r="B1450" s="13">
        <v>18857</v>
      </c>
      <c r="C1450" s="13" t="s">
        <v>110</v>
      </c>
      <c r="D1450" s="13" t="s">
        <v>110</v>
      </c>
      <c r="E1450" s="13" t="s">
        <v>1989</v>
      </c>
      <c r="F1450" s="13" t="s">
        <v>335</v>
      </c>
    </row>
    <row r="1451" spans="1:6" hidden="1" x14ac:dyDescent="0.25">
      <c r="A1451" s="13" t="s">
        <v>78</v>
      </c>
      <c r="B1451" s="13">
        <v>81259</v>
      </c>
      <c r="C1451" s="13" t="s">
        <v>320</v>
      </c>
      <c r="D1451" s="13" t="s">
        <v>109</v>
      </c>
      <c r="E1451" s="13" t="s">
        <v>515</v>
      </c>
      <c r="F1451" s="13" t="s">
        <v>335</v>
      </c>
    </row>
    <row r="1452" spans="1:6" hidden="1" x14ac:dyDescent="0.25">
      <c r="A1452" s="13" t="s">
        <v>21</v>
      </c>
      <c r="B1452" s="13">
        <v>82241</v>
      </c>
      <c r="C1452" s="13" t="s">
        <v>412</v>
      </c>
      <c r="D1452" s="13" t="s">
        <v>2025</v>
      </c>
      <c r="E1452" s="13" t="s">
        <v>2548</v>
      </c>
      <c r="F1452" s="13" t="s">
        <v>335</v>
      </c>
    </row>
    <row r="1453" spans="1:6" hidden="1" x14ac:dyDescent="0.25">
      <c r="A1453" s="13" t="s">
        <v>78</v>
      </c>
      <c r="B1453" s="13">
        <v>80389</v>
      </c>
      <c r="C1453" s="13" t="s">
        <v>302</v>
      </c>
      <c r="D1453" s="13" t="s">
        <v>302</v>
      </c>
      <c r="E1453" s="13" t="s">
        <v>2513</v>
      </c>
      <c r="F1453" s="13" t="s">
        <v>335</v>
      </c>
    </row>
    <row r="1454" spans="1:6" hidden="1" x14ac:dyDescent="0.25">
      <c r="A1454" s="13" t="s">
        <v>21</v>
      </c>
      <c r="B1454" s="13">
        <v>80389</v>
      </c>
      <c r="C1454" s="13" t="s">
        <v>302</v>
      </c>
      <c r="D1454" s="13" t="s">
        <v>302</v>
      </c>
      <c r="E1454" s="13" t="s">
        <v>2513</v>
      </c>
      <c r="F1454" s="13" t="s">
        <v>335</v>
      </c>
    </row>
    <row r="1455" spans="1:6" hidden="1" x14ac:dyDescent="0.25">
      <c r="A1455" s="13" t="s">
        <v>21</v>
      </c>
      <c r="B1455" s="13">
        <v>82554</v>
      </c>
      <c r="C1455" s="13" t="s">
        <v>1900</v>
      </c>
      <c r="D1455" s="13" t="s">
        <v>56</v>
      </c>
      <c r="E1455" s="13" t="s">
        <v>2555</v>
      </c>
      <c r="F1455" s="13" t="s">
        <v>335</v>
      </c>
    </row>
    <row r="1456" spans="1:6" hidden="1" x14ac:dyDescent="0.25">
      <c r="A1456" s="13" t="s">
        <v>78</v>
      </c>
      <c r="B1456" s="13">
        <v>82551</v>
      </c>
      <c r="C1456" s="13" t="s">
        <v>1848</v>
      </c>
      <c r="D1456" s="13" t="s">
        <v>56</v>
      </c>
      <c r="E1456" s="13" t="s">
        <v>2555</v>
      </c>
      <c r="F1456" s="13" t="s">
        <v>335</v>
      </c>
    </row>
    <row r="1457" spans="1:6" hidden="1" x14ac:dyDescent="0.25">
      <c r="A1457" s="13" t="s">
        <v>21</v>
      </c>
      <c r="B1457" s="13">
        <v>82551</v>
      </c>
      <c r="C1457" s="13" t="s">
        <v>1848</v>
      </c>
      <c r="D1457" s="13" t="s">
        <v>56</v>
      </c>
      <c r="E1457" s="13" t="s">
        <v>2555</v>
      </c>
      <c r="F1457" s="13" t="s">
        <v>335</v>
      </c>
    </row>
    <row r="1458" spans="1:6" hidden="1" x14ac:dyDescent="0.25">
      <c r="A1458" s="13" t="s">
        <v>78</v>
      </c>
      <c r="B1458" s="13">
        <v>82050</v>
      </c>
      <c r="C1458" s="13" t="s">
        <v>61</v>
      </c>
      <c r="D1458" s="13" t="s">
        <v>61</v>
      </c>
      <c r="E1458" s="13" t="s">
        <v>2204</v>
      </c>
      <c r="F1458" s="13" t="s">
        <v>335</v>
      </c>
    </row>
    <row r="1459" spans="1:6" hidden="1" x14ac:dyDescent="0.25">
      <c r="A1459" s="13" t="s">
        <v>78</v>
      </c>
      <c r="B1459" s="13">
        <v>79814</v>
      </c>
      <c r="C1459" s="13" t="s">
        <v>35</v>
      </c>
      <c r="D1459" s="13" t="s">
        <v>35</v>
      </c>
      <c r="E1459" s="13" t="s">
        <v>2418</v>
      </c>
      <c r="F1459" s="13" t="s">
        <v>335</v>
      </c>
    </row>
    <row r="1460" spans="1:6" hidden="1" x14ac:dyDescent="0.25">
      <c r="A1460" s="13" t="s">
        <v>78</v>
      </c>
      <c r="B1460" s="13">
        <v>80667</v>
      </c>
      <c r="C1460" s="13" t="s">
        <v>141</v>
      </c>
      <c r="D1460" s="13" t="s">
        <v>141</v>
      </c>
      <c r="E1460" s="13" t="s">
        <v>2280</v>
      </c>
      <c r="F1460" s="13" t="s">
        <v>335</v>
      </c>
    </row>
    <row r="1461" spans="1:6" hidden="1" x14ac:dyDescent="0.25">
      <c r="A1461" s="13" t="s">
        <v>21</v>
      </c>
      <c r="B1461" s="13">
        <v>82241</v>
      </c>
      <c r="C1461" s="13" t="s">
        <v>412</v>
      </c>
      <c r="D1461" s="13" t="s">
        <v>2025</v>
      </c>
      <c r="E1461" s="13" t="s">
        <v>2026</v>
      </c>
      <c r="F1461" s="13" t="s">
        <v>335</v>
      </c>
    </row>
    <row r="1462" spans="1:6" hidden="1" x14ac:dyDescent="0.25">
      <c r="A1462" s="13" t="s">
        <v>21</v>
      </c>
      <c r="B1462" s="13">
        <v>81718</v>
      </c>
      <c r="C1462" s="13" t="s">
        <v>334</v>
      </c>
      <c r="D1462" s="13" t="s">
        <v>334</v>
      </c>
      <c r="E1462" s="13" t="s">
        <v>1124</v>
      </c>
      <c r="F1462" s="13" t="s">
        <v>335</v>
      </c>
    </row>
    <row r="1463" spans="1:6" hidden="1" x14ac:dyDescent="0.25">
      <c r="A1463" s="13" t="s">
        <v>78</v>
      </c>
      <c r="B1463" s="13">
        <v>79827</v>
      </c>
      <c r="C1463" s="13" t="s">
        <v>92</v>
      </c>
      <c r="D1463" s="13" t="s">
        <v>92</v>
      </c>
      <c r="E1463" s="13" t="s">
        <v>2522</v>
      </c>
      <c r="F1463" s="13" t="s">
        <v>335</v>
      </c>
    </row>
    <row r="1464" spans="1:6" hidden="1" x14ac:dyDescent="0.25">
      <c r="A1464" s="13" t="s">
        <v>21</v>
      </c>
      <c r="B1464" s="13">
        <v>80667</v>
      </c>
      <c r="C1464" s="13" t="s">
        <v>141</v>
      </c>
      <c r="D1464" s="13" t="s">
        <v>141</v>
      </c>
      <c r="E1464" s="13" t="s">
        <v>2638</v>
      </c>
      <c r="F1464" s="13" t="s">
        <v>335</v>
      </c>
    </row>
    <row r="1465" spans="1:6" hidden="1" x14ac:dyDescent="0.25">
      <c r="A1465" s="13" t="s">
        <v>78</v>
      </c>
      <c r="B1465" s="13">
        <v>80667</v>
      </c>
      <c r="C1465" s="13" t="s">
        <v>141</v>
      </c>
      <c r="D1465" s="13" t="s">
        <v>141</v>
      </c>
      <c r="E1465" s="13" t="s">
        <v>2638</v>
      </c>
      <c r="F1465" s="13" t="s">
        <v>335</v>
      </c>
    </row>
    <row r="1466" spans="1:6" hidden="1" x14ac:dyDescent="0.25">
      <c r="A1466" s="13" t="s">
        <v>78</v>
      </c>
      <c r="B1466" s="13">
        <v>80386</v>
      </c>
      <c r="C1466" s="13" t="s">
        <v>77</v>
      </c>
      <c r="D1466" s="13" t="s">
        <v>77</v>
      </c>
      <c r="E1466" s="13" t="s">
        <v>2182</v>
      </c>
      <c r="F1466" s="13" t="s">
        <v>335</v>
      </c>
    </row>
    <row r="1467" spans="1:6" hidden="1" x14ac:dyDescent="0.25">
      <c r="A1467" s="13" t="s">
        <v>78</v>
      </c>
      <c r="B1467" s="13">
        <v>79799</v>
      </c>
      <c r="C1467" s="13" t="s">
        <v>54</v>
      </c>
      <c r="D1467" s="13" t="s">
        <v>14</v>
      </c>
      <c r="E1467" s="13" t="s">
        <v>201</v>
      </c>
      <c r="F1467" s="13" t="s">
        <v>335</v>
      </c>
    </row>
    <row r="1468" spans="1:6" hidden="1" x14ac:dyDescent="0.25">
      <c r="A1468" s="13" t="s">
        <v>78</v>
      </c>
      <c r="B1468" s="13">
        <v>80386</v>
      </c>
      <c r="C1468" s="13" t="s">
        <v>77</v>
      </c>
      <c r="D1468" s="13" t="s">
        <v>77</v>
      </c>
      <c r="E1468" s="13" t="s">
        <v>1881</v>
      </c>
      <c r="F1468" s="13" t="s">
        <v>335</v>
      </c>
    </row>
    <row r="1469" spans="1:6" hidden="1" x14ac:dyDescent="0.25">
      <c r="A1469" s="13" t="s">
        <v>21</v>
      </c>
      <c r="B1469" s="13">
        <v>80386</v>
      </c>
      <c r="C1469" s="13" t="s">
        <v>77</v>
      </c>
      <c r="D1469" s="13" t="s">
        <v>77</v>
      </c>
      <c r="E1469" s="13" t="s">
        <v>1881</v>
      </c>
      <c r="F1469" s="13" t="s">
        <v>335</v>
      </c>
    </row>
    <row r="1470" spans="1:6" hidden="1" x14ac:dyDescent="0.25">
      <c r="A1470" s="13" t="s">
        <v>78</v>
      </c>
      <c r="B1470" s="13">
        <v>12395</v>
      </c>
      <c r="C1470" s="13" t="s">
        <v>10</v>
      </c>
      <c r="D1470" s="13" t="s">
        <v>10</v>
      </c>
      <c r="E1470" s="13" t="s">
        <v>294</v>
      </c>
      <c r="F1470" s="13" t="s">
        <v>335</v>
      </c>
    </row>
    <row r="1471" spans="1:6" hidden="1" x14ac:dyDescent="0.25">
      <c r="A1471" s="13" t="s">
        <v>78</v>
      </c>
      <c r="B1471" s="13">
        <v>122886</v>
      </c>
      <c r="C1471" s="13" t="s">
        <v>1795</v>
      </c>
      <c r="D1471" s="13" t="s">
        <v>10</v>
      </c>
      <c r="E1471" s="13" t="s">
        <v>294</v>
      </c>
      <c r="F1471" s="13" t="s">
        <v>335</v>
      </c>
    </row>
    <row r="1472" spans="1:6" hidden="1" x14ac:dyDescent="0.25">
      <c r="A1472" s="13" t="s">
        <v>78</v>
      </c>
      <c r="B1472" s="13">
        <v>80375</v>
      </c>
      <c r="C1472" s="13" t="s">
        <v>398</v>
      </c>
      <c r="D1472" s="13" t="s">
        <v>14</v>
      </c>
      <c r="E1472" s="13" t="s">
        <v>2435</v>
      </c>
      <c r="F1472" s="13" t="s">
        <v>335</v>
      </c>
    </row>
    <row r="1473" spans="1:6" hidden="1" x14ac:dyDescent="0.25">
      <c r="A1473" s="13" t="s">
        <v>78</v>
      </c>
      <c r="B1473" s="13">
        <v>80654</v>
      </c>
      <c r="C1473" s="13" t="s">
        <v>131</v>
      </c>
      <c r="D1473" s="13" t="s">
        <v>131</v>
      </c>
      <c r="E1473" s="13" t="s">
        <v>257</v>
      </c>
      <c r="F1473" s="13" t="s">
        <v>335</v>
      </c>
    </row>
    <row r="1474" spans="1:6" hidden="1" x14ac:dyDescent="0.25">
      <c r="A1474" s="13" t="s">
        <v>78</v>
      </c>
      <c r="B1474" s="13">
        <v>80997</v>
      </c>
      <c r="C1474" s="13" t="s">
        <v>138</v>
      </c>
      <c r="D1474" s="13" t="s">
        <v>138</v>
      </c>
      <c r="E1474" s="13" t="s">
        <v>257</v>
      </c>
      <c r="F1474" s="13" t="s">
        <v>335</v>
      </c>
    </row>
    <row r="1475" spans="1:6" hidden="1" x14ac:dyDescent="0.25">
      <c r="A1475" s="13" t="s">
        <v>78</v>
      </c>
      <c r="B1475" s="13">
        <v>16702</v>
      </c>
      <c r="C1475" s="13" t="s">
        <v>36</v>
      </c>
      <c r="D1475" s="13" t="s">
        <v>36</v>
      </c>
      <c r="E1475" s="13" t="s">
        <v>1785</v>
      </c>
      <c r="F1475" s="13" t="s">
        <v>335</v>
      </c>
    </row>
    <row r="1476" spans="1:6" hidden="1" x14ac:dyDescent="0.25">
      <c r="A1476" s="13" t="s">
        <v>78</v>
      </c>
      <c r="B1476" s="13">
        <v>79905</v>
      </c>
      <c r="C1476" s="13" t="s">
        <v>36</v>
      </c>
      <c r="D1476" s="13" t="s">
        <v>36</v>
      </c>
      <c r="E1476" s="13" t="s">
        <v>1785</v>
      </c>
      <c r="F1476" s="13" t="s">
        <v>335</v>
      </c>
    </row>
    <row r="1477" spans="1:6" hidden="1" x14ac:dyDescent="0.25">
      <c r="A1477" s="13" t="s">
        <v>78</v>
      </c>
      <c r="B1477" s="13">
        <v>80654</v>
      </c>
      <c r="C1477" s="13" t="s">
        <v>131</v>
      </c>
      <c r="D1477" s="13" t="s">
        <v>131</v>
      </c>
      <c r="E1477" s="13" t="s">
        <v>1970</v>
      </c>
      <c r="F1477" s="13" t="s">
        <v>335</v>
      </c>
    </row>
    <row r="1478" spans="1:6" hidden="1" x14ac:dyDescent="0.25">
      <c r="A1478" s="13" t="s">
        <v>21</v>
      </c>
      <c r="B1478" s="13">
        <v>144548</v>
      </c>
      <c r="C1478" s="13" t="s">
        <v>338</v>
      </c>
      <c r="D1478" s="13" t="s">
        <v>338</v>
      </c>
      <c r="E1478" s="13" t="s">
        <v>2123</v>
      </c>
      <c r="F1478" s="13" t="s">
        <v>335</v>
      </c>
    </row>
    <row r="1479" spans="1:6" hidden="1" x14ac:dyDescent="0.25">
      <c r="A1479" s="13" t="s">
        <v>21</v>
      </c>
      <c r="B1479" s="13">
        <v>80389</v>
      </c>
      <c r="C1479" s="13" t="s">
        <v>302</v>
      </c>
      <c r="D1479" s="13" t="s">
        <v>302</v>
      </c>
      <c r="E1479" s="13" t="s">
        <v>2267</v>
      </c>
      <c r="F1479" s="13" t="s">
        <v>335</v>
      </c>
    </row>
    <row r="1480" spans="1:6" hidden="1" x14ac:dyDescent="0.25">
      <c r="A1480" s="13" t="s">
        <v>78</v>
      </c>
      <c r="B1480" s="13">
        <v>80389</v>
      </c>
      <c r="C1480" s="13" t="s">
        <v>302</v>
      </c>
      <c r="D1480" s="13" t="s">
        <v>302</v>
      </c>
      <c r="E1480" s="13" t="s">
        <v>2267</v>
      </c>
      <c r="F1480" s="13" t="s">
        <v>335</v>
      </c>
    </row>
    <row r="1481" spans="1:6" hidden="1" x14ac:dyDescent="0.25">
      <c r="A1481" s="13" t="s">
        <v>78</v>
      </c>
      <c r="B1481" s="13">
        <v>80667</v>
      </c>
      <c r="C1481" s="13" t="s">
        <v>141</v>
      </c>
      <c r="D1481" s="13" t="s">
        <v>141</v>
      </c>
      <c r="E1481" s="13" t="s">
        <v>2281</v>
      </c>
      <c r="F1481" s="13" t="s">
        <v>335</v>
      </c>
    </row>
    <row r="1482" spans="1:6" hidden="1" x14ac:dyDescent="0.25">
      <c r="A1482" s="13" t="s">
        <v>78</v>
      </c>
      <c r="B1482" s="13">
        <v>79814</v>
      </c>
      <c r="C1482" s="13" t="s">
        <v>35</v>
      </c>
      <c r="D1482" s="13" t="s">
        <v>35</v>
      </c>
      <c r="E1482" s="13" t="s">
        <v>2637</v>
      </c>
      <c r="F1482" s="13" t="s">
        <v>335</v>
      </c>
    </row>
    <row r="1483" spans="1:6" hidden="1" x14ac:dyDescent="0.25">
      <c r="A1483" s="13" t="s">
        <v>21</v>
      </c>
      <c r="B1483" s="13">
        <v>12402</v>
      </c>
      <c r="C1483" s="13" t="s">
        <v>49</v>
      </c>
      <c r="D1483" s="13" t="s">
        <v>49</v>
      </c>
      <c r="E1483" s="13" t="s">
        <v>2514</v>
      </c>
      <c r="F1483" s="13" t="s">
        <v>335</v>
      </c>
    </row>
    <row r="1484" spans="1:6" hidden="1" x14ac:dyDescent="0.25">
      <c r="A1484" s="13" t="s">
        <v>78</v>
      </c>
      <c r="B1484" s="13">
        <v>81666</v>
      </c>
      <c r="C1484" s="13" t="s">
        <v>2611</v>
      </c>
      <c r="D1484" s="13" t="s">
        <v>2226</v>
      </c>
      <c r="E1484" s="13" t="s">
        <v>288</v>
      </c>
      <c r="F1484" s="13" t="s">
        <v>335</v>
      </c>
    </row>
    <row r="1485" spans="1:6" hidden="1" x14ac:dyDescent="0.25">
      <c r="A1485" s="13" t="s">
        <v>78</v>
      </c>
      <c r="B1485" s="13">
        <v>81078</v>
      </c>
      <c r="C1485" s="13" t="s">
        <v>2225</v>
      </c>
      <c r="D1485" s="13" t="s">
        <v>2226</v>
      </c>
      <c r="E1485" s="13" t="s">
        <v>288</v>
      </c>
      <c r="F1485" s="13" t="s">
        <v>335</v>
      </c>
    </row>
    <row r="1486" spans="1:6" hidden="1" x14ac:dyDescent="0.25">
      <c r="A1486" s="13" t="s">
        <v>78</v>
      </c>
      <c r="B1486" s="13">
        <v>16705</v>
      </c>
      <c r="C1486" s="13" t="s">
        <v>36</v>
      </c>
      <c r="D1486" s="13" t="s">
        <v>36</v>
      </c>
      <c r="E1486" s="13" t="s">
        <v>2541</v>
      </c>
      <c r="F1486" s="13" t="s">
        <v>335</v>
      </c>
    </row>
    <row r="1487" spans="1:6" hidden="1" x14ac:dyDescent="0.25">
      <c r="A1487" s="13" t="s">
        <v>78</v>
      </c>
      <c r="B1487" s="13">
        <v>81259</v>
      </c>
      <c r="C1487" s="13" t="s">
        <v>320</v>
      </c>
      <c r="D1487" s="13" t="s">
        <v>109</v>
      </c>
      <c r="E1487" s="13" t="s">
        <v>2568</v>
      </c>
      <c r="F1487" s="13" t="s">
        <v>335</v>
      </c>
    </row>
    <row r="1488" spans="1:6" hidden="1" x14ac:dyDescent="0.25">
      <c r="A1488" s="13" t="s">
        <v>21</v>
      </c>
      <c r="B1488" s="13">
        <v>81876</v>
      </c>
      <c r="C1488" s="13" t="s">
        <v>329</v>
      </c>
      <c r="D1488" s="13" t="s">
        <v>329</v>
      </c>
      <c r="E1488" s="13" t="s">
        <v>2193</v>
      </c>
      <c r="F1488" s="13" t="s">
        <v>335</v>
      </c>
    </row>
    <row r="1489" spans="1:6" hidden="1" x14ac:dyDescent="0.25">
      <c r="A1489" s="13" t="s">
        <v>78</v>
      </c>
      <c r="B1489" s="13">
        <v>80026</v>
      </c>
      <c r="C1489" s="13" t="s">
        <v>311</v>
      </c>
      <c r="D1489" s="13" t="s">
        <v>2057</v>
      </c>
      <c r="E1489" s="13" t="s">
        <v>2411</v>
      </c>
      <c r="F1489" s="13" t="s">
        <v>335</v>
      </c>
    </row>
    <row r="1490" spans="1:6" hidden="1" x14ac:dyDescent="0.25">
      <c r="A1490" s="13" t="s">
        <v>78</v>
      </c>
      <c r="B1490" s="13">
        <v>80026</v>
      </c>
      <c r="C1490" s="13" t="s">
        <v>311</v>
      </c>
      <c r="D1490" s="13" t="s">
        <v>2057</v>
      </c>
      <c r="E1490" s="13" t="s">
        <v>208</v>
      </c>
      <c r="F1490" s="13" t="s">
        <v>335</v>
      </c>
    </row>
    <row r="1491" spans="1:6" hidden="1" x14ac:dyDescent="0.25">
      <c r="A1491" s="13" t="s">
        <v>78</v>
      </c>
      <c r="B1491" s="13">
        <v>14334</v>
      </c>
      <c r="C1491" s="13" t="s">
        <v>102</v>
      </c>
      <c r="D1491" s="13" t="s">
        <v>102</v>
      </c>
      <c r="E1491" s="13" t="s">
        <v>346</v>
      </c>
      <c r="F1491" s="13" t="s">
        <v>335</v>
      </c>
    </row>
    <row r="1492" spans="1:6" hidden="1" x14ac:dyDescent="0.25">
      <c r="A1492" s="13" t="s">
        <v>78</v>
      </c>
      <c r="B1492" s="13">
        <v>80883</v>
      </c>
      <c r="C1492" s="13" t="s">
        <v>406</v>
      </c>
      <c r="D1492" s="13" t="s">
        <v>406</v>
      </c>
      <c r="E1492" s="13" t="s">
        <v>527</v>
      </c>
      <c r="F1492" s="13" t="s">
        <v>335</v>
      </c>
    </row>
    <row r="1493" spans="1:6" hidden="1" x14ac:dyDescent="0.25">
      <c r="A1493" s="13" t="s">
        <v>78</v>
      </c>
      <c r="B1493" s="13">
        <v>81259</v>
      </c>
      <c r="C1493" s="13" t="s">
        <v>320</v>
      </c>
      <c r="D1493" s="13" t="s">
        <v>109</v>
      </c>
      <c r="E1493" s="13" t="s">
        <v>2500</v>
      </c>
      <c r="F1493" s="13" t="s">
        <v>335</v>
      </c>
    </row>
    <row r="1494" spans="1:6" hidden="1" x14ac:dyDescent="0.25">
      <c r="A1494" s="13" t="s">
        <v>78</v>
      </c>
      <c r="B1494" s="13">
        <v>9000</v>
      </c>
      <c r="C1494" s="13" t="s">
        <v>1913</v>
      </c>
      <c r="D1494" s="13" t="s">
        <v>1914</v>
      </c>
      <c r="E1494" s="13" t="s">
        <v>2294</v>
      </c>
      <c r="F1494" s="13" t="s">
        <v>335</v>
      </c>
    </row>
    <row r="1495" spans="1:6" hidden="1" x14ac:dyDescent="0.25">
      <c r="A1495" s="13" t="s">
        <v>78</v>
      </c>
      <c r="B1495" s="13">
        <v>80005</v>
      </c>
      <c r="C1495" s="13" t="s">
        <v>97</v>
      </c>
      <c r="D1495" s="13" t="s">
        <v>1914</v>
      </c>
      <c r="E1495" s="13" t="s">
        <v>2414</v>
      </c>
      <c r="F1495" s="13" t="s">
        <v>335</v>
      </c>
    </row>
    <row r="1496" spans="1:6" hidden="1" x14ac:dyDescent="0.25">
      <c r="A1496" s="13" t="s">
        <v>78</v>
      </c>
      <c r="B1496" s="13">
        <v>79455</v>
      </c>
      <c r="C1496" s="13" t="s">
        <v>398</v>
      </c>
      <c r="D1496" s="13" t="s">
        <v>14</v>
      </c>
      <c r="E1496" s="13" t="s">
        <v>1841</v>
      </c>
      <c r="F1496" s="13" t="s">
        <v>335</v>
      </c>
    </row>
    <row r="1497" spans="1:6" hidden="1" x14ac:dyDescent="0.25">
      <c r="A1497" s="13" t="s">
        <v>78</v>
      </c>
      <c r="B1497" s="13">
        <v>79241</v>
      </c>
      <c r="C1497" s="13" t="s">
        <v>106</v>
      </c>
      <c r="D1497" s="13" t="s">
        <v>94</v>
      </c>
      <c r="E1497" s="13" t="s">
        <v>2422</v>
      </c>
      <c r="F1497" s="13" t="s">
        <v>335</v>
      </c>
    </row>
    <row r="1498" spans="1:6" hidden="1" x14ac:dyDescent="0.25">
      <c r="A1498" s="13" t="s">
        <v>78</v>
      </c>
      <c r="B1498" s="13">
        <v>75777</v>
      </c>
      <c r="C1498" s="13" t="s">
        <v>94</v>
      </c>
      <c r="D1498" s="13" t="s">
        <v>94</v>
      </c>
      <c r="E1498" s="13" t="s">
        <v>2257</v>
      </c>
      <c r="F1498" s="13" t="s">
        <v>335</v>
      </c>
    </row>
    <row r="1499" spans="1:6" hidden="1" x14ac:dyDescent="0.25">
      <c r="A1499" s="13" t="s">
        <v>78</v>
      </c>
      <c r="B1499" s="13">
        <v>79978</v>
      </c>
      <c r="C1499" s="13" t="s">
        <v>41</v>
      </c>
      <c r="D1499" s="13" t="s">
        <v>41</v>
      </c>
      <c r="E1499" s="13" t="s">
        <v>1192</v>
      </c>
      <c r="F1499" s="13" t="s">
        <v>335</v>
      </c>
    </row>
    <row r="1500" spans="1:6" hidden="1" x14ac:dyDescent="0.25">
      <c r="A1500" s="13" t="s">
        <v>78</v>
      </c>
      <c r="B1500" s="13">
        <v>83007</v>
      </c>
      <c r="C1500" s="13" t="s">
        <v>2231</v>
      </c>
      <c r="D1500" s="13" t="s">
        <v>2232</v>
      </c>
      <c r="E1500" s="13" t="s">
        <v>1192</v>
      </c>
      <c r="F1500" s="13" t="s">
        <v>335</v>
      </c>
    </row>
    <row r="1501" spans="1:6" hidden="1" x14ac:dyDescent="0.25">
      <c r="A1501" s="13" t="s">
        <v>21</v>
      </c>
      <c r="B1501" s="13">
        <v>80359</v>
      </c>
      <c r="C1501" s="13" t="s">
        <v>76</v>
      </c>
      <c r="D1501" s="13" t="s">
        <v>76</v>
      </c>
      <c r="E1501" s="13" t="s">
        <v>2058</v>
      </c>
      <c r="F1501" s="13" t="s">
        <v>335</v>
      </c>
    </row>
    <row r="1502" spans="1:6" hidden="1" x14ac:dyDescent="0.25">
      <c r="A1502" s="13" t="s">
        <v>78</v>
      </c>
      <c r="B1502" s="13">
        <v>80359</v>
      </c>
      <c r="C1502" s="13" t="s">
        <v>76</v>
      </c>
      <c r="D1502" s="13" t="s">
        <v>76</v>
      </c>
      <c r="E1502" s="13" t="s">
        <v>2058</v>
      </c>
      <c r="F1502" s="13" t="s">
        <v>335</v>
      </c>
    </row>
    <row r="1503" spans="1:6" hidden="1" x14ac:dyDescent="0.25">
      <c r="A1503" s="13" t="s">
        <v>78</v>
      </c>
      <c r="B1503" s="13">
        <v>81344</v>
      </c>
      <c r="C1503" s="13" t="s">
        <v>365</v>
      </c>
      <c r="D1503" s="13" t="s">
        <v>365</v>
      </c>
      <c r="E1503" s="13" t="s">
        <v>324</v>
      </c>
      <c r="F1503" s="13" t="s">
        <v>335</v>
      </c>
    </row>
    <row r="1504" spans="1:6" hidden="1" x14ac:dyDescent="0.25">
      <c r="A1504" s="13" t="s">
        <v>21</v>
      </c>
      <c r="B1504" s="13">
        <v>81344</v>
      </c>
      <c r="C1504" s="13" t="s">
        <v>365</v>
      </c>
      <c r="D1504" s="13" t="s">
        <v>365</v>
      </c>
      <c r="E1504" s="13" t="s">
        <v>324</v>
      </c>
      <c r="F1504" s="13" t="s">
        <v>335</v>
      </c>
    </row>
    <row r="1505" spans="1:6" hidden="1" x14ac:dyDescent="0.25">
      <c r="A1505" s="13" t="s">
        <v>78</v>
      </c>
      <c r="B1505" s="13">
        <v>80359</v>
      </c>
      <c r="C1505" s="13" t="s">
        <v>76</v>
      </c>
      <c r="D1505" s="13" t="s">
        <v>76</v>
      </c>
      <c r="E1505" s="13" t="s">
        <v>1965</v>
      </c>
      <c r="F1505" s="13" t="s">
        <v>335</v>
      </c>
    </row>
    <row r="1506" spans="1:6" hidden="1" x14ac:dyDescent="0.25">
      <c r="A1506" s="13" t="s">
        <v>78</v>
      </c>
      <c r="B1506" s="13">
        <v>79157</v>
      </c>
      <c r="C1506" s="13" t="s">
        <v>84</v>
      </c>
      <c r="D1506" s="13" t="s">
        <v>102</v>
      </c>
      <c r="E1506" s="13" t="s">
        <v>2069</v>
      </c>
      <c r="F1506" s="13" t="s">
        <v>335</v>
      </c>
    </row>
    <row r="1507" spans="1:6" hidden="1" x14ac:dyDescent="0.25">
      <c r="A1507" s="13" t="s">
        <v>78</v>
      </c>
      <c r="B1507" s="13">
        <v>79584</v>
      </c>
      <c r="C1507" s="13" t="s">
        <v>87</v>
      </c>
      <c r="D1507" s="13" t="s">
        <v>87</v>
      </c>
      <c r="E1507" s="13" t="s">
        <v>1946</v>
      </c>
      <c r="F1507" s="13" t="s">
        <v>335</v>
      </c>
    </row>
    <row r="1508" spans="1:6" hidden="1" x14ac:dyDescent="0.25">
      <c r="A1508" s="13" t="s">
        <v>78</v>
      </c>
      <c r="B1508" s="13">
        <v>79585</v>
      </c>
      <c r="C1508" s="13" t="s">
        <v>274</v>
      </c>
      <c r="D1508" s="13" t="s">
        <v>274</v>
      </c>
      <c r="E1508" s="13" t="s">
        <v>2243</v>
      </c>
      <c r="F1508" s="13" t="s">
        <v>335</v>
      </c>
    </row>
    <row r="1509" spans="1:6" hidden="1" x14ac:dyDescent="0.25">
      <c r="A1509" s="13" t="s">
        <v>78</v>
      </c>
      <c r="B1509" s="13">
        <v>79809</v>
      </c>
      <c r="C1509" s="13" t="s">
        <v>1942</v>
      </c>
      <c r="D1509" s="13" t="s">
        <v>1942</v>
      </c>
      <c r="E1509" s="13" t="s">
        <v>1990</v>
      </c>
      <c r="F1509" s="13" t="s">
        <v>335</v>
      </c>
    </row>
    <row r="1510" spans="1:6" hidden="1" x14ac:dyDescent="0.25">
      <c r="A1510" s="13" t="s">
        <v>21</v>
      </c>
      <c r="B1510" s="13">
        <v>123491</v>
      </c>
      <c r="C1510" s="13" t="s">
        <v>15</v>
      </c>
      <c r="D1510" s="13" t="s">
        <v>109</v>
      </c>
      <c r="E1510" s="13" t="s">
        <v>2045</v>
      </c>
      <c r="F1510" s="13" t="s">
        <v>335</v>
      </c>
    </row>
    <row r="1511" spans="1:6" hidden="1" x14ac:dyDescent="0.25">
      <c r="A1511" s="13" t="s">
        <v>78</v>
      </c>
      <c r="B1511" s="13">
        <v>79791</v>
      </c>
      <c r="C1511" s="13" t="s">
        <v>15</v>
      </c>
      <c r="D1511" s="13" t="s">
        <v>109</v>
      </c>
      <c r="E1511" s="13" t="s">
        <v>2045</v>
      </c>
      <c r="F1511" s="13" t="s">
        <v>335</v>
      </c>
    </row>
    <row r="1512" spans="1:6" hidden="1" x14ac:dyDescent="0.25">
      <c r="A1512" s="13" t="s">
        <v>21</v>
      </c>
      <c r="B1512" s="13">
        <v>81565</v>
      </c>
      <c r="C1512" s="13" t="s">
        <v>67</v>
      </c>
      <c r="D1512" s="13" t="s">
        <v>67</v>
      </c>
      <c r="E1512" s="13" t="s">
        <v>2084</v>
      </c>
      <c r="F1512" s="13" t="s">
        <v>335</v>
      </c>
    </row>
    <row r="1513" spans="1:6" hidden="1" x14ac:dyDescent="0.25">
      <c r="A1513" s="13" t="s">
        <v>78</v>
      </c>
      <c r="B1513" s="13">
        <v>81565</v>
      </c>
      <c r="C1513" s="13" t="s">
        <v>67</v>
      </c>
      <c r="D1513" s="13" t="s">
        <v>67</v>
      </c>
      <c r="E1513" s="13" t="s">
        <v>2084</v>
      </c>
      <c r="F1513" s="13" t="s">
        <v>335</v>
      </c>
    </row>
    <row r="1514" spans="1:6" hidden="1" x14ac:dyDescent="0.25">
      <c r="A1514" s="13" t="s">
        <v>78</v>
      </c>
      <c r="B1514" s="13">
        <v>27645</v>
      </c>
      <c r="C1514" s="13" t="s">
        <v>109</v>
      </c>
      <c r="D1514" s="13" t="s">
        <v>109</v>
      </c>
      <c r="E1514" s="13" t="s">
        <v>2286</v>
      </c>
      <c r="F1514" s="13" t="s">
        <v>335</v>
      </c>
    </row>
    <row r="1515" spans="1:6" hidden="1" x14ac:dyDescent="0.25">
      <c r="A1515" s="13" t="s">
        <v>78</v>
      </c>
      <c r="B1515" s="13">
        <v>15781</v>
      </c>
      <c r="C1515" s="13" t="s">
        <v>12</v>
      </c>
      <c r="D1515" s="13" t="s">
        <v>12</v>
      </c>
      <c r="E1515" s="13" t="s">
        <v>2376</v>
      </c>
      <c r="F1515" s="13" t="s">
        <v>335</v>
      </c>
    </row>
    <row r="1516" spans="1:6" hidden="1" x14ac:dyDescent="0.25">
      <c r="A1516" s="13" t="s">
        <v>78</v>
      </c>
      <c r="B1516" s="13">
        <v>15501</v>
      </c>
      <c r="C1516" s="13" t="s">
        <v>9</v>
      </c>
      <c r="D1516" s="13" t="s">
        <v>9</v>
      </c>
      <c r="E1516" s="13" t="s">
        <v>2461</v>
      </c>
      <c r="F1516" s="13" t="s">
        <v>335</v>
      </c>
    </row>
    <row r="1517" spans="1:6" hidden="1" x14ac:dyDescent="0.25">
      <c r="A1517" s="13" t="s">
        <v>78</v>
      </c>
      <c r="B1517" s="13">
        <v>79924</v>
      </c>
      <c r="C1517" s="13" t="s">
        <v>402</v>
      </c>
      <c r="D1517" s="13" t="s">
        <v>402</v>
      </c>
      <c r="E1517" s="13" t="s">
        <v>2450</v>
      </c>
      <c r="F1517" s="13" t="s">
        <v>335</v>
      </c>
    </row>
    <row r="1518" spans="1:6" hidden="1" x14ac:dyDescent="0.25">
      <c r="A1518" s="13" t="s">
        <v>78</v>
      </c>
      <c r="B1518" s="13">
        <v>15501</v>
      </c>
      <c r="C1518" s="13" t="s">
        <v>9</v>
      </c>
      <c r="D1518" s="13" t="s">
        <v>9</v>
      </c>
      <c r="E1518" s="13" t="s">
        <v>1955</v>
      </c>
      <c r="F1518" s="13" t="s">
        <v>335</v>
      </c>
    </row>
    <row r="1519" spans="1:6" hidden="1" x14ac:dyDescent="0.25">
      <c r="A1519" s="13" t="s">
        <v>78</v>
      </c>
      <c r="B1519" s="13">
        <v>82639</v>
      </c>
      <c r="C1519" s="13" t="s">
        <v>1921</v>
      </c>
      <c r="D1519" s="13" t="s">
        <v>1921</v>
      </c>
      <c r="E1519" s="13" t="s">
        <v>2221</v>
      </c>
      <c r="F1519" s="13" t="s">
        <v>335</v>
      </c>
    </row>
    <row r="1520" spans="1:6" hidden="1" x14ac:dyDescent="0.25">
      <c r="A1520" s="13" t="s">
        <v>78</v>
      </c>
      <c r="B1520" s="13">
        <v>80386</v>
      </c>
      <c r="C1520" s="13" t="s">
        <v>77</v>
      </c>
      <c r="D1520" s="13" t="s">
        <v>77</v>
      </c>
      <c r="E1520" s="13" t="s">
        <v>2475</v>
      </c>
      <c r="F1520" s="13" t="s">
        <v>335</v>
      </c>
    </row>
    <row r="1521" spans="1:6" hidden="1" x14ac:dyDescent="0.25">
      <c r="A1521" s="13" t="s">
        <v>21</v>
      </c>
      <c r="B1521" s="13">
        <v>80386</v>
      </c>
      <c r="C1521" s="13" t="s">
        <v>77</v>
      </c>
      <c r="D1521" s="13" t="s">
        <v>77</v>
      </c>
      <c r="E1521" s="13" t="s">
        <v>2475</v>
      </c>
      <c r="F1521" s="13" t="s">
        <v>335</v>
      </c>
    </row>
    <row r="1522" spans="1:6" hidden="1" x14ac:dyDescent="0.25">
      <c r="A1522" s="13" t="s">
        <v>78</v>
      </c>
      <c r="B1522" s="13">
        <v>80573</v>
      </c>
      <c r="C1522" s="13" t="s">
        <v>127</v>
      </c>
      <c r="D1522" s="13" t="s">
        <v>1974</v>
      </c>
      <c r="E1522" s="13" t="s">
        <v>2481</v>
      </c>
      <c r="F1522" s="13" t="s">
        <v>335</v>
      </c>
    </row>
    <row r="1523" spans="1:6" hidden="1" x14ac:dyDescent="0.25">
      <c r="A1523" s="13" t="s">
        <v>78</v>
      </c>
      <c r="B1523" s="13">
        <v>80510</v>
      </c>
      <c r="C1523" s="13" t="s">
        <v>1856</v>
      </c>
      <c r="D1523" s="13" t="s">
        <v>1871</v>
      </c>
      <c r="E1523" s="13" t="s">
        <v>1985</v>
      </c>
      <c r="F1523" s="13" t="s">
        <v>335</v>
      </c>
    </row>
    <row r="1524" spans="1:6" hidden="1" x14ac:dyDescent="0.25">
      <c r="A1524" s="13" t="s">
        <v>78</v>
      </c>
      <c r="B1524" s="13">
        <v>82053</v>
      </c>
      <c r="C1524" s="13" t="s">
        <v>1856</v>
      </c>
      <c r="D1524" s="13" t="s">
        <v>2145</v>
      </c>
      <c r="E1524" s="13" t="s">
        <v>1985</v>
      </c>
      <c r="F1524" s="13" t="s">
        <v>335</v>
      </c>
    </row>
    <row r="1525" spans="1:6" hidden="1" x14ac:dyDescent="0.25">
      <c r="A1525" s="13" t="s">
        <v>78</v>
      </c>
      <c r="B1525" s="13">
        <v>81643</v>
      </c>
      <c r="C1525" s="13" t="s">
        <v>93</v>
      </c>
      <c r="D1525" s="13" t="s">
        <v>1903</v>
      </c>
      <c r="E1525" s="13" t="s">
        <v>2184</v>
      </c>
      <c r="F1525" s="13" t="s">
        <v>335</v>
      </c>
    </row>
    <row r="1526" spans="1:6" hidden="1" x14ac:dyDescent="0.25">
      <c r="A1526" s="13" t="s">
        <v>78</v>
      </c>
      <c r="B1526" s="13">
        <v>81260</v>
      </c>
      <c r="C1526" s="13" t="s">
        <v>319</v>
      </c>
      <c r="D1526" s="13" t="s">
        <v>2164</v>
      </c>
      <c r="E1526" s="13" t="s">
        <v>2239</v>
      </c>
      <c r="F1526" s="13" t="s">
        <v>335</v>
      </c>
    </row>
    <row r="1527" spans="1:6" hidden="1" x14ac:dyDescent="0.25">
      <c r="A1527" s="13" t="s">
        <v>78</v>
      </c>
      <c r="B1527" s="13">
        <v>81643</v>
      </c>
      <c r="C1527" s="13" t="s">
        <v>93</v>
      </c>
      <c r="D1527" s="13" t="s">
        <v>1903</v>
      </c>
      <c r="E1527" s="13" t="s">
        <v>2478</v>
      </c>
      <c r="F1527" s="13" t="s">
        <v>335</v>
      </c>
    </row>
    <row r="1528" spans="1:6" hidden="1" x14ac:dyDescent="0.25">
      <c r="A1528" s="13" t="s">
        <v>78</v>
      </c>
      <c r="B1528" s="13">
        <v>15501</v>
      </c>
      <c r="C1528" s="13" t="s">
        <v>9</v>
      </c>
      <c r="D1528" s="13" t="s">
        <v>9</v>
      </c>
      <c r="E1528" s="13" t="s">
        <v>1787</v>
      </c>
      <c r="F1528" s="13" t="s">
        <v>335</v>
      </c>
    </row>
    <row r="1529" spans="1:6" hidden="1" x14ac:dyDescent="0.25">
      <c r="A1529" s="13" t="s">
        <v>78</v>
      </c>
      <c r="B1529" s="13">
        <v>80654</v>
      </c>
      <c r="C1529" s="13" t="s">
        <v>131</v>
      </c>
      <c r="D1529" s="13" t="s">
        <v>131</v>
      </c>
      <c r="E1529" s="13" t="s">
        <v>1888</v>
      </c>
      <c r="F1529" s="13" t="s">
        <v>335</v>
      </c>
    </row>
    <row r="1530" spans="1:6" hidden="1" x14ac:dyDescent="0.25">
      <c r="A1530" s="13" t="s">
        <v>21</v>
      </c>
      <c r="B1530" s="13">
        <v>12296</v>
      </c>
      <c r="C1530" s="13" t="s">
        <v>2022</v>
      </c>
      <c r="D1530" s="13" t="s">
        <v>2022</v>
      </c>
      <c r="E1530" s="13" t="s">
        <v>2066</v>
      </c>
      <c r="F1530" s="13" t="s">
        <v>335</v>
      </c>
    </row>
    <row r="1531" spans="1:6" hidden="1" x14ac:dyDescent="0.25">
      <c r="A1531" s="13" t="s">
        <v>78</v>
      </c>
      <c r="B1531" s="13">
        <v>79691</v>
      </c>
      <c r="C1531" s="13" t="s">
        <v>190</v>
      </c>
      <c r="D1531" s="13" t="s">
        <v>1846</v>
      </c>
      <c r="E1531" s="13" t="s">
        <v>1847</v>
      </c>
      <c r="F1531" s="13" t="s">
        <v>335</v>
      </c>
    </row>
    <row r="1532" spans="1:6" hidden="1" x14ac:dyDescent="0.25">
      <c r="A1532" s="13" t="s">
        <v>78</v>
      </c>
      <c r="B1532" s="13">
        <v>79852</v>
      </c>
      <c r="C1532" s="13" t="s">
        <v>18</v>
      </c>
      <c r="D1532" s="13" t="s">
        <v>18</v>
      </c>
      <c r="E1532" s="13" t="s">
        <v>716</v>
      </c>
      <c r="F1532" s="13" t="s">
        <v>335</v>
      </c>
    </row>
    <row r="1533" spans="1:6" hidden="1" x14ac:dyDescent="0.25">
      <c r="A1533" s="13" t="s">
        <v>21</v>
      </c>
      <c r="B1533" s="13">
        <v>12296</v>
      </c>
      <c r="C1533" s="13" t="s">
        <v>2022</v>
      </c>
      <c r="D1533" s="13" t="s">
        <v>2022</v>
      </c>
      <c r="E1533" s="13" t="s">
        <v>287</v>
      </c>
      <c r="F1533" s="13" t="s">
        <v>335</v>
      </c>
    </row>
    <row r="1534" spans="1:6" hidden="1" x14ac:dyDescent="0.25">
      <c r="A1534" s="13" t="s">
        <v>21</v>
      </c>
      <c r="B1534" s="13">
        <v>12296</v>
      </c>
      <c r="C1534" s="13" t="s">
        <v>2022</v>
      </c>
      <c r="D1534" s="13" t="s">
        <v>2022</v>
      </c>
      <c r="E1534" s="13" t="s">
        <v>2036</v>
      </c>
      <c r="F1534" s="13" t="s">
        <v>335</v>
      </c>
    </row>
    <row r="1535" spans="1:6" hidden="1" x14ac:dyDescent="0.25">
      <c r="A1535" s="13" t="s">
        <v>78</v>
      </c>
      <c r="B1535" s="13">
        <v>12296</v>
      </c>
      <c r="C1535" s="13" t="s">
        <v>2022</v>
      </c>
      <c r="D1535" s="13" t="s">
        <v>2022</v>
      </c>
      <c r="E1535" s="13" t="s">
        <v>2036</v>
      </c>
      <c r="F1535" s="13" t="s">
        <v>335</v>
      </c>
    </row>
    <row r="1536" spans="1:6" hidden="1" x14ac:dyDescent="0.25">
      <c r="A1536" s="13" t="s">
        <v>78</v>
      </c>
      <c r="B1536" s="13">
        <v>82207</v>
      </c>
      <c r="C1536" s="13" t="s">
        <v>411</v>
      </c>
      <c r="D1536" s="13" t="s">
        <v>85</v>
      </c>
      <c r="E1536" s="13" t="s">
        <v>2068</v>
      </c>
      <c r="F1536" s="13" t="s">
        <v>335</v>
      </c>
    </row>
    <row r="1537" spans="1:6" hidden="1" x14ac:dyDescent="0.25">
      <c r="A1537" s="13" t="s">
        <v>78</v>
      </c>
      <c r="B1537" s="13">
        <v>43059</v>
      </c>
      <c r="C1537" s="13" t="s">
        <v>98</v>
      </c>
      <c r="D1537" s="13" t="s">
        <v>98</v>
      </c>
      <c r="E1537" s="13" t="s">
        <v>1058</v>
      </c>
      <c r="F1537" s="13" t="s">
        <v>335</v>
      </c>
    </row>
    <row r="1538" spans="1:6" hidden="1" x14ac:dyDescent="0.25">
      <c r="A1538" s="13" t="s">
        <v>78</v>
      </c>
      <c r="B1538" s="13">
        <v>79581</v>
      </c>
      <c r="C1538" s="13" t="s">
        <v>1933</v>
      </c>
      <c r="D1538" s="13" t="s">
        <v>1933</v>
      </c>
      <c r="E1538" s="13" t="s">
        <v>1987</v>
      </c>
      <c r="F1538" s="13" t="s">
        <v>335</v>
      </c>
    </row>
    <row r="1539" spans="1:6" hidden="1" x14ac:dyDescent="0.25">
      <c r="A1539" s="13" t="s">
        <v>78</v>
      </c>
      <c r="B1539" s="13">
        <v>79581</v>
      </c>
      <c r="C1539" s="13" t="s">
        <v>1933</v>
      </c>
      <c r="D1539" s="13" t="s">
        <v>1933</v>
      </c>
      <c r="E1539" s="13" t="s">
        <v>2627</v>
      </c>
      <c r="F1539" s="13" t="s">
        <v>335</v>
      </c>
    </row>
    <row r="1540" spans="1:6" hidden="1" x14ac:dyDescent="0.25">
      <c r="A1540" s="13" t="s">
        <v>21</v>
      </c>
      <c r="B1540" s="13">
        <v>82248</v>
      </c>
      <c r="C1540" s="13" t="s">
        <v>1836</v>
      </c>
      <c r="D1540" s="13" t="s">
        <v>267</v>
      </c>
      <c r="E1540" s="13" t="s">
        <v>1797</v>
      </c>
      <c r="F1540" s="13" t="s">
        <v>335</v>
      </c>
    </row>
    <row r="1541" spans="1:6" hidden="1" x14ac:dyDescent="0.25">
      <c r="A1541" s="13" t="s">
        <v>78</v>
      </c>
      <c r="B1541" s="13">
        <v>12404</v>
      </c>
      <c r="C1541" s="13" t="s">
        <v>267</v>
      </c>
      <c r="D1541" s="13" t="s">
        <v>267</v>
      </c>
      <c r="E1541" s="13" t="s">
        <v>1797</v>
      </c>
      <c r="F1541" s="13" t="s">
        <v>335</v>
      </c>
    </row>
    <row r="1542" spans="1:6" hidden="1" x14ac:dyDescent="0.25">
      <c r="A1542" s="13" t="s">
        <v>21</v>
      </c>
      <c r="B1542" s="13">
        <v>82778</v>
      </c>
      <c r="C1542" s="13" t="s">
        <v>267</v>
      </c>
      <c r="D1542" s="13" t="s">
        <v>267</v>
      </c>
      <c r="E1542" s="13" t="s">
        <v>1797</v>
      </c>
      <c r="F1542" s="13" t="s">
        <v>335</v>
      </c>
    </row>
    <row r="1543" spans="1:6" hidden="1" x14ac:dyDescent="0.25">
      <c r="A1543" s="13" t="s">
        <v>78</v>
      </c>
      <c r="B1543" s="13">
        <v>82778</v>
      </c>
      <c r="C1543" s="13" t="s">
        <v>267</v>
      </c>
      <c r="D1543" s="13" t="s">
        <v>267</v>
      </c>
      <c r="E1543" s="13" t="s">
        <v>1797</v>
      </c>
      <c r="F1543" s="13" t="s">
        <v>335</v>
      </c>
    </row>
    <row r="1544" spans="1:6" hidden="1" x14ac:dyDescent="0.25">
      <c r="A1544" s="13" t="s">
        <v>78</v>
      </c>
      <c r="B1544" s="13">
        <v>82967</v>
      </c>
      <c r="C1544" s="13" t="s">
        <v>2511</v>
      </c>
      <c r="D1544" s="13"/>
      <c r="E1544" s="13" t="s">
        <v>1797</v>
      </c>
      <c r="F1544" s="13" t="s">
        <v>335</v>
      </c>
    </row>
    <row r="1545" spans="1:6" hidden="1" x14ac:dyDescent="0.25">
      <c r="A1545" s="13" t="s">
        <v>78</v>
      </c>
      <c r="B1545" s="13">
        <v>82901</v>
      </c>
      <c r="C1545" s="13" t="s">
        <v>1909</v>
      </c>
      <c r="D1545" s="13" t="s">
        <v>267</v>
      </c>
      <c r="E1545" s="13" t="s">
        <v>1797</v>
      </c>
      <c r="F1545" s="13" t="s">
        <v>335</v>
      </c>
    </row>
    <row r="1546" spans="1:6" hidden="1" x14ac:dyDescent="0.25">
      <c r="A1546" s="13" t="s">
        <v>78</v>
      </c>
      <c r="B1546" s="13">
        <v>80510</v>
      </c>
      <c r="C1546" s="13" t="s">
        <v>1856</v>
      </c>
      <c r="D1546" s="13" t="s">
        <v>1871</v>
      </c>
      <c r="E1546" s="13" t="s">
        <v>2072</v>
      </c>
      <c r="F1546" s="13" t="s">
        <v>335</v>
      </c>
    </row>
    <row r="1547" spans="1:6" hidden="1" x14ac:dyDescent="0.25">
      <c r="A1547" s="13" t="s">
        <v>78</v>
      </c>
      <c r="B1547" s="13">
        <v>82818</v>
      </c>
      <c r="C1547" s="13" t="s">
        <v>1876</v>
      </c>
      <c r="D1547" s="13" t="s">
        <v>267</v>
      </c>
      <c r="E1547" s="13" t="s">
        <v>2359</v>
      </c>
      <c r="F1547" s="13" t="s">
        <v>335</v>
      </c>
    </row>
    <row r="1548" spans="1:6" hidden="1" x14ac:dyDescent="0.25">
      <c r="A1548" s="13" t="s">
        <v>21</v>
      </c>
      <c r="B1548" s="13">
        <v>82248</v>
      </c>
      <c r="C1548" s="13" t="s">
        <v>1836</v>
      </c>
      <c r="D1548" s="13" t="s">
        <v>267</v>
      </c>
      <c r="E1548" s="13" t="s">
        <v>2359</v>
      </c>
      <c r="F1548" s="13" t="s">
        <v>335</v>
      </c>
    </row>
    <row r="1549" spans="1:6" hidden="1" x14ac:dyDescent="0.25">
      <c r="A1549" s="13" t="s">
        <v>78</v>
      </c>
      <c r="B1549" s="13">
        <v>12404</v>
      </c>
      <c r="C1549" s="13" t="s">
        <v>267</v>
      </c>
      <c r="D1549" s="13" t="s">
        <v>267</v>
      </c>
      <c r="E1549" s="13" t="s">
        <v>2359</v>
      </c>
      <c r="F1549" s="13" t="s">
        <v>335</v>
      </c>
    </row>
    <row r="1550" spans="1:6" hidden="1" x14ac:dyDescent="0.25">
      <c r="A1550" s="13"/>
      <c r="B1550" s="13">
        <v>1170</v>
      </c>
      <c r="C1550" s="13" t="s">
        <v>22</v>
      </c>
      <c r="D1550" s="13" t="s">
        <v>22</v>
      </c>
      <c r="E1550" s="13" t="s">
        <v>449</v>
      </c>
      <c r="F1550" s="13" t="s">
        <v>2</v>
      </c>
    </row>
    <row r="1551" spans="1:6" hidden="1" x14ac:dyDescent="0.25">
      <c r="A1551" s="13"/>
      <c r="B1551" s="13">
        <v>1170</v>
      </c>
      <c r="C1551" s="13" t="s">
        <v>22</v>
      </c>
      <c r="D1551" s="13" t="s">
        <v>22</v>
      </c>
      <c r="E1551" s="13" t="s">
        <v>624</v>
      </c>
      <c r="F1551" s="13" t="s">
        <v>2</v>
      </c>
    </row>
    <row r="1552" spans="1:6" hidden="1" x14ac:dyDescent="0.25">
      <c r="A1552" s="13"/>
      <c r="B1552" s="13">
        <v>1170</v>
      </c>
      <c r="C1552" s="13" t="s">
        <v>22</v>
      </c>
      <c r="D1552" s="13" t="s">
        <v>22</v>
      </c>
      <c r="E1552" s="13" t="s">
        <v>2998</v>
      </c>
      <c r="F1552" s="13" t="s">
        <v>2</v>
      </c>
    </row>
    <row r="1553" spans="1:6" hidden="1" x14ac:dyDescent="0.25">
      <c r="A1553" s="13"/>
      <c r="B1553" s="13">
        <v>1170</v>
      </c>
      <c r="C1553" s="13" t="s">
        <v>22</v>
      </c>
      <c r="D1553" s="13" t="s">
        <v>22</v>
      </c>
      <c r="E1553" s="13" t="s">
        <v>3071</v>
      </c>
      <c r="F1553" s="13" t="s">
        <v>2</v>
      </c>
    </row>
    <row r="1554" spans="1:6" hidden="1" x14ac:dyDescent="0.25">
      <c r="A1554" s="13"/>
      <c r="B1554" s="13">
        <v>1170</v>
      </c>
      <c r="C1554" s="13" t="s">
        <v>22</v>
      </c>
      <c r="D1554" s="13" t="s">
        <v>22</v>
      </c>
      <c r="E1554" s="13" t="s">
        <v>393</v>
      </c>
      <c r="F1554" s="13" t="s">
        <v>2</v>
      </c>
    </row>
    <row r="1555" spans="1:6" hidden="1" x14ac:dyDescent="0.25">
      <c r="A1555" s="13"/>
      <c r="B1555" s="13">
        <v>1170</v>
      </c>
      <c r="C1555" s="13" t="s">
        <v>22</v>
      </c>
      <c r="D1555" s="13" t="s">
        <v>22</v>
      </c>
      <c r="E1555" s="13" t="s">
        <v>1784</v>
      </c>
      <c r="F1555" s="13" t="s">
        <v>2</v>
      </c>
    </row>
    <row r="1556" spans="1:6" hidden="1" x14ac:dyDescent="0.25">
      <c r="A1556" s="13"/>
      <c r="B1556" s="13">
        <v>1170</v>
      </c>
      <c r="C1556" s="13" t="s">
        <v>22</v>
      </c>
      <c r="D1556" s="13" t="s">
        <v>22</v>
      </c>
      <c r="E1556" s="13" t="s">
        <v>2999</v>
      </c>
      <c r="F1556" s="13" t="s">
        <v>2</v>
      </c>
    </row>
    <row r="1557" spans="1:6" hidden="1" x14ac:dyDescent="0.25">
      <c r="A1557" s="13"/>
      <c r="B1557" s="13">
        <v>1170</v>
      </c>
      <c r="C1557" s="13" t="s">
        <v>22</v>
      </c>
      <c r="D1557" s="13" t="s">
        <v>22</v>
      </c>
      <c r="E1557" s="13" t="s">
        <v>770</v>
      </c>
      <c r="F1557" s="13" t="s">
        <v>2</v>
      </c>
    </row>
    <row r="1558" spans="1:6" hidden="1" x14ac:dyDescent="0.25">
      <c r="A1558" s="13"/>
      <c r="B1558" s="13">
        <v>1170</v>
      </c>
      <c r="C1558" s="13" t="s">
        <v>22</v>
      </c>
      <c r="D1558" s="13" t="s">
        <v>22</v>
      </c>
      <c r="E1558" s="13" t="s">
        <v>742</v>
      </c>
      <c r="F1558" s="13" t="s">
        <v>2</v>
      </c>
    </row>
    <row r="1559" spans="1:6" hidden="1" x14ac:dyDescent="0.25">
      <c r="A1559" s="13"/>
      <c r="B1559" s="13">
        <v>1170</v>
      </c>
      <c r="C1559" s="13" t="s">
        <v>22</v>
      </c>
      <c r="D1559" s="13" t="s">
        <v>22</v>
      </c>
      <c r="E1559" s="13" t="s">
        <v>3000</v>
      </c>
      <c r="F1559" s="13" t="s">
        <v>2</v>
      </c>
    </row>
    <row r="1560" spans="1:6" hidden="1" x14ac:dyDescent="0.25">
      <c r="A1560" s="13"/>
      <c r="B1560" s="13">
        <v>1170</v>
      </c>
      <c r="C1560" s="13" t="s">
        <v>22</v>
      </c>
      <c r="D1560" s="13" t="s">
        <v>22</v>
      </c>
      <c r="E1560" s="13" t="s">
        <v>670</v>
      </c>
      <c r="F1560" s="13" t="s">
        <v>2</v>
      </c>
    </row>
    <row r="1561" spans="1:6" hidden="1" x14ac:dyDescent="0.25">
      <c r="A1561" s="13"/>
      <c r="B1561" s="13">
        <v>1170</v>
      </c>
      <c r="C1561" s="13" t="s">
        <v>22</v>
      </c>
      <c r="D1561" s="13" t="s">
        <v>22</v>
      </c>
      <c r="E1561" s="13" t="s">
        <v>39</v>
      </c>
      <c r="F1561" s="13" t="s">
        <v>2</v>
      </c>
    </row>
    <row r="1562" spans="1:6" hidden="1" x14ac:dyDescent="0.25">
      <c r="A1562" s="13"/>
      <c r="B1562" s="13">
        <v>1170</v>
      </c>
      <c r="C1562" s="13" t="s">
        <v>22</v>
      </c>
      <c r="D1562" s="13" t="s">
        <v>22</v>
      </c>
      <c r="E1562" s="13" t="s">
        <v>1251</v>
      </c>
      <c r="F1562" s="13" t="s">
        <v>2</v>
      </c>
    </row>
    <row r="1563" spans="1:6" hidden="1" x14ac:dyDescent="0.25">
      <c r="A1563" s="13"/>
      <c r="B1563" s="13">
        <v>1170</v>
      </c>
      <c r="C1563" s="13" t="s">
        <v>22</v>
      </c>
      <c r="D1563" s="13" t="s">
        <v>22</v>
      </c>
      <c r="E1563" s="13" t="s">
        <v>379</v>
      </c>
      <c r="F1563" s="13" t="s">
        <v>2</v>
      </c>
    </row>
    <row r="1564" spans="1:6" hidden="1" x14ac:dyDescent="0.25">
      <c r="A1564" s="13"/>
      <c r="B1564" s="13">
        <v>1170</v>
      </c>
      <c r="C1564" s="13" t="s">
        <v>22</v>
      </c>
      <c r="D1564" s="13" t="s">
        <v>22</v>
      </c>
      <c r="E1564" s="13" t="s">
        <v>331</v>
      </c>
      <c r="F1564" s="13" t="s">
        <v>2</v>
      </c>
    </row>
    <row r="1565" spans="1:6" hidden="1" x14ac:dyDescent="0.25">
      <c r="A1565" s="13"/>
      <c r="B1565" s="13">
        <v>1170</v>
      </c>
      <c r="C1565" s="13" t="s">
        <v>22</v>
      </c>
      <c r="D1565" s="13" t="s">
        <v>22</v>
      </c>
      <c r="E1565" s="13" t="s">
        <v>626</v>
      </c>
      <c r="F1565" s="13" t="s">
        <v>2</v>
      </c>
    </row>
    <row r="1566" spans="1:6" hidden="1" x14ac:dyDescent="0.25">
      <c r="A1566" s="13"/>
      <c r="B1566" s="13">
        <v>1170</v>
      </c>
      <c r="C1566" s="13" t="s">
        <v>22</v>
      </c>
      <c r="D1566" s="13" t="s">
        <v>22</v>
      </c>
      <c r="E1566" s="13" t="s">
        <v>993</v>
      </c>
      <c r="F1566" s="13" t="s">
        <v>2</v>
      </c>
    </row>
    <row r="1567" spans="1:6" hidden="1" x14ac:dyDescent="0.25">
      <c r="A1567" s="13"/>
      <c r="B1567" s="13">
        <v>1170</v>
      </c>
      <c r="C1567" s="13" t="s">
        <v>22</v>
      </c>
      <c r="D1567" s="13" t="s">
        <v>22</v>
      </c>
      <c r="E1567" s="13" t="s">
        <v>3001</v>
      </c>
      <c r="F1567" s="13" t="s">
        <v>2</v>
      </c>
    </row>
    <row r="1568" spans="1:6" hidden="1" x14ac:dyDescent="0.25">
      <c r="A1568" s="13"/>
      <c r="B1568" s="13">
        <v>1170</v>
      </c>
      <c r="C1568" s="13" t="s">
        <v>22</v>
      </c>
      <c r="D1568" s="13" t="s">
        <v>22</v>
      </c>
      <c r="E1568" s="13" t="s">
        <v>664</v>
      </c>
      <c r="F1568" s="13" t="s">
        <v>2</v>
      </c>
    </row>
    <row r="1569" spans="1:6" hidden="1" x14ac:dyDescent="0.25">
      <c r="A1569" s="13"/>
      <c r="B1569" s="13">
        <v>1170</v>
      </c>
      <c r="C1569" s="13" t="s">
        <v>22</v>
      </c>
      <c r="D1569" s="13" t="s">
        <v>22</v>
      </c>
      <c r="E1569" s="13" t="s">
        <v>1397</v>
      </c>
      <c r="F1569" s="13" t="s">
        <v>2</v>
      </c>
    </row>
    <row r="1570" spans="1:6" hidden="1" x14ac:dyDescent="0.25">
      <c r="A1570" s="13"/>
      <c r="B1570" s="13">
        <v>1170</v>
      </c>
      <c r="C1570" s="13" t="s">
        <v>22</v>
      </c>
      <c r="D1570" s="13" t="s">
        <v>22</v>
      </c>
      <c r="E1570" s="13" t="s">
        <v>3002</v>
      </c>
      <c r="F1570" s="13" t="s">
        <v>2</v>
      </c>
    </row>
    <row r="1571" spans="1:6" hidden="1" x14ac:dyDescent="0.25">
      <c r="A1571" s="13"/>
      <c r="B1571" s="13">
        <v>1170</v>
      </c>
      <c r="C1571" s="13" t="s">
        <v>22</v>
      </c>
      <c r="D1571" s="13" t="s">
        <v>22</v>
      </c>
      <c r="E1571" s="13" t="s">
        <v>132</v>
      </c>
      <c r="F1571" s="13" t="s">
        <v>2</v>
      </c>
    </row>
    <row r="1572" spans="1:6" hidden="1" x14ac:dyDescent="0.25">
      <c r="A1572" s="13"/>
      <c r="B1572" s="13">
        <v>1170</v>
      </c>
      <c r="C1572" s="13" t="s">
        <v>22</v>
      </c>
      <c r="D1572" s="13" t="s">
        <v>22</v>
      </c>
      <c r="E1572" s="13" t="s">
        <v>649</v>
      </c>
      <c r="F1572" s="13" t="s">
        <v>2</v>
      </c>
    </row>
    <row r="1573" spans="1:6" hidden="1" x14ac:dyDescent="0.25">
      <c r="A1573" s="13"/>
      <c r="B1573" s="13">
        <v>1170</v>
      </c>
      <c r="C1573" s="13" t="s">
        <v>22</v>
      </c>
      <c r="D1573" s="13" t="s">
        <v>22</v>
      </c>
      <c r="E1573" s="13" t="s">
        <v>1012</v>
      </c>
      <c r="F1573" s="13" t="s">
        <v>2</v>
      </c>
    </row>
    <row r="1574" spans="1:6" hidden="1" x14ac:dyDescent="0.25">
      <c r="A1574" s="13"/>
      <c r="B1574" s="13">
        <v>1170</v>
      </c>
      <c r="C1574" s="13" t="s">
        <v>22</v>
      </c>
      <c r="D1574" s="13" t="s">
        <v>22</v>
      </c>
      <c r="E1574" s="13" t="s">
        <v>621</v>
      </c>
      <c r="F1574" s="13" t="s">
        <v>2</v>
      </c>
    </row>
    <row r="1575" spans="1:6" hidden="1" x14ac:dyDescent="0.25">
      <c r="A1575" s="13"/>
      <c r="B1575" s="13">
        <v>1170</v>
      </c>
      <c r="C1575" s="13" t="s">
        <v>22</v>
      </c>
      <c r="D1575" s="13" t="s">
        <v>22</v>
      </c>
      <c r="E1575" s="13" t="s">
        <v>60</v>
      </c>
      <c r="F1575" s="13" t="s">
        <v>2</v>
      </c>
    </row>
    <row r="1576" spans="1:6" hidden="1" x14ac:dyDescent="0.25">
      <c r="A1576" s="13"/>
      <c r="B1576" s="13">
        <v>1170</v>
      </c>
      <c r="C1576" s="13" t="s">
        <v>22</v>
      </c>
      <c r="D1576" s="13" t="s">
        <v>22</v>
      </c>
      <c r="E1576" s="13" t="s">
        <v>648</v>
      </c>
      <c r="F1576" s="13" t="s">
        <v>2</v>
      </c>
    </row>
    <row r="1577" spans="1:6" hidden="1" x14ac:dyDescent="0.25">
      <c r="A1577" s="13"/>
      <c r="B1577" s="13">
        <v>1170</v>
      </c>
      <c r="C1577" s="13" t="s">
        <v>22</v>
      </c>
      <c r="D1577" s="13" t="s">
        <v>22</v>
      </c>
      <c r="E1577" s="13" t="s">
        <v>452</v>
      </c>
      <c r="F1577" s="13" t="s">
        <v>490</v>
      </c>
    </row>
    <row r="1578" spans="1:6" hidden="1" x14ac:dyDescent="0.25">
      <c r="A1578" s="13"/>
      <c r="B1578" s="13">
        <v>1170</v>
      </c>
      <c r="C1578" s="13" t="s">
        <v>22</v>
      </c>
      <c r="D1578" s="13" t="s">
        <v>22</v>
      </c>
      <c r="E1578" s="13" t="s">
        <v>516</v>
      </c>
      <c r="F1578" s="13" t="s">
        <v>2</v>
      </c>
    </row>
    <row r="1579" spans="1:6" hidden="1" x14ac:dyDescent="0.25">
      <c r="A1579" s="13"/>
      <c r="B1579" s="13">
        <v>1170</v>
      </c>
      <c r="C1579" s="13" t="s">
        <v>22</v>
      </c>
      <c r="D1579" s="13" t="s">
        <v>22</v>
      </c>
      <c r="E1579" s="13" t="s">
        <v>3003</v>
      </c>
      <c r="F1579" s="13" t="s">
        <v>2</v>
      </c>
    </row>
    <row r="1580" spans="1:6" hidden="1" x14ac:dyDescent="0.25">
      <c r="A1580" s="13"/>
      <c r="B1580" s="13">
        <v>1170</v>
      </c>
      <c r="C1580" s="13" t="s">
        <v>22</v>
      </c>
      <c r="D1580" s="13" t="s">
        <v>22</v>
      </c>
      <c r="E1580" s="13" t="s">
        <v>653</v>
      </c>
      <c r="F1580" s="13" t="s">
        <v>2</v>
      </c>
    </row>
    <row r="1581" spans="1:6" hidden="1" x14ac:dyDescent="0.25">
      <c r="A1581" s="13"/>
      <c r="B1581" s="13">
        <v>1170</v>
      </c>
      <c r="C1581" s="13" t="s">
        <v>22</v>
      </c>
      <c r="D1581" s="13" t="s">
        <v>22</v>
      </c>
      <c r="E1581" s="13" t="s">
        <v>378</v>
      </c>
      <c r="F1581" s="13" t="s">
        <v>2</v>
      </c>
    </row>
    <row r="1582" spans="1:6" hidden="1" x14ac:dyDescent="0.25">
      <c r="A1582" s="13"/>
      <c r="B1582" s="13">
        <v>1170</v>
      </c>
      <c r="C1582" s="13" t="s">
        <v>22</v>
      </c>
      <c r="D1582" s="13" t="s">
        <v>22</v>
      </c>
      <c r="E1582" s="13" t="s">
        <v>647</v>
      </c>
      <c r="F1582" s="13" t="s">
        <v>2</v>
      </c>
    </row>
    <row r="1583" spans="1:6" hidden="1" x14ac:dyDescent="0.25">
      <c r="B1583" s="13">
        <v>1170</v>
      </c>
      <c r="C1583" s="13" t="s">
        <v>22</v>
      </c>
      <c r="D1583" s="13" t="s">
        <v>22</v>
      </c>
      <c r="E1583" s="13" t="s">
        <v>650</v>
      </c>
      <c r="F1583" s="13" t="s">
        <v>490</v>
      </c>
    </row>
    <row r="1584" spans="1:6" hidden="1" x14ac:dyDescent="0.25">
      <c r="B1584" s="13">
        <v>1170</v>
      </c>
      <c r="C1584" s="13" t="s">
        <v>22</v>
      </c>
      <c r="D1584" s="13" t="s">
        <v>22</v>
      </c>
      <c r="E1584" s="13" t="s">
        <v>3004</v>
      </c>
      <c r="F1584" s="13" t="s">
        <v>2</v>
      </c>
    </row>
    <row r="1585" spans="2:6" hidden="1" x14ac:dyDescent="0.25">
      <c r="B1585" s="13">
        <v>1170</v>
      </c>
      <c r="C1585" s="13" t="s">
        <v>22</v>
      </c>
      <c r="D1585" s="13" t="s">
        <v>22</v>
      </c>
      <c r="E1585" s="13" t="s">
        <v>503</v>
      </c>
      <c r="F1585" s="13" t="s">
        <v>2</v>
      </c>
    </row>
    <row r="1586" spans="2:6" hidden="1" x14ac:dyDescent="0.25">
      <c r="B1586" s="13">
        <v>1170</v>
      </c>
      <c r="C1586" s="13" t="s">
        <v>22</v>
      </c>
      <c r="D1586" s="13" t="s">
        <v>22</v>
      </c>
      <c r="E1586" s="13" t="s">
        <v>1054</v>
      </c>
      <c r="F1586" s="13" t="s">
        <v>2</v>
      </c>
    </row>
    <row r="1587" spans="2:6" hidden="1" x14ac:dyDescent="0.25">
      <c r="B1587" s="13">
        <v>1170</v>
      </c>
      <c r="C1587" s="13" t="s">
        <v>22</v>
      </c>
      <c r="D1587" s="13" t="s">
        <v>22</v>
      </c>
      <c r="E1587" s="13" t="s">
        <v>768</v>
      </c>
      <c r="F1587" s="13" t="s">
        <v>551</v>
      </c>
    </row>
    <row r="1588" spans="2:6" hidden="1" x14ac:dyDescent="0.25">
      <c r="B1588" s="13">
        <v>1170</v>
      </c>
      <c r="C1588" s="13" t="s">
        <v>22</v>
      </c>
      <c r="D1588" s="13" t="s">
        <v>22</v>
      </c>
      <c r="E1588" s="13" t="s">
        <v>2699</v>
      </c>
      <c r="F1588" s="13" t="s">
        <v>2</v>
      </c>
    </row>
    <row r="1589" spans="2:6" hidden="1" x14ac:dyDescent="0.25">
      <c r="B1589" s="13">
        <v>1170</v>
      </c>
      <c r="C1589" s="13" t="s">
        <v>22</v>
      </c>
      <c r="D1589" s="13" t="s">
        <v>22</v>
      </c>
      <c r="E1589" s="13" t="s">
        <v>632</v>
      </c>
      <c r="F1589" s="13" t="s">
        <v>2</v>
      </c>
    </row>
    <row r="1590" spans="2:6" hidden="1" x14ac:dyDescent="0.25">
      <c r="B1590" s="13">
        <v>1170</v>
      </c>
      <c r="C1590" s="13" t="s">
        <v>22</v>
      </c>
      <c r="D1590" s="13" t="s">
        <v>22</v>
      </c>
      <c r="E1590" s="13" t="s">
        <v>475</v>
      </c>
      <c r="F1590" s="13" t="s">
        <v>2</v>
      </c>
    </row>
    <row r="1591" spans="2:6" hidden="1" x14ac:dyDescent="0.25">
      <c r="B1591" s="13">
        <v>1170</v>
      </c>
      <c r="C1591" s="13" t="s">
        <v>22</v>
      </c>
      <c r="D1591" s="13" t="s">
        <v>22</v>
      </c>
      <c r="E1591" s="13" t="s">
        <v>3005</v>
      </c>
      <c r="F1591" s="13" t="s">
        <v>2</v>
      </c>
    </row>
    <row r="1592" spans="2:6" hidden="1" x14ac:dyDescent="0.25">
      <c r="B1592" s="13">
        <v>1170</v>
      </c>
      <c r="C1592" s="13" t="s">
        <v>22</v>
      </c>
      <c r="D1592" s="13" t="s">
        <v>22</v>
      </c>
      <c r="E1592" s="13" t="s">
        <v>480</v>
      </c>
      <c r="F1592" s="13" t="s">
        <v>2</v>
      </c>
    </row>
    <row r="1593" spans="2:6" hidden="1" x14ac:dyDescent="0.25">
      <c r="B1593" s="13">
        <v>1170</v>
      </c>
      <c r="C1593" s="13" t="s">
        <v>22</v>
      </c>
      <c r="D1593" s="13" t="s">
        <v>22</v>
      </c>
      <c r="E1593" s="13" t="s">
        <v>497</v>
      </c>
      <c r="F1593" s="13" t="s">
        <v>2</v>
      </c>
    </row>
    <row r="1594" spans="2:6" hidden="1" x14ac:dyDescent="0.25">
      <c r="B1594" s="13">
        <v>1170</v>
      </c>
      <c r="C1594" s="13" t="s">
        <v>22</v>
      </c>
      <c r="D1594" s="13" t="s">
        <v>22</v>
      </c>
      <c r="E1594" s="13" t="s">
        <v>3006</v>
      </c>
      <c r="F1594" s="13" t="s">
        <v>2</v>
      </c>
    </row>
    <row r="1595" spans="2:6" hidden="1" x14ac:dyDescent="0.25">
      <c r="B1595" s="13">
        <v>1170</v>
      </c>
      <c r="C1595" s="13" t="s">
        <v>22</v>
      </c>
      <c r="D1595" s="13" t="s">
        <v>22</v>
      </c>
      <c r="E1595" s="13" t="s">
        <v>615</v>
      </c>
      <c r="F1595" s="13" t="s">
        <v>2</v>
      </c>
    </row>
    <row r="1596" spans="2:6" hidden="1" x14ac:dyDescent="0.25">
      <c r="B1596" s="13">
        <v>1170</v>
      </c>
      <c r="C1596" s="13" t="s">
        <v>22</v>
      </c>
      <c r="D1596" s="13" t="s">
        <v>22</v>
      </c>
      <c r="E1596" s="13" t="s">
        <v>3007</v>
      </c>
      <c r="F1596" s="13" t="s">
        <v>2</v>
      </c>
    </row>
    <row r="1597" spans="2:6" hidden="1" x14ac:dyDescent="0.25">
      <c r="B1597" s="13">
        <v>1170</v>
      </c>
      <c r="C1597" s="13" t="s">
        <v>22</v>
      </c>
      <c r="D1597" s="13" t="s">
        <v>22</v>
      </c>
      <c r="E1597" s="13" t="s">
        <v>3008</v>
      </c>
      <c r="F1597" s="13" t="s">
        <v>2</v>
      </c>
    </row>
    <row r="1598" spans="2:6" hidden="1" x14ac:dyDescent="0.25">
      <c r="B1598" s="13">
        <v>1170</v>
      </c>
      <c r="C1598" s="13" t="s">
        <v>22</v>
      </c>
      <c r="D1598" s="13" t="s">
        <v>22</v>
      </c>
      <c r="E1598" s="13" t="s">
        <v>1053</v>
      </c>
      <c r="F1598" s="13" t="s">
        <v>2</v>
      </c>
    </row>
    <row r="1599" spans="2:6" hidden="1" x14ac:dyDescent="0.25">
      <c r="B1599" s="13">
        <v>1170</v>
      </c>
      <c r="C1599" s="13" t="s">
        <v>22</v>
      </c>
      <c r="D1599" s="13" t="s">
        <v>22</v>
      </c>
      <c r="E1599" s="13" t="s">
        <v>3009</v>
      </c>
      <c r="F1599" s="13" t="s">
        <v>2</v>
      </c>
    </row>
    <row r="1600" spans="2:6" hidden="1" x14ac:dyDescent="0.25">
      <c r="B1600" s="13">
        <v>1170</v>
      </c>
      <c r="C1600" s="13" t="s">
        <v>22</v>
      </c>
      <c r="D1600" s="13" t="s">
        <v>22</v>
      </c>
      <c r="E1600" s="13" t="s">
        <v>3010</v>
      </c>
      <c r="F1600" s="13" t="s">
        <v>2</v>
      </c>
    </row>
    <row r="1601" spans="2:6" hidden="1" x14ac:dyDescent="0.25">
      <c r="B1601" s="13">
        <v>1170</v>
      </c>
      <c r="C1601" s="13" t="s">
        <v>22</v>
      </c>
      <c r="D1601" s="13" t="s">
        <v>22</v>
      </c>
      <c r="E1601" s="13" t="s">
        <v>428</v>
      </c>
      <c r="F1601" s="13" t="s">
        <v>468</v>
      </c>
    </row>
    <row r="1602" spans="2:6" hidden="1" x14ac:dyDescent="0.25">
      <c r="B1602" s="13">
        <v>1170</v>
      </c>
      <c r="C1602" s="13" t="s">
        <v>22</v>
      </c>
      <c r="D1602" s="13" t="s">
        <v>22</v>
      </c>
      <c r="E1602" s="13" t="s">
        <v>23</v>
      </c>
      <c r="F1602" s="13" t="s">
        <v>2</v>
      </c>
    </row>
    <row r="1603" spans="2:6" hidden="1" x14ac:dyDescent="0.25">
      <c r="B1603" s="13">
        <v>1170</v>
      </c>
      <c r="C1603" s="13" t="s">
        <v>22</v>
      </c>
      <c r="D1603" s="13" t="s">
        <v>22</v>
      </c>
      <c r="E1603" s="13" t="s">
        <v>459</v>
      </c>
      <c r="F1603" s="13" t="s">
        <v>2</v>
      </c>
    </row>
    <row r="1604" spans="2:6" hidden="1" x14ac:dyDescent="0.25">
      <c r="B1604" s="13">
        <v>1170</v>
      </c>
      <c r="C1604" s="13" t="s">
        <v>22</v>
      </c>
      <c r="D1604" s="13" t="s">
        <v>22</v>
      </c>
      <c r="E1604" s="13" t="s">
        <v>3011</v>
      </c>
      <c r="F1604" s="13" t="s">
        <v>2</v>
      </c>
    </row>
    <row r="1605" spans="2:6" hidden="1" x14ac:dyDescent="0.25">
      <c r="B1605" s="13">
        <v>1170</v>
      </c>
      <c r="C1605" s="13" t="s">
        <v>22</v>
      </c>
      <c r="D1605" s="13" t="s">
        <v>22</v>
      </c>
      <c r="E1605" s="13" t="s">
        <v>614</v>
      </c>
      <c r="F1605" s="13" t="s">
        <v>2</v>
      </c>
    </row>
    <row r="1606" spans="2:6" hidden="1" x14ac:dyDescent="0.25">
      <c r="B1606" s="13">
        <v>1170</v>
      </c>
      <c r="C1606" s="13" t="s">
        <v>22</v>
      </c>
      <c r="D1606" s="13" t="s">
        <v>22</v>
      </c>
      <c r="E1606" s="13" t="s">
        <v>3012</v>
      </c>
      <c r="F1606" s="13" t="s">
        <v>2</v>
      </c>
    </row>
    <row r="1607" spans="2:6" hidden="1" x14ac:dyDescent="0.25">
      <c r="B1607" s="13">
        <v>1170</v>
      </c>
      <c r="C1607" s="13" t="s">
        <v>22</v>
      </c>
      <c r="D1607" s="13" t="s">
        <v>22</v>
      </c>
      <c r="E1607" s="13" t="s">
        <v>3013</v>
      </c>
      <c r="F1607" s="13" t="s">
        <v>2</v>
      </c>
    </row>
    <row r="1608" spans="2:6" hidden="1" x14ac:dyDescent="0.25">
      <c r="B1608" s="13">
        <v>1170</v>
      </c>
      <c r="C1608" s="13" t="s">
        <v>22</v>
      </c>
      <c r="D1608" s="13" t="s">
        <v>22</v>
      </c>
      <c r="E1608" s="13" t="s">
        <v>423</v>
      </c>
      <c r="F1608" s="13" t="s">
        <v>2</v>
      </c>
    </row>
    <row r="1609" spans="2:6" hidden="1" x14ac:dyDescent="0.25">
      <c r="B1609" s="13">
        <v>1170</v>
      </c>
      <c r="C1609" s="13" t="s">
        <v>22</v>
      </c>
      <c r="D1609" s="13" t="s">
        <v>22</v>
      </c>
      <c r="E1609" s="13" t="s">
        <v>3014</v>
      </c>
      <c r="F1609" s="13" t="s">
        <v>2</v>
      </c>
    </row>
    <row r="1610" spans="2:6" hidden="1" x14ac:dyDescent="0.25">
      <c r="B1610" s="13">
        <v>1170</v>
      </c>
      <c r="C1610" s="13" t="s">
        <v>22</v>
      </c>
      <c r="D1610" s="13" t="s">
        <v>22</v>
      </c>
      <c r="E1610" s="13" t="s">
        <v>658</v>
      </c>
      <c r="F1610" s="13" t="s">
        <v>468</v>
      </c>
    </row>
    <row r="1611" spans="2:6" hidden="1" x14ac:dyDescent="0.25">
      <c r="B1611" s="13">
        <v>1170</v>
      </c>
      <c r="C1611" s="13" t="s">
        <v>22</v>
      </c>
      <c r="D1611" s="13" t="s">
        <v>22</v>
      </c>
      <c r="E1611" s="13" t="s">
        <v>767</v>
      </c>
      <c r="F1611" s="13" t="s">
        <v>2</v>
      </c>
    </row>
    <row r="1612" spans="2:6" hidden="1" x14ac:dyDescent="0.25">
      <c r="B1612" s="13">
        <v>1170</v>
      </c>
      <c r="C1612" s="13" t="s">
        <v>22</v>
      </c>
      <c r="D1612" s="13" t="s">
        <v>22</v>
      </c>
      <c r="E1612" s="13" t="s">
        <v>477</v>
      </c>
      <c r="F1612" s="13" t="s">
        <v>2</v>
      </c>
    </row>
    <row r="1613" spans="2:6" hidden="1" x14ac:dyDescent="0.25">
      <c r="B1613" s="13">
        <v>1170</v>
      </c>
      <c r="C1613" s="13" t="s">
        <v>22</v>
      </c>
      <c r="D1613" s="13" t="s">
        <v>22</v>
      </c>
      <c r="E1613" s="13" t="s">
        <v>2765</v>
      </c>
      <c r="F1613" s="13" t="s">
        <v>2</v>
      </c>
    </row>
    <row r="1614" spans="2:6" hidden="1" x14ac:dyDescent="0.25">
      <c r="B1614" s="13">
        <v>1170</v>
      </c>
      <c r="C1614" s="13" t="s">
        <v>22</v>
      </c>
      <c r="D1614" s="13" t="s">
        <v>22</v>
      </c>
      <c r="E1614" s="13" t="s">
        <v>3015</v>
      </c>
      <c r="F1614" s="13" t="s">
        <v>2</v>
      </c>
    </row>
    <row r="1615" spans="2:6" hidden="1" x14ac:dyDescent="0.25">
      <c r="B1615" s="13">
        <v>1170</v>
      </c>
      <c r="C1615" s="13" t="s">
        <v>22</v>
      </c>
      <c r="D1615" s="13" t="s">
        <v>22</v>
      </c>
      <c r="E1615" s="13" t="s">
        <v>663</v>
      </c>
      <c r="F1615" s="13" t="s">
        <v>2</v>
      </c>
    </row>
    <row r="1616" spans="2:6" hidden="1" x14ac:dyDescent="0.25">
      <c r="B1616" s="13">
        <v>1170</v>
      </c>
      <c r="C1616" s="13" t="s">
        <v>22</v>
      </c>
      <c r="D1616" s="13" t="s">
        <v>22</v>
      </c>
      <c r="E1616" s="13" t="s">
        <v>665</v>
      </c>
      <c r="F1616" s="13" t="s">
        <v>2</v>
      </c>
    </row>
    <row r="1617" spans="2:6" hidden="1" x14ac:dyDescent="0.25">
      <c r="B1617" s="13">
        <v>1170</v>
      </c>
      <c r="C1617" s="13" t="s">
        <v>22</v>
      </c>
      <c r="D1617" s="13" t="s">
        <v>22</v>
      </c>
      <c r="E1617" s="13" t="s">
        <v>574</v>
      </c>
      <c r="F1617" s="13" t="s">
        <v>2</v>
      </c>
    </row>
    <row r="1618" spans="2:6" hidden="1" x14ac:dyDescent="0.25">
      <c r="B1618" s="13">
        <v>1170</v>
      </c>
      <c r="C1618" s="13" t="s">
        <v>22</v>
      </c>
      <c r="D1618" s="13" t="s">
        <v>22</v>
      </c>
      <c r="E1618" s="13" t="s">
        <v>3016</v>
      </c>
      <c r="F1618" s="13" t="s">
        <v>2</v>
      </c>
    </row>
    <row r="1619" spans="2:6" hidden="1" x14ac:dyDescent="0.25">
      <c r="B1619" s="13">
        <v>1170</v>
      </c>
      <c r="C1619" s="13" t="s">
        <v>22</v>
      </c>
      <c r="D1619" s="13" t="s">
        <v>22</v>
      </c>
      <c r="E1619" s="13" t="s">
        <v>3017</v>
      </c>
      <c r="F1619" s="13" t="s">
        <v>2</v>
      </c>
    </row>
    <row r="1620" spans="2:6" hidden="1" x14ac:dyDescent="0.25">
      <c r="B1620" s="13">
        <v>1170</v>
      </c>
      <c r="C1620" s="13" t="s">
        <v>22</v>
      </c>
      <c r="D1620" s="13" t="s">
        <v>22</v>
      </c>
      <c r="E1620" s="13" t="s">
        <v>3018</v>
      </c>
      <c r="F1620" s="13" t="s">
        <v>2</v>
      </c>
    </row>
    <row r="1621" spans="2:6" hidden="1" x14ac:dyDescent="0.25">
      <c r="B1621" s="13">
        <v>1170</v>
      </c>
      <c r="C1621" s="13" t="s">
        <v>22</v>
      </c>
      <c r="D1621" s="13" t="s">
        <v>22</v>
      </c>
      <c r="E1621" s="13" t="s">
        <v>772</v>
      </c>
      <c r="F1621" s="13" t="s">
        <v>2</v>
      </c>
    </row>
    <row r="1622" spans="2:6" hidden="1" x14ac:dyDescent="0.25">
      <c r="B1622" s="13">
        <v>1170</v>
      </c>
      <c r="C1622" s="13" t="s">
        <v>22</v>
      </c>
      <c r="D1622" s="13" t="s">
        <v>22</v>
      </c>
      <c r="E1622" s="13" t="s">
        <v>424</v>
      </c>
      <c r="F1622" s="13" t="s">
        <v>2</v>
      </c>
    </row>
    <row r="1623" spans="2:6" hidden="1" x14ac:dyDescent="0.25">
      <c r="B1623" s="13">
        <v>1170</v>
      </c>
      <c r="C1623" s="13" t="s">
        <v>22</v>
      </c>
      <c r="D1623" s="13" t="s">
        <v>22</v>
      </c>
      <c r="E1623" s="13" t="s">
        <v>3019</v>
      </c>
      <c r="F1623" s="13" t="s">
        <v>2</v>
      </c>
    </row>
    <row r="1624" spans="2:6" hidden="1" x14ac:dyDescent="0.25">
      <c r="B1624" s="13">
        <v>1170</v>
      </c>
      <c r="C1624" s="13" t="s">
        <v>22</v>
      </c>
      <c r="D1624" s="13" t="s">
        <v>22</v>
      </c>
      <c r="E1624" s="13" t="s">
        <v>3020</v>
      </c>
      <c r="F1624" s="13" t="s">
        <v>2</v>
      </c>
    </row>
    <row r="1625" spans="2:6" hidden="1" x14ac:dyDescent="0.25">
      <c r="B1625" s="13">
        <v>1170</v>
      </c>
      <c r="C1625" s="13" t="s">
        <v>22</v>
      </c>
      <c r="D1625" s="13" t="s">
        <v>22</v>
      </c>
      <c r="E1625" s="13" t="s">
        <v>3021</v>
      </c>
      <c r="F1625" s="13" t="s">
        <v>2</v>
      </c>
    </row>
    <row r="1626" spans="2:6" hidden="1" x14ac:dyDescent="0.25">
      <c r="B1626" s="13">
        <v>1170</v>
      </c>
      <c r="C1626" s="13" t="s">
        <v>22</v>
      </c>
      <c r="D1626" s="13" t="s">
        <v>22</v>
      </c>
      <c r="E1626" s="13" t="s">
        <v>2582</v>
      </c>
      <c r="F1626" s="13" t="s">
        <v>2</v>
      </c>
    </row>
    <row r="1627" spans="2:6" hidden="1" x14ac:dyDescent="0.25">
      <c r="B1627" s="13">
        <v>1170</v>
      </c>
      <c r="C1627" s="13" t="s">
        <v>22</v>
      </c>
      <c r="D1627" s="13" t="s">
        <v>22</v>
      </c>
      <c r="E1627" s="13" t="s">
        <v>3022</v>
      </c>
      <c r="F1627" s="13" t="s">
        <v>2</v>
      </c>
    </row>
    <row r="1628" spans="2:6" hidden="1" x14ac:dyDescent="0.25">
      <c r="B1628" s="13">
        <v>1170</v>
      </c>
      <c r="C1628" s="13" t="s">
        <v>22</v>
      </c>
      <c r="D1628" s="13" t="s">
        <v>22</v>
      </c>
      <c r="E1628" s="13" t="s">
        <v>651</v>
      </c>
      <c r="F1628" s="13" t="s">
        <v>2</v>
      </c>
    </row>
    <row r="1629" spans="2:6" hidden="1" x14ac:dyDescent="0.25">
      <c r="B1629" s="13">
        <v>1170</v>
      </c>
      <c r="C1629" s="13" t="s">
        <v>22</v>
      </c>
      <c r="D1629" s="13" t="s">
        <v>22</v>
      </c>
      <c r="E1629" s="13" t="s">
        <v>646</v>
      </c>
      <c r="F1629" s="13" t="s">
        <v>2</v>
      </c>
    </row>
    <row r="1630" spans="2:6" hidden="1" x14ac:dyDescent="0.25">
      <c r="B1630" s="13">
        <v>1170</v>
      </c>
      <c r="C1630" s="13" t="s">
        <v>22</v>
      </c>
      <c r="D1630" s="13" t="s">
        <v>22</v>
      </c>
      <c r="E1630" s="13" t="s">
        <v>3023</v>
      </c>
      <c r="F1630" s="13" t="s">
        <v>2</v>
      </c>
    </row>
    <row r="1631" spans="2:6" hidden="1" x14ac:dyDescent="0.25">
      <c r="B1631" s="13">
        <v>1170</v>
      </c>
      <c r="C1631" s="13" t="s">
        <v>22</v>
      </c>
      <c r="D1631" s="13" t="s">
        <v>22</v>
      </c>
      <c r="E1631" s="13" t="s">
        <v>3024</v>
      </c>
      <c r="F1631" s="13" t="s">
        <v>2</v>
      </c>
    </row>
    <row r="1632" spans="2:6" hidden="1" x14ac:dyDescent="0.25">
      <c r="B1632" s="13">
        <v>1170</v>
      </c>
      <c r="C1632" s="13" t="s">
        <v>22</v>
      </c>
      <c r="D1632" s="13" t="s">
        <v>22</v>
      </c>
      <c r="E1632" s="13" t="s">
        <v>652</v>
      </c>
      <c r="F1632" s="13" t="s">
        <v>2</v>
      </c>
    </row>
    <row r="1633" spans="2:6" hidden="1" x14ac:dyDescent="0.25">
      <c r="B1633" s="13">
        <v>1170</v>
      </c>
      <c r="C1633" s="13" t="s">
        <v>22</v>
      </c>
      <c r="D1633" s="13" t="s">
        <v>22</v>
      </c>
      <c r="E1633" s="13" t="s">
        <v>604</v>
      </c>
      <c r="F1633" s="13" t="s">
        <v>2</v>
      </c>
    </row>
    <row r="1634" spans="2:6" hidden="1" x14ac:dyDescent="0.25">
      <c r="B1634" s="13">
        <v>1170</v>
      </c>
      <c r="C1634" s="13" t="s">
        <v>22</v>
      </c>
      <c r="D1634" s="13" t="s">
        <v>22</v>
      </c>
      <c r="E1634" s="13" t="s">
        <v>31</v>
      </c>
      <c r="F1634" s="13" t="s">
        <v>2</v>
      </c>
    </row>
    <row r="1635" spans="2:6" hidden="1" x14ac:dyDescent="0.25">
      <c r="B1635" s="13">
        <v>1170</v>
      </c>
      <c r="C1635" s="13" t="s">
        <v>22</v>
      </c>
      <c r="D1635" s="13" t="s">
        <v>22</v>
      </c>
      <c r="E1635" s="13" t="s">
        <v>769</v>
      </c>
      <c r="F1635" s="13" t="s">
        <v>2</v>
      </c>
    </row>
    <row r="1636" spans="2:6" hidden="1" x14ac:dyDescent="0.25">
      <c r="B1636" s="13">
        <v>1170</v>
      </c>
      <c r="C1636" s="13" t="s">
        <v>22</v>
      </c>
      <c r="D1636" s="13" t="s">
        <v>22</v>
      </c>
      <c r="E1636" s="13" t="s">
        <v>668</v>
      </c>
      <c r="F1636" s="13" t="s">
        <v>2</v>
      </c>
    </row>
    <row r="1637" spans="2:6" hidden="1" x14ac:dyDescent="0.25">
      <c r="B1637" s="13">
        <v>1170</v>
      </c>
      <c r="C1637" s="13" t="s">
        <v>22</v>
      </c>
      <c r="D1637" s="13" t="s">
        <v>22</v>
      </c>
      <c r="E1637" s="13" t="s">
        <v>671</v>
      </c>
      <c r="F1637" s="13" t="s">
        <v>2</v>
      </c>
    </row>
    <row r="1638" spans="2:6" hidden="1" x14ac:dyDescent="0.25">
      <c r="B1638" s="13">
        <v>1170</v>
      </c>
      <c r="C1638" s="13" t="s">
        <v>22</v>
      </c>
      <c r="D1638" s="13" t="s">
        <v>22</v>
      </c>
      <c r="E1638" s="13" t="s">
        <v>666</v>
      </c>
      <c r="F1638" s="13" t="s">
        <v>2</v>
      </c>
    </row>
    <row r="1639" spans="2:6" hidden="1" x14ac:dyDescent="0.25">
      <c r="B1639" s="13">
        <v>1170</v>
      </c>
      <c r="C1639" s="13" t="s">
        <v>22</v>
      </c>
      <c r="D1639" s="13" t="s">
        <v>22</v>
      </c>
      <c r="E1639" s="13" t="s">
        <v>482</v>
      </c>
      <c r="F1639" s="13" t="s">
        <v>2</v>
      </c>
    </row>
    <row r="1640" spans="2:6" hidden="1" x14ac:dyDescent="0.25">
      <c r="B1640" s="13">
        <v>1170</v>
      </c>
      <c r="C1640" s="13" t="s">
        <v>22</v>
      </c>
      <c r="D1640" s="13" t="s">
        <v>22</v>
      </c>
      <c r="E1640" s="13" t="s">
        <v>672</v>
      </c>
      <c r="F1640" s="13" t="s">
        <v>2</v>
      </c>
    </row>
    <row r="1641" spans="2:6" hidden="1" x14ac:dyDescent="0.25">
      <c r="B1641" s="13">
        <v>1170</v>
      </c>
      <c r="C1641" s="13" t="s">
        <v>22</v>
      </c>
      <c r="D1641" s="13" t="s">
        <v>22</v>
      </c>
      <c r="E1641" s="13" t="s">
        <v>3025</v>
      </c>
      <c r="F1641" s="13" t="s">
        <v>2</v>
      </c>
    </row>
    <row r="1642" spans="2:6" hidden="1" x14ac:dyDescent="0.25">
      <c r="B1642" s="13">
        <v>1170</v>
      </c>
      <c r="C1642" s="13" t="s">
        <v>22</v>
      </c>
      <c r="D1642" s="13" t="s">
        <v>22</v>
      </c>
      <c r="E1642" s="13" t="s">
        <v>3026</v>
      </c>
      <c r="F1642" s="13" t="s">
        <v>2</v>
      </c>
    </row>
    <row r="1643" spans="2:6" hidden="1" x14ac:dyDescent="0.25">
      <c r="B1643" s="13">
        <v>1170</v>
      </c>
      <c r="C1643" s="13" t="s">
        <v>22</v>
      </c>
      <c r="D1643" s="13" t="s">
        <v>22</v>
      </c>
      <c r="E1643" s="13" t="s">
        <v>1310</v>
      </c>
      <c r="F1643" s="13" t="s">
        <v>2</v>
      </c>
    </row>
    <row r="1644" spans="2:6" hidden="1" x14ac:dyDescent="0.25">
      <c r="E1644" s="13" t="s">
        <v>3099</v>
      </c>
    </row>
    <row r="1645" spans="2:6" hidden="1" x14ac:dyDescent="0.25">
      <c r="E1645" s="13" t="s">
        <v>3104</v>
      </c>
    </row>
    <row r="1646" spans="2:6" hidden="1" x14ac:dyDescent="0.25">
      <c r="E1646" s="13" t="s">
        <v>1116</v>
      </c>
    </row>
    <row r="1647" spans="2:6" hidden="1" x14ac:dyDescent="0.25">
      <c r="B1647" s="13">
        <v>1170</v>
      </c>
      <c r="C1647" s="13" t="s">
        <v>22</v>
      </c>
      <c r="D1647" s="13" t="s">
        <v>22</v>
      </c>
      <c r="E1647" s="13" t="s">
        <v>539</v>
      </c>
      <c r="F1647" s="13" t="s">
        <v>1479</v>
      </c>
    </row>
    <row r="1648" spans="2:6" hidden="1" x14ac:dyDescent="0.25">
      <c r="B1648" s="13">
        <v>1170</v>
      </c>
      <c r="C1648" s="13" t="s">
        <v>22</v>
      </c>
      <c r="D1648" s="13" t="s">
        <v>22</v>
      </c>
      <c r="E1648" s="1" t="s">
        <v>538</v>
      </c>
      <c r="F1648" s="13" t="s">
        <v>1479</v>
      </c>
    </row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</sheetData>
  <autoFilter ref="A1:BB3050" xr:uid="{2865187C-DA41-4CA4-B9A4-430C25E07BA3}">
    <filterColumn colId="3">
      <filters>
        <filter val="PORTO SEGURO INVESTIMENTOS LTDA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EA47-FBAE-4634-B1A8-F320C2732373}">
  <sheetPr codeName="Sheet6"/>
  <dimension ref="A1:L14"/>
  <sheetViews>
    <sheetView workbookViewId="0">
      <selection activeCell="A10" sqref="A10"/>
    </sheetView>
  </sheetViews>
  <sheetFormatPr defaultRowHeight="15" x14ac:dyDescent="0.25"/>
  <cols>
    <col min="1" max="1" width="71.140625" bestFit="1" customWidth="1"/>
    <col min="2" max="2" width="9" bestFit="1" customWidth="1"/>
    <col min="3" max="3" width="6.140625" bestFit="1" customWidth="1"/>
    <col min="4" max="4" width="12.28515625" bestFit="1" customWidth="1"/>
    <col min="5" max="5" width="8.28515625" bestFit="1" customWidth="1"/>
    <col min="6" max="6" width="6.28515625" bestFit="1" customWidth="1"/>
    <col min="7" max="7" width="9" bestFit="1" customWidth="1"/>
    <col min="8" max="8" width="4.42578125" bestFit="1" customWidth="1"/>
    <col min="10" max="10" width="34" bestFit="1" customWidth="1"/>
    <col min="11" max="11" width="6.28515625" bestFit="1" customWidth="1"/>
    <col min="12" max="12" width="12.28515625" bestFit="1" customWidth="1"/>
  </cols>
  <sheetData>
    <row r="1" spans="1:12" x14ac:dyDescent="0.25">
      <c r="A1" s="4" t="e">
        <f>CONCATENATE(#REF!,J1,#REF!,#REF!,#REF!,L1,#REF!,K1,#REF!)</f>
        <v>#REF!</v>
      </c>
      <c r="B1" s="11">
        <v>45474</v>
      </c>
      <c r="C1" s="4">
        <v>817991</v>
      </c>
      <c r="D1" s="4" t="s">
        <v>393</v>
      </c>
      <c r="E1" s="6">
        <v>-964.53873499999986</v>
      </c>
      <c r="F1" s="5" t="s">
        <v>389</v>
      </c>
      <c r="G1" s="5">
        <v>45474</v>
      </c>
      <c r="H1" s="4">
        <v>1170</v>
      </c>
      <c r="I1" s="4"/>
      <c r="J1" s="1" t="s">
        <v>418</v>
      </c>
      <c r="K1" s="15" t="s">
        <v>417</v>
      </c>
      <c r="L1" s="9" t="s">
        <v>393</v>
      </c>
    </row>
    <row r="2" spans="1:12" x14ac:dyDescent="0.25">
      <c r="A2" s="4" t="e">
        <f>CONCATENATE(#REF!,J2,#REF!,#REF!,#REF!,L2,#REF!,K2,#REF!)</f>
        <v>#REF!</v>
      </c>
      <c r="B2" s="11">
        <v>45505</v>
      </c>
      <c r="C2" s="4">
        <v>817991</v>
      </c>
      <c r="D2" s="4" t="s">
        <v>393</v>
      </c>
      <c r="E2" s="6">
        <v>-4196.8438379999998</v>
      </c>
      <c r="F2" s="5" t="s">
        <v>389</v>
      </c>
      <c r="G2" s="5">
        <v>45505</v>
      </c>
      <c r="H2" s="4">
        <v>1170</v>
      </c>
      <c r="I2" s="4"/>
      <c r="J2" s="1" t="s">
        <v>418</v>
      </c>
      <c r="K2" s="15" t="s">
        <v>417</v>
      </c>
      <c r="L2" s="9" t="s">
        <v>393</v>
      </c>
    </row>
    <row r="3" spans="1:12" x14ac:dyDescent="0.25">
      <c r="A3" s="4" t="e">
        <f>CONCATENATE(#REF!,J3,#REF!,#REF!,#REF!,L3,#REF!,K3,#REF!)</f>
        <v>#REF!</v>
      </c>
      <c r="B3" s="11">
        <v>45536</v>
      </c>
      <c r="C3" s="4">
        <v>817991</v>
      </c>
      <c r="D3" s="4" t="s">
        <v>393</v>
      </c>
      <c r="E3" s="6">
        <v>-2460.3619600000002</v>
      </c>
      <c r="F3" s="5" t="s">
        <v>389</v>
      </c>
      <c r="G3" s="5">
        <v>45536</v>
      </c>
      <c r="H3" s="4">
        <v>1170</v>
      </c>
      <c r="I3" s="4"/>
      <c r="J3" s="1" t="s">
        <v>418</v>
      </c>
      <c r="K3" s="15" t="s">
        <v>417</v>
      </c>
      <c r="L3" s="9" t="s">
        <v>393</v>
      </c>
    </row>
    <row r="4" spans="1:12" x14ac:dyDescent="0.25">
      <c r="A4" s="4" t="e">
        <f>CONCATENATE(#REF!,J4,#REF!,#REF!,#REF!,L4,#REF!,K4,#REF!)</f>
        <v>#REF!</v>
      </c>
      <c r="B4" s="11">
        <v>45566</v>
      </c>
      <c r="C4" s="4">
        <v>817991</v>
      </c>
      <c r="D4" s="4" t="s">
        <v>393</v>
      </c>
      <c r="E4" s="6">
        <v>-807.28818799999999</v>
      </c>
      <c r="F4" s="5" t="s">
        <v>389</v>
      </c>
      <c r="G4" s="5">
        <v>45566</v>
      </c>
      <c r="H4" s="4">
        <v>1170</v>
      </c>
      <c r="I4" s="4"/>
      <c r="J4" s="1" t="s">
        <v>418</v>
      </c>
      <c r="K4" s="15" t="s">
        <v>417</v>
      </c>
      <c r="L4" s="9" t="s">
        <v>393</v>
      </c>
    </row>
    <row r="5" spans="1:12" x14ac:dyDescent="0.25">
      <c r="A5" s="4" t="e">
        <f>CONCATENATE(#REF!,J5,#REF!,#REF!,#REF!,L5,#REF!,K5,#REF!)</f>
        <v>#REF!</v>
      </c>
      <c r="B5" s="11">
        <v>45627</v>
      </c>
      <c r="C5" s="4">
        <v>817991</v>
      </c>
      <c r="D5" s="4" t="s">
        <v>393</v>
      </c>
      <c r="E5" s="6">
        <v>-493.21669500000007</v>
      </c>
      <c r="F5" s="5" t="s">
        <v>389</v>
      </c>
      <c r="G5" s="5">
        <v>45627</v>
      </c>
      <c r="H5" s="4">
        <v>1170</v>
      </c>
      <c r="I5" s="4"/>
      <c r="J5" s="1" t="s">
        <v>418</v>
      </c>
      <c r="K5" s="15" t="s">
        <v>417</v>
      </c>
      <c r="L5" s="9" t="s">
        <v>393</v>
      </c>
    </row>
    <row r="6" spans="1:12" x14ac:dyDescent="0.25">
      <c r="A6" s="4" t="e">
        <f>CONCATENATE(#REF!,J6,#REF!,#REF!,#REF!,L6,#REF!,K6,#REF!)</f>
        <v>#REF!</v>
      </c>
      <c r="B6" s="11">
        <v>45536</v>
      </c>
      <c r="C6" s="4">
        <v>817991</v>
      </c>
      <c r="D6" s="4" t="s">
        <v>393</v>
      </c>
      <c r="E6" s="6">
        <v>-6477.2460900000005</v>
      </c>
      <c r="F6" s="5" t="s">
        <v>389</v>
      </c>
      <c r="G6" s="5">
        <v>45536</v>
      </c>
      <c r="H6" s="4">
        <v>1170</v>
      </c>
      <c r="I6" s="4"/>
      <c r="J6" s="1" t="s">
        <v>419</v>
      </c>
      <c r="K6" s="15" t="s">
        <v>417</v>
      </c>
      <c r="L6" s="9" t="s">
        <v>393</v>
      </c>
    </row>
    <row r="7" spans="1:12" x14ac:dyDescent="0.25">
      <c r="A7" s="4" t="e">
        <f>CONCATENATE(#REF!,J7,#REF!,#REF!,#REF!,L7,#REF!,K7,#REF!)</f>
        <v>#REF!</v>
      </c>
      <c r="B7" s="11">
        <v>45627</v>
      </c>
      <c r="C7" s="4">
        <v>817991</v>
      </c>
      <c r="D7" s="4" t="s">
        <v>393</v>
      </c>
      <c r="E7" s="6">
        <v>-6947.8225230000007</v>
      </c>
      <c r="F7" s="5" t="s">
        <v>389</v>
      </c>
      <c r="G7" s="5">
        <v>45627</v>
      </c>
      <c r="H7" s="4">
        <v>1170</v>
      </c>
      <c r="I7" s="4"/>
      <c r="J7" s="1" t="s">
        <v>419</v>
      </c>
      <c r="K7" s="15" t="s">
        <v>417</v>
      </c>
      <c r="L7" s="9" t="s">
        <v>393</v>
      </c>
    </row>
    <row r="8" spans="1:12" x14ac:dyDescent="0.25">
      <c r="A8" s="4" t="e">
        <f>CONCATENATE(#REF!,J8,#REF!,#REF!,#REF!,L8,#REF!,K8,#REF!)</f>
        <v>#REF!</v>
      </c>
      <c r="B8" s="11">
        <v>45474</v>
      </c>
      <c r="C8" s="4">
        <v>817991</v>
      </c>
      <c r="D8" s="4" t="s">
        <v>393</v>
      </c>
      <c r="E8" s="6">
        <v>-851.8063239999999</v>
      </c>
      <c r="F8" s="5" t="s">
        <v>389</v>
      </c>
      <c r="G8" s="5">
        <v>45474</v>
      </c>
      <c r="H8" s="4">
        <v>1170</v>
      </c>
      <c r="I8" s="4"/>
      <c r="J8" s="1" t="s">
        <v>420</v>
      </c>
      <c r="K8" s="15" t="s">
        <v>417</v>
      </c>
      <c r="L8" s="9" t="s">
        <v>393</v>
      </c>
    </row>
    <row r="9" spans="1:12" x14ac:dyDescent="0.25">
      <c r="A9" s="4" t="e">
        <f>CONCATENATE(#REF!,J9,#REF!,#REF!,#REF!,L9,#REF!,K9,#REF!)</f>
        <v>#REF!</v>
      </c>
      <c r="B9" s="11">
        <v>45474</v>
      </c>
      <c r="C9" s="4">
        <v>817991</v>
      </c>
      <c r="D9" s="4" t="s">
        <v>393</v>
      </c>
      <c r="E9" s="6">
        <v>-7719.5938980000001</v>
      </c>
      <c r="F9" s="5" t="s">
        <v>389</v>
      </c>
      <c r="G9" s="5">
        <v>45474</v>
      </c>
      <c r="H9" s="4">
        <v>1170</v>
      </c>
      <c r="I9" s="4"/>
      <c r="J9" s="4" t="s">
        <v>421</v>
      </c>
      <c r="K9" s="15" t="s">
        <v>417</v>
      </c>
      <c r="L9" s="9" t="s">
        <v>393</v>
      </c>
    </row>
    <row r="10" spans="1:12" x14ac:dyDescent="0.25">
      <c r="A10" s="4" t="e">
        <f>CONCATENATE(#REF!,J10,#REF!,#REF!,#REF!,L10,#REF!,K10,#REF!)</f>
        <v>#REF!</v>
      </c>
      <c r="B10" s="11">
        <v>45505</v>
      </c>
      <c r="C10" s="4">
        <v>817991</v>
      </c>
      <c r="D10" s="4" t="s">
        <v>393</v>
      </c>
      <c r="E10" s="6">
        <v>-6012.3143520000003</v>
      </c>
      <c r="F10" s="5" t="s">
        <v>389</v>
      </c>
      <c r="G10" s="5">
        <v>45505</v>
      </c>
      <c r="H10" s="4">
        <v>1170</v>
      </c>
      <c r="I10" s="4"/>
      <c r="J10" s="4" t="s">
        <v>421</v>
      </c>
      <c r="K10" s="15" t="s">
        <v>417</v>
      </c>
      <c r="L10" s="9" t="s">
        <v>393</v>
      </c>
    </row>
    <row r="11" spans="1:12" x14ac:dyDescent="0.25">
      <c r="A11" s="4" t="e">
        <f>CONCATENATE(#REF!,J11,#REF!,#REF!,#REF!,L11,#REF!,K11,#REF!)</f>
        <v>#REF!</v>
      </c>
      <c r="B11" s="11">
        <v>45536</v>
      </c>
      <c r="C11" s="4">
        <v>817991</v>
      </c>
      <c r="D11" s="4" t="s">
        <v>393</v>
      </c>
      <c r="E11" s="6">
        <v>-9376.8883530000003</v>
      </c>
      <c r="F11" s="5" t="s">
        <v>389</v>
      </c>
      <c r="G11" s="5">
        <v>45536</v>
      </c>
      <c r="H11" s="4">
        <v>1170</v>
      </c>
      <c r="I11" s="4"/>
      <c r="J11" s="4" t="s">
        <v>421</v>
      </c>
      <c r="K11" s="15" t="s">
        <v>417</v>
      </c>
      <c r="L11" s="9" t="s">
        <v>393</v>
      </c>
    </row>
    <row r="12" spans="1:12" x14ac:dyDescent="0.25">
      <c r="A12" s="4" t="e">
        <f>CONCATENATE(#REF!,J12,#REF!,#REF!,#REF!,L12,#REF!,K12,#REF!)</f>
        <v>#REF!</v>
      </c>
      <c r="B12" s="11">
        <v>45566</v>
      </c>
      <c r="C12" s="4">
        <v>817991</v>
      </c>
      <c r="D12" s="4" t="s">
        <v>393</v>
      </c>
      <c r="E12" s="6">
        <v>-2850.1802910000001</v>
      </c>
      <c r="F12" s="5" t="s">
        <v>389</v>
      </c>
      <c r="G12" s="5">
        <v>45566</v>
      </c>
      <c r="H12" s="4">
        <v>1170</v>
      </c>
      <c r="I12" s="4"/>
      <c r="J12" s="4" t="s">
        <v>421</v>
      </c>
      <c r="K12" s="15" t="s">
        <v>417</v>
      </c>
      <c r="L12" s="9" t="s">
        <v>393</v>
      </c>
    </row>
    <row r="13" spans="1:12" x14ac:dyDescent="0.25">
      <c r="A13" s="4" t="e">
        <f>CONCATENATE(#REF!,J13,#REF!,#REF!,#REF!,L13,#REF!,K13,#REF!)</f>
        <v>#REF!</v>
      </c>
      <c r="B13" s="11">
        <v>45627</v>
      </c>
      <c r="C13" s="4">
        <v>817991</v>
      </c>
      <c r="D13" s="4" t="s">
        <v>393</v>
      </c>
      <c r="E13" s="6">
        <v>-6364.3840170000003</v>
      </c>
      <c r="F13" s="5" t="s">
        <v>389</v>
      </c>
      <c r="G13" s="5">
        <v>45627</v>
      </c>
      <c r="H13" s="4">
        <v>1170</v>
      </c>
      <c r="I13" s="4"/>
      <c r="J13" s="4" t="s">
        <v>421</v>
      </c>
      <c r="K13" s="15" t="s">
        <v>417</v>
      </c>
      <c r="L13" s="9" t="s">
        <v>393</v>
      </c>
    </row>
    <row r="14" spans="1:12" x14ac:dyDescent="0.25">
      <c r="A14" s="4" t="e">
        <f>CONCATENATE(#REF!,J14,#REF!,#REF!,#REF!,L14,#REF!,K14,#REF!)</f>
        <v>#REF!</v>
      </c>
      <c r="B14" s="11">
        <v>45627</v>
      </c>
      <c r="C14" s="4">
        <v>817991</v>
      </c>
      <c r="D14" s="4" t="s">
        <v>416</v>
      </c>
      <c r="E14" s="6">
        <v>-774.03750000000002</v>
      </c>
      <c r="F14" s="5" t="s">
        <v>389</v>
      </c>
      <c r="G14" s="5">
        <v>45627</v>
      </c>
      <c r="H14" s="4">
        <v>1170</v>
      </c>
      <c r="I14" s="4"/>
      <c r="J14" s="4" t="s">
        <v>421</v>
      </c>
      <c r="K14" s="15" t="s">
        <v>417</v>
      </c>
      <c r="L14" s="4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Clientes</vt:lpstr>
      <vt:lpstr>Oracle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Cavicchio, Leticia</cp:lastModifiedBy>
  <cp:lastPrinted>2023-06-19T20:53:29Z</cp:lastPrinted>
  <dcterms:created xsi:type="dcterms:W3CDTF">2021-03-01T14:22:42Z</dcterms:created>
  <dcterms:modified xsi:type="dcterms:W3CDTF">2026-09-24T18:17:23Z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