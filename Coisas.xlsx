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gccs-my.sharepoint.com/personal/giovana_collete_bgcg_com/Documents/Profile/Desktop/Giovana/Giovana/Area de trabalho/"/>
    </mc:Choice>
  </mc:AlternateContent>
  <xr:revisionPtr revIDLastSave="256" documentId="13_ncr:1_{0B11A50A-FA71-4FF7-A5AE-8079C1FC0BFA}" xr6:coauthVersionLast="47" xr6:coauthVersionMax="47" xr10:uidLastSave="{22032233-2D97-44FC-A300-4C4ECB626FD1}"/>
  <bookViews>
    <workbookView xWindow="-120" yWindow="-120" windowWidth="29040" windowHeight="16440" activeTab="1" xr2:uid="{8FBF6089-1687-44F7-923D-006F55DAC26F}"/>
  </bookViews>
  <sheets>
    <sheet name="Peso" sheetId="1" r:id="rId1"/>
    <sheet name="Ações" sheetId="3" r:id="rId2"/>
    <sheet name="Ganhos " sheetId="10" r:id="rId3"/>
    <sheet name="Carro" sheetId="6" r:id="rId4"/>
    <sheet name="Pagamentos" sheetId="5" r:id="rId5"/>
    <sheet name="Planilha1" sheetId="4" r:id="rId6"/>
    <sheet name="Viagem" sheetId="7" r:id="rId7"/>
    <sheet name="Sheet1" sheetId="9" r:id="rId8"/>
    <sheet name="Gastos" sheetId="8" r:id="rId9"/>
    <sheet name="Gastos (2)" sheetId="11" r:id="rId10"/>
  </sheets>
  <definedNames>
    <definedName name="_xlnm._FilterDatabase" localSheetId="1" hidden="1">Ações!$A$24:$I$47</definedName>
    <definedName name="_xlnm._FilterDatabase" localSheetId="2" hidden="1">'Ganhos '!$A$1:$I$50</definedName>
    <definedName name="_xlnm._FilterDatabase" localSheetId="8" hidden="1">Gastos!$L$7:$AH$102</definedName>
    <definedName name="_xlnm._FilterDatabase" localSheetId="9" hidden="1">'Gastos (2)'!$L$7:$Z$40</definedName>
    <definedName name="_xlnm._FilterDatabase" localSheetId="0" hidden="1">Peso!$A$1:$B$129</definedName>
  </definedNames>
  <calcPr calcId="191029" calcMode="manual"/>
  <pivotCaches>
    <pivotCache cacheId="29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14" i="3" l="1"/>
  <c r="G5" i="11"/>
  <c r="G10" i="11"/>
  <c r="G6" i="11"/>
  <c r="G12" i="11" l="1"/>
  <c r="K6" i="11" l="1"/>
  <c r="K7" i="11"/>
  <c r="K8" i="11"/>
  <c r="K9" i="11"/>
  <c r="K10" i="11"/>
  <c r="K4" i="11"/>
  <c r="K5" i="11"/>
  <c r="K3" i="11"/>
  <c r="G4" i="11"/>
  <c r="T32" i="3"/>
  <c r="S32" i="3"/>
  <c r="X13" i="3"/>
  <c r="F14" i="3"/>
  <c r="K12" i="11" l="1"/>
  <c r="S11" i="3"/>
  <c r="U11" i="3" s="1"/>
  <c r="S9" i="3"/>
  <c r="S10" i="3"/>
  <c r="R12" i="3"/>
  <c r="T14" i="3" s="1"/>
  <c r="X14" i="3"/>
  <c r="W15" i="3"/>
  <c r="U16" i="3"/>
  <c r="T16" i="3"/>
  <c r="S16" i="3"/>
  <c r="U15" i="3"/>
  <c r="T15" i="3"/>
  <c r="S15" i="3"/>
  <c r="V15" i="3" s="1"/>
  <c r="S8" i="3"/>
  <c r="S7" i="3"/>
  <c r="S6" i="3"/>
  <c r="S5" i="3"/>
  <c r="S4" i="3"/>
  <c r="S3" i="3"/>
  <c r="U3" i="3" s="1"/>
  <c r="C6" i="5"/>
  <c r="C7" i="5"/>
  <c r="C4" i="5"/>
  <c r="C3" i="5"/>
  <c r="T11" i="3" l="1"/>
  <c r="V11" i="3" s="1"/>
  <c r="W11" i="3" s="1"/>
  <c r="S14" i="3"/>
  <c r="U14" i="3" s="1"/>
  <c r="R17" i="3"/>
  <c r="V16" i="3"/>
  <c r="W16" i="3" s="1"/>
  <c r="T6" i="3"/>
  <c r="U6" i="3"/>
  <c r="T7" i="3"/>
  <c r="U7" i="3"/>
  <c r="T4" i="3"/>
  <c r="T8" i="3"/>
  <c r="U4" i="3"/>
  <c r="U8" i="3"/>
  <c r="T5" i="3"/>
  <c r="U5" i="3"/>
  <c r="U9" i="3"/>
  <c r="K14" i="3"/>
  <c r="F14" i="8"/>
  <c r="R3" i="11"/>
  <c r="O3" i="11"/>
  <c r="R1" i="11"/>
  <c r="V10" i="3" l="1"/>
  <c r="W10" i="3" s="1"/>
  <c r="V14" i="3"/>
  <c r="V9" i="3"/>
  <c r="V5" i="3"/>
  <c r="W5" i="3" s="1"/>
  <c r="V8" i="3"/>
  <c r="W8" i="3" s="1"/>
  <c r="V4" i="3"/>
  <c r="V7" i="3"/>
  <c r="W7" i="3" s="1"/>
  <c r="V6" i="3"/>
  <c r="W6" i="3" s="1"/>
  <c r="E3" i="10"/>
  <c r="F3" i="10"/>
  <c r="I3" i="10" s="1"/>
  <c r="G3" i="10"/>
  <c r="D3" i="10"/>
  <c r="J4" i="10"/>
  <c r="E4" i="10"/>
  <c r="I4" i="10" s="1"/>
  <c r="F4" i="10"/>
  <c r="G4" i="10"/>
  <c r="D4" i="10"/>
  <c r="D5" i="10"/>
  <c r="C5" i="10"/>
  <c r="I6" i="10"/>
  <c r="I5" i="10"/>
  <c r="I2" i="10"/>
  <c r="D6" i="10"/>
  <c r="C8" i="3"/>
  <c r="C7" i="3"/>
  <c r="I22" i="4"/>
  <c r="L6" i="4"/>
  <c r="H5" i="4"/>
  <c r="I9" i="4" s="1"/>
  <c r="I10" i="4" s="1"/>
  <c r="E28" i="11"/>
  <c r="E27" i="11"/>
  <c r="E26" i="11"/>
  <c r="P36" i="11"/>
  <c r="R22" i="11"/>
  <c r="Q22" i="11"/>
  <c r="P22" i="11"/>
  <c r="T24" i="11"/>
  <c r="T35" i="11"/>
  <c r="T34" i="11"/>
  <c r="T25" i="11"/>
  <c r="T22" i="11"/>
  <c r="T18" i="11"/>
  <c r="T19" i="11"/>
  <c r="T33" i="11"/>
  <c r="T32" i="11"/>
  <c r="T29" i="11"/>
  <c r="S24" i="11"/>
  <c r="S19" i="11"/>
  <c r="S18" i="11"/>
  <c r="S35" i="11"/>
  <c r="S22" i="11"/>
  <c r="S34" i="11"/>
  <c r="S29" i="11"/>
  <c r="S8" i="11"/>
  <c r="S33" i="11"/>
  <c r="S9" i="11"/>
  <c r="S32" i="11"/>
  <c r="R19" i="11"/>
  <c r="R33" i="11"/>
  <c r="R24" i="11"/>
  <c r="R34" i="11"/>
  <c r="R16" i="11"/>
  <c r="R18" i="11"/>
  <c r="R35" i="11"/>
  <c r="R27" i="11"/>
  <c r="R30" i="11"/>
  <c r="Z38" i="11"/>
  <c r="Y38" i="11"/>
  <c r="X38" i="11"/>
  <c r="W38" i="11"/>
  <c r="V38" i="11"/>
  <c r="U38" i="11"/>
  <c r="Q19" i="11"/>
  <c r="Q24" i="11"/>
  <c r="Q8" i="11"/>
  <c r="Q18" i="11"/>
  <c r="Q34" i="11"/>
  <c r="Q33" i="11"/>
  <c r="Q23" i="11"/>
  <c r="Q20" i="11"/>
  <c r="Q11" i="11"/>
  <c r="P33" i="11"/>
  <c r="P9" i="11"/>
  <c r="P34" i="11"/>
  <c r="P32" i="11"/>
  <c r="P19" i="11"/>
  <c r="P24" i="11"/>
  <c r="P18" i="11"/>
  <c r="P16" i="11"/>
  <c r="P27" i="11"/>
  <c r="P17" i="11"/>
  <c r="P35" i="11"/>
  <c r="O24" i="11"/>
  <c r="O19" i="11"/>
  <c r="C23" i="11"/>
  <c r="C16" i="11"/>
  <c r="C13" i="11"/>
  <c r="O9" i="11"/>
  <c r="C11" i="11"/>
  <c r="F10" i="11"/>
  <c r="C7" i="11"/>
  <c r="F6" i="11"/>
  <c r="W101" i="8"/>
  <c r="W100" i="8"/>
  <c r="W92" i="8"/>
  <c r="W33" i="8"/>
  <c r="W89" i="8"/>
  <c r="W41" i="8"/>
  <c r="W49" i="8"/>
  <c r="W11" i="8"/>
  <c r="P100" i="8"/>
  <c r="Q100" i="8"/>
  <c r="R100" i="8"/>
  <c r="S100" i="8"/>
  <c r="T100" i="8"/>
  <c r="U100" i="8"/>
  <c r="X100" i="8"/>
  <c r="B32" i="10"/>
  <c r="B31" i="10"/>
  <c r="B30" i="10"/>
  <c r="B29" i="10"/>
  <c r="E7" i="10"/>
  <c r="D7" i="10"/>
  <c r="I7" i="10" s="1"/>
  <c r="C23" i="8"/>
  <c r="C16" i="8"/>
  <c r="F10" i="8"/>
  <c r="C13" i="8"/>
  <c r="C11" i="8"/>
  <c r="C7" i="8"/>
  <c r="F6" i="8"/>
  <c r="H13" i="10"/>
  <c r="D8" i="10"/>
  <c r="F9" i="10"/>
  <c r="E9" i="10"/>
  <c r="I8" i="10"/>
  <c r="G9" i="10"/>
  <c r="D9" i="10"/>
  <c r="I9" i="10" s="1"/>
  <c r="D10" i="10"/>
  <c r="I10" i="10" s="1"/>
  <c r="D11" i="10"/>
  <c r="I11" i="10" s="1"/>
  <c r="W14" i="3" l="1"/>
  <c r="W21" i="3"/>
  <c r="W9" i="3"/>
  <c r="V12" i="3"/>
  <c r="V17" i="3"/>
  <c r="W4" i="3"/>
  <c r="R38" i="11"/>
  <c r="R40" i="11" s="1"/>
  <c r="O38" i="11"/>
  <c r="O40" i="11" s="1"/>
  <c r="P38" i="11"/>
  <c r="P40" i="11" s="1"/>
  <c r="Q38" i="11"/>
  <c r="Q40" i="11" s="1"/>
  <c r="T38" i="11"/>
  <c r="T40" i="11" s="1"/>
  <c r="S38" i="11"/>
  <c r="S40" i="11" s="1"/>
  <c r="C15" i="11"/>
  <c r="F12" i="11"/>
  <c r="F14" i="11" s="1"/>
  <c r="C15" i="8"/>
  <c r="V20" i="3" l="1"/>
  <c r="W12" i="3"/>
  <c r="W17" i="3"/>
  <c r="B28" i="10"/>
  <c r="G28" i="10"/>
  <c r="E28" i="10"/>
  <c r="F28" i="10"/>
  <c r="D28" i="10"/>
  <c r="F26" i="10"/>
  <c r="D26" i="10"/>
  <c r="I26" i="10" s="1"/>
  <c r="F25" i="10"/>
  <c r="D25" i="10"/>
  <c r="F24" i="10"/>
  <c r="D24" i="10"/>
  <c r="G23" i="10"/>
  <c r="F23" i="10"/>
  <c r="D23" i="10"/>
  <c r="F22" i="10"/>
  <c r="D22" i="10"/>
  <c r="I22" i="10" s="1"/>
  <c r="G21" i="10"/>
  <c r="E21" i="10"/>
  <c r="F21" i="10"/>
  <c r="D21" i="10"/>
  <c r="D20" i="10"/>
  <c r="D19" i="10"/>
  <c r="E18" i="10"/>
  <c r="D18" i="10"/>
  <c r="E17" i="10"/>
  <c r="G17" i="10"/>
  <c r="B17" i="10"/>
  <c r="D17" i="10"/>
  <c r="D16" i="10"/>
  <c r="I16" i="10" s="1"/>
  <c r="I50" i="10"/>
  <c r="I49" i="10"/>
  <c r="I48" i="10"/>
  <c r="I47" i="10"/>
  <c r="I46" i="10"/>
  <c r="I45" i="10"/>
  <c r="I44" i="10"/>
  <c r="I43" i="10"/>
  <c r="I42" i="10"/>
  <c r="I41" i="10"/>
  <c r="I40" i="10"/>
  <c r="I39" i="10"/>
  <c r="I38" i="10"/>
  <c r="I37" i="10"/>
  <c r="I36" i="10"/>
  <c r="I35" i="10"/>
  <c r="I34" i="10"/>
  <c r="I33" i="10"/>
  <c r="I32" i="10"/>
  <c r="I31" i="10"/>
  <c r="I30" i="10"/>
  <c r="I29" i="10"/>
  <c r="I27" i="10"/>
  <c r="I25" i="10"/>
  <c r="I20" i="10"/>
  <c r="I19" i="10"/>
  <c r="D15" i="10"/>
  <c r="I15" i="10" s="1"/>
  <c r="D12" i="10"/>
  <c r="I12" i="10" s="1"/>
  <c r="D14" i="10"/>
  <c r="I14" i="10" s="1"/>
  <c r="D13" i="10"/>
  <c r="I13" i="10" s="1"/>
  <c r="N10" i="8"/>
  <c r="N101" i="8"/>
  <c r="O101" i="8"/>
  <c r="N26" i="8"/>
  <c r="N8" i="8"/>
  <c r="O38" i="8"/>
  <c r="O48" i="8"/>
  <c r="O47" i="8"/>
  <c r="O39" i="8"/>
  <c r="K3" i="3"/>
  <c r="K4" i="3"/>
  <c r="O4" i="3" s="1"/>
  <c r="K48" i="3"/>
  <c r="K5" i="3"/>
  <c r="K6" i="3"/>
  <c r="K7" i="3"/>
  <c r="O7" i="3" s="1"/>
  <c r="K9" i="3"/>
  <c r="K50" i="3"/>
  <c r="O50" i="3" s="1"/>
  <c r="K10" i="3"/>
  <c r="D34" i="3"/>
  <c r="F34" i="3"/>
  <c r="F37" i="3"/>
  <c r="F36" i="3"/>
  <c r="F35" i="3"/>
  <c r="D37" i="3"/>
  <c r="D36" i="3"/>
  <c r="D35" i="3"/>
  <c r="D18" i="6"/>
  <c r="D21" i="6"/>
  <c r="G48" i="3"/>
  <c r="W1" i="4"/>
  <c r="D20" i="6"/>
  <c r="D43" i="6"/>
  <c r="D39" i="6"/>
  <c r="D28" i="6"/>
  <c r="E6" i="6"/>
  <c r="E5" i="6"/>
  <c r="E4" i="6"/>
  <c r="E3" i="6"/>
  <c r="C5" i="4"/>
  <c r="C9" i="4" s="1"/>
  <c r="C14" i="4" s="1"/>
  <c r="E7" i="5"/>
  <c r="D7" i="5"/>
  <c r="D6" i="5"/>
  <c r="E6" i="5" s="1"/>
  <c r="D5" i="5"/>
  <c r="E5" i="5" s="1"/>
  <c r="C2" i="5"/>
  <c r="D4" i="5"/>
  <c r="E4" i="5" s="1"/>
  <c r="D3" i="5"/>
  <c r="E3" i="5" s="1"/>
  <c r="N3" i="4"/>
  <c r="O3" i="4" s="1"/>
  <c r="H12" i="4"/>
  <c r="M12" i="4"/>
  <c r="N12" i="4" s="1"/>
  <c r="S13" i="4"/>
  <c r="S14" i="4" s="1"/>
  <c r="S15" i="4" s="1"/>
  <c r="S16" i="4" s="1"/>
  <c r="S17" i="4" s="1"/>
  <c r="O48" i="3" l="1"/>
  <c r="L10" i="3"/>
  <c r="O10" i="3"/>
  <c r="L9" i="3"/>
  <c r="O9" i="3"/>
  <c r="L6" i="3"/>
  <c r="O6" i="3"/>
  <c r="L5" i="3"/>
  <c r="O5" i="3"/>
  <c r="L3" i="3"/>
  <c r="O3" i="3"/>
  <c r="I24" i="10"/>
  <c r="N100" i="8"/>
  <c r="N102" i="8" s="1"/>
  <c r="O100" i="8"/>
  <c r="O102" i="8" s="1"/>
  <c r="I17" i="10"/>
  <c r="I28" i="10"/>
  <c r="I23" i="10"/>
  <c r="I21" i="10"/>
  <c r="I18" i="10"/>
  <c r="L7" i="3"/>
  <c r="G35" i="3"/>
  <c r="G37" i="3"/>
  <c r="G34" i="3"/>
  <c r="G36" i="3"/>
  <c r="L48" i="3"/>
  <c r="L50" i="3"/>
  <c r="L4" i="3"/>
  <c r="D45" i="6"/>
  <c r="D2" i="5"/>
  <c r="K12" i="3"/>
  <c r="E2" i="5"/>
  <c r="F2" i="5" s="1"/>
  <c r="H14" i="4"/>
  <c r="G12" i="3"/>
  <c r="L12" i="3" l="1"/>
  <c r="B2" i="5" l="1"/>
  <c r="F12" i="8" l="1"/>
  <c r="F16" i="8" l="1"/>
  <c r="T3" i="3" l="1"/>
  <c r="V3" i="3" s="1"/>
  <c r="W3" i="3" s="1"/>
</calcChain>
</file>

<file path=xl/sharedStrings.xml><?xml version="1.0" encoding="utf-8"?>
<sst xmlns="http://schemas.openxmlformats.org/spreadsheetml/2006/main" count="650" uniqueCount="304">
  <si>
    <t>VIAGEM</t>
  </si>
  <si>
    <t>ACADEMIA</t>
  </si>
  <si>
    <t>Data</t>
  </si>
  <si>
    <t>Ativo</t>
  </si>
  <si>
    <t>Quantidade</t>
  </si>
  <si>
    <t>Preço (R$)</t>
  </si>
  <si>
    <t>Total (R$)</t>
  </si>
  <si>
    <t>Natureza</t>
  </si>
  <si>
    <t>Status</t>
  </si>
  <si>
    <t>Envio</t>
  </si>
  <si>
    <t>Executado</t>
  </si>
  <si>
    <t>2019-12-20T10:06:30</t>
  </si>
  <si>
    <t>BBDC4</t>
  </si>
  <si>
    <t>Venda</t>
  </si>
  <si>
    <t>Executada</t>
  </si>
  <si>
    <t>2019-08-07T15:21:56</t>
  </si>
  <si>
    <t>Compra</t>
  </si>
  <si>
    <t>2019-07-25T15:41:53</t>
  </si>
  <si>
    <t>2020-01-23T10:07:46</t>
  </si>
  <si>
    <t>BEEF3</t>
  </si>
  <si>
    <t>2020-01-09T10:26:58</t>
  </si>
  <si>
    <t>2020-02-20T17:31:55</t>
  </si>
  <si>
    <t>2020-02-18T09:59:55</t>
  </si>
  <si>
    <t>CARD3</t>
  </si>
  <si>
    <t>2020-02-06T15:14:43</t>
  </si>
  <si>
    <t>2020-01-22T10:04:34</t>
  </si>
  <si>
    <t>2020-02-20T11:11:59</t>
  </si>
  <si>
    <t>CSAN3</t>
  </si>
  <si>
    <t>2020-01-31T10:44:01</t>
  </si>
  <si>
    <t>GFSA3</t>
  </si>
  <si>
    <t>2019-11-27T10:28:08</t>
  </si>
  <si>
    <t>GGBR4</t>
  </si>
  <si>
    <t>2019-07-29T13:17:24</t>
  </si>
  <si>
    <t>2020-01-27T10:08:35</t>
  </si>
  <si>
    <t>GOAU4</t>
  </si>
  <si>
    <t>2019-12-04T10:08:22</t>
  </si>
  <si>
    <t>2020-02-20T11:12:49</t>
  </si>
  <si>
    <t>2020-03-06T13:04:53</t>
  </si>
  <si>
    <t>MRFG3</t>
  </si>
  <si>
    <t>2019-07-25T15:47:35</t>
  </si>
  <si>
    <t>OIBR3</t>
  </si>
  <si>
    <t>2019-07-10T15:01:45</t>
  </si>
  <si>
    <t>2019-09-05T10:55:35</t>
  </si>
  <si>
    <t>PETR4</t>
  </si>
  <si>
    <t>2019-08-01T14:20:01</t>
  </si>
  <si>
    <t>2020-01-21T10:02:32</t>
  </si>
  <si>
    <t>PTBL3</t>
  </si>
  <si>
    <t>2020-01-10T09:50:16</t>
  </si>
  <si>
    <t>2020-02-20T11:13:57</t>
  </si>
  <si>
    <t>SAPR11</t>
  </si>
  <si>
    <t>2020-02-19T12:06:28</t>
  </si>
  <si>
    <t>STBP3</t>
  </si>
  <si>
    <t>2020-02-06T15:13:06</t>
  </si>
  <si>
    <t>2020-01-31T10:49:22</t>
  </si>
  <si>
    <t>2020-01-09T10:42:16</t>
  </si>
  <si>
    <t>2020-06-09T10:08:03</t>
  </si>
  <si>
    <t>VVAR3</t>
  </si>
  <si>
    <t>2020-03-02T10:08:13</t>
  </si>
  <si>
    <t>2019-09-09T13:19:50</t>
  </si>
  <si>
    <t>2019-08-21T11:12:20</t>
  </si>
  <si>
    <t>2019-08-16T16:55:40</t>
  </si>
  <si>
    <t>2019-07-10T15:31:16</t>
  </si>
  <si>
    <t>2020-03-10T10:02:18</t>
  </si>
  <si>
    <t>YDUQ3</t>
  </si>
  <si>
    <t>Jejum jantar</t>
  </si>
  <si>
    <t>ok</t>
  </si>
  <si>
    <t>Investido</t>
  </si>
  <si>
    <t xml:space="preserve">Retorno </t>
  </si>
  <si>
    <t>Lucro</t>
  </si>
  <si>
    <t>Nubank</t>
  </si>
  <si>
    <t xml:space="preserve">1 real é igual a 1 ponto </t>
  </si>
  <si>
    <t xml:space="preserve">Reais </t>
  </si>
  <si>
    <t xml:space="preserve">Pontos </t>
  </si>
  <si>
    <t>Simulação de 1 ano</t>
  </si>
  <si>
    <t xml:space="preserve">1 pontos é igual a 0,0125 </t>
  </si>
  <si>
    <t>Gastando 4 mil reais por mês</t>
  </si>
  <si>
    <t>valor</t>
  </si>
  <si>
    <t>CONDOMINIO</t>
  </si>
  <si>
    <t>Aluguel</t>
  </si>
  <si>
    <t>net</t>
  </si>
  <si>
    <t>luz</t>
  </si>
  <si>
    <t>pessoal</t>
  </si>
  <si>
    <t>C6 Bank</t>
  </si>
  <si>
    <t xml:space="preserve">Contas </t>
  </si>
  <si>
    <t xml:space="preserve">Condominio </t>
  </si>
  <si>
    <t xml:space="preserve">Valor </t>
  </si>
  <si>
    <t>Juros</t>
  </si>
  <si>
    <t>Pontos</t>
  </si>
  <si>
    <t>Cash back</t>
  </si>
  <si>
    <t>TOTAL</t>
  </si>
  <si>
    <t>NET</t>
  </si>
  <si>
    <t>LUZ</t>
  </si>
  <si>
    <t xml:space="preserve">investimento </t>
  </si>
  <si>
    <t>Valor da ação</t>
  </si>
  <si>
    <t>Valor total</t>
  </si>
  <si>
    <t>IGTI3</t>
  </si>
  <si>
    <t>Apartamento</t>
  </si>
  <si>
    <t>IPVA 2022</t>
  </si>
  <si>
    <t>IPVA 2021</t>
  </si>
  <si>
    <t>Licenciamento</t>
  </si>
  <si>
    <t>Multas</t>
  </si>
  <si>
    <t>DIVIDAS</t>
  </si>
  <si>
    <t>CARRO</t>
  </si>
  <si>
    <t>CARTÃO DE CREDITO</t>
  </si>
  <si>
    <t>Emprestimo</t>
  </si>
  <si>
    <t>OUTROS</t>
  </si>
  <si>
    <t>PIX do Clemente</t>
  </si>
  <si>
    <t>Parcelas financiamento Março 22</t>
  </si>
  <si>
    <t>Parcelas financiamento Abril 22</t>
  </si>
  <si>
    <t>Parcelas financiamento Maio 22</t>
  </si>
  <si>
    <t>Parcelas financiamento Junho 22</t>
  </si>
  <si>
    <t>Parcelas financiamento Julho 22</t>
  </si>
  <si>
    <t>Parcelas financiamento Agosto 22</t>
  </si>
  <si>
    <t>VALOR</t>
  </si>
  <si>
    <t>VALOR PAGO</t>
  </si>
  <si>
    <t>OUTROS JUROS</t>
  </si>
  <si>
    <t xml:space="preserve">TOTAL GERAL </t>
  </si>
  <si>
    <t>Parcelas financiamento Setembro 22</t>
  </si>
  <si>
    <t>Valor para devolver o carro</t>
  </si>
  <si>
    <t>Quitar o carro</t>
  </si>
  <si>
    <t xml:space="preserve">Manutenção </t>
  </si>
  <si>
    <t xml:space="preserve"> </t>
  </si>
  <si>
    <t>Pentagna</t>
  </si>
  <si>
    <t>Chegar</t>
  </si>
  <si>
    <t>Café+ Mercado + Frances</t>
  </si>
  <si>
    <t>Sabado</t>
  </si>
  <si>
    <t>Domingo</t>
  </si>
  <si>
    <t>Segunda</t>
  </si>
  <si>
    <t>Terça</t>
  </si>
  <si>
    <t>Quarta</t>
  </si>
  <si>
    <t>Quinta</t>
  </si>
  <si>
    <t xml:space="preserve">Sexta </t>
  </si>
  <si>
    <t>Praia de Antunes em Maragogi</t>
  </si>
  <si>
    <t>São Miguel dos Milagres</t>
  </si>
  <si>
    <t>Dia</t>
  </si>
  <si>
    <t>Praia</t>
  </si>
  <si>
    <t>Valor</t>
  </si>
  <si>
    <t xml:space="preserve">Pode incluir passeios </t>
  </si>
  <si>
    <t>Praia do Gunga</t>
  </si>
  <si>
    <t>Porto de Galinhas – PE</t>
  </si>
  <si>
    <t xml:space="preserve">Jaraguá Viagens e Turismo </t>
  </si>
  <si>
    <t>Whatsapp: (82) 99931-2323</t>
  </si>
  <si>
    <t>Praia de Paripueira</t>
  </si>
  <si>
    <t>Volta</t>
  </si>
  <si>
    <t>Parcelas financiamento Outubro 22</t>
  </si>
  <si>
    <t>Parcelas financiamento Novembro 22</t>
  </si>
  <si>
    <t>Parcelas financiamento Dezembro 22</t>
  </si>
  <si>
    <t>Parcelas financiamento Janeiro 22</t>
  </si>
  <si>
    <t>whey</t>
  </si>
  <si>
    <t xml:space="preserve">uber </t>
  </si>
  <si>
    <t>the town</t>
  </si>
  <si>
    <t xml:space="preserve">rebelde ingresso </t>
  </si>
  <si>
    <t xml:space="preserve">pos </t>
  </si>
  <si>
    <t>perfume zara</t>
  </si>
  <si>
    <t>netflix</t>
  </si>
  <si>
    <t>mercado</t>
  </si>
  <si>
    <t>globo</t>
  </si>
  <si>
    <t>mochila</t>
  </si>
  <si>
    <t>depilação</t>
  </si>
  <si>
    <t>condominio</t>
  </si>
  <si>
    <t>celular</t>
  </si>
  <si>
    <t>carro</t>
  </si>
  <si>
    <t>calça riachuelo</t>
  </si>
  <si>
    <t>bilhete único</t>
  </si>
  <si>
    <t>aula de direção</t>
  </si>
  <si>
    <t>apple memoria</t>
  </si>
  <si>
    <t>app bilhete único</t>
  </si>
  <si>
    <t>aliança</t>
  </si>
  <si>
    <t>air fryer</t>
  </si>
  <si>
    <t>academia</t>
  </si>
  <si>
    <t>Junho</t>
  </si>
  <si>
    <t>Julho</t>
  </si>
  <si>
    <t>Mercado Livre</t>
  </si>
  <si>
    <t>Amazon - livro</t>
  </si>
  <si>
    <t>Rappi</t>
  </si>
  <si>
    <t>Viagem guaruja</t>
  </si>
  <si>
    <t>Dia dos namorados</t>
  </si>
  <si>
    <t>Ifood</t>
  </si>
  <si>
    <t>cigarro</t>
  </si>
  <si>
    <t>Adega</t>
  </si>
  <si>
    <t>Casa</t>
  </si>
  <si>
    <t>Mercado</t>
  </si>
  <si>
    <t>Aniversario mãe Be</t>
  </si>
  <si>
    <t>credito celular</t>
  </si>
  <si>
    <t>Luz</t>
  </si>
  <si>
    <t xml:space="preserve">IR </t>
  </si>
  <si>
    <t>sobrancelha</t>
  </si>
  <si>
    <t>Sorvete</t>
  </si>
  <si>
    <t>Pipoca</t>
  </si>
  <si>
    <t>Balada</t>
  </si>
  <si>
    <t>Salão</t>
  </si>
  <si>
    <t>CASA</t>
  </si>
  <si>
    <t>Agosto</t>
  </si>
  <si>
    <t>Maio</t>
  </si>
  <si>
    <t>Saude</t>
  </si>
  <si>
    <t>Namoro</t>
  </si>
  <si>
    <t>Transporte</t>
  </si>
  <si>
    <t>roupa</t>
  </si>
  <si>
    <t>casa</t>
  </si>
  <si>
    <t>beleza</t>
  </si>
  <si>
    <t>Pessoal</t>
  </si>
  <si>
    <t>Estudo</t>
  </si>
  <si>
    <t>Roupa</t>
  </si>
  <si>
    <t>Lazer</t>
  </si>
  <si>
    <t>Classificação</t>
  </si>
  <si>
    <t>Discrição</t>
  </si>
  <si>
    <t>Row Labels</t>
  </si>
  <si>
    <t>Grand Total</t>
  </si>
  <si>
    <t>Sum of Maio</t>
  </si>
  <si>
    <t>Sum of Junho</t>
  </si>
  <si>
    <t>Setembro</t>
  </si>
  <si>
    <t>Outubro</t>
  </si>
  <si>
    <t>Novembro</t>
  </si>
  <si>
    <t>Dezembro</t>
  </si>
  <si>
    <t>Peixe</t>
  </si>
  <si>
    <t>sabonete /desodorante / Shampoo</t>
  </si>
  <si>
    <t>Aluguel carro</t>
  </si>
  <si>
    <t>Fevereiro</t>
  </si>
  <si>
    <t>Sum of Julho</t>
  </si>
  <si>
    <t>Sum of Agosto</t>
  </si>
  <si>
    <t>Sum of Setembro</t>
  </si>
  <si>
    <t>Sum of Outubro</t>
  </si>
  <si>
    <t>Sum of Novembro</t>
  </si>
  <si>
    <t>Sum of Dezembro</t>
  </si>
  <si>
    <t>Sum of Janiero</t>
  </si>
  <si>
    <t>Sum of Fevereiro</t>
  </si>
  <si>
    <t>Mês</t>
  </si>
  <si>
    <t>Salários</t>
  </si>
  <si>
    <t>Horas Extras</t>
  </si>
  <si>
    <t>IRRF</t>
  </si>
  <si>
    <t>INSS</t>
  </si>
  <si>
    <t>Trienio</t>
  </si>
  <si>
    <t>FÉRIAS</t>
  </si>
  <si>
    <t>PREMIO / PLR</t>
  </si>
  <si>
    <t>salario</t>
  </si>
  <si>
    <t>Pos</t>
  </si>
  <si>
    <t>Pic Pay</t>
  </si>
  <si>
    <t>internet cel</t>
  </si>
  <si>
    <t>NU BANK</t>
  </si>
  <si>
    <t>condução</t>
  </si>
  <si>
    <t>total</t>
  </si>
  <si>
    <t>FGTS</t>
  </si>
  <si>
    <t>BTG</t>
  </si>
  <si>
    <t>RESERVA</t>
  </si>
  <si>
    <t>XP</t>
  </si>
  <si>
    <t>LAZER</t>
  </si>
  <si>
    <t>SONHOS</t>
  </si>
  <si>
    <t>APARTAMENTO</t>
  </si>
  <si>
    <t>ENTRADA (FGTS)</t>
  </si>
  <si>
    <t>FINANCIAMENTO</t>
  </si>
  <si>
    <t>JUROS</t>
  </si>
  <si>
    <t>PARCELA FIXA</t>
  </si>
  <si>
    <t>360 MESES (30ANOS)</t>
  </si>
  <si>
    <t>Bancos</t>
  </si>
  <si>
    <t>Março</t>
  </si>
  <si>
    <t>Janeiro</t>
  </si>
  <si>
    <t>Abril</t>
  </si>
  <si>
    <t>OTICA</t>
  </si>
  <si>
    <t>SPA</t>
  </si>
  <si>
    <t>TATUAGEM</t>
  </si>
  <si>
    <t>SORVETE</t>
  </si>
  <si>
    <t>BAR</t>
  </si>
  <si>
    <t>MASSAGEM</t>
  </si>
  <si>
    <t>ALMOÇO MASSAGEM</t>
  </si>
  <si>
    <t>RESTAURANTE</t>
  </si>
  <si>
    <t>VANS</t>
  </si>
  <si>
    <t>AIRBNB</t>
  </si>
  <si>
    <t>VIAGEM CLICKBUS</t>
  </si>
  <si>
    <t>PRESENTE IGOR</t>
  </si>
  <si>
    <t>PILHA</t>
  </si>
  <si>
    <t>SHOPPING</t>
  </si>
  <si>
    <t xml:space="preserve">Amazon </t>
  </si>
  <si>
    <t>POS</t>
  </si>
  <si>
    <t>COMIDA (BAR, RESTAURANTES,SORVETES,PIPOCAS</t>
  </si>
  <si>
    <t>DEPILAÇÃO</t>
  </si>
  <si>
    <t>SALÃO</t>
  </si>
  <si>
    <t>NETFLIX</t>
  </si>
  <si>
    <t>MERCADO</t>
  </si>
  <si>
    <t>MEMORIA APPLE</t>
  </si>
  <si>
    <t>TIM</t>
  </si>
  <si>
    <t>UBER</t>
  </si>
  <si>
    <t>PRESENTE</t>
  </si>
  <si>
    <t>GYMPASS</t>
  </si>
  <si>
    <t>ACESSORIOS</t>
  </si>
  <si>
    <t>IMPOSTO, MULTAS</t>
  </si>
  <si>
    <t>FARMACIA</t>
  </si>
  <si>
    <t>PRESENTES</t>
  </si>
  <si>
    <t>SAUDE</t>
  </si>
  <si>
    <t>FESTAS, TEATRO</t>
  </si>
  <si>
    <t>Descrição</t>
  </si>
  <si>
    <t>Beleza</t>
  </si>
  <si>
    <t>ALEATORIO</t>
  </si>
  <si>
    <t>PLR</t>
  </si>
  <si>
    <t>DECIMO</t>
  </si>
  <si>
    <t>Estacionamento</t>
  </si>
  <si>
    <t>USD</t>
  </si>
  <si>
    <t>IOF</t>
  </si>
  <si>
    <t>SPREAD</t>
  </si>
  <si>
    <t>REAL</t>
  </si>
  <si>
    <t>PTAX INICIAL</t>
  </si>
  <si>
    <t>PTAX MÉDIA</t>
  </si>
  <si>
    <t>USD x BRL</t>
  </si>
  <si>
    <t>Spread</t>
  </si>
  <si>
    <t>BPAC11F (BPAN4)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</si>
</sst>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3" formatCode="_-* #,##0.00_-;\-* #,##0.00_-;_-* &quot;-&quot;??_-;_-@_-"/>
    <numFmt numFmtId="164" formatCode="&quot;R$&quot;\ #,##0.00_);[Red]\(&quot;R$&quot;\ #,##0.00\)"/>
    <numFmt numFmtId="165" formatCode="_(* #,##0.00_);_(* \(#,##0.00\);_(* &quot;-&quot;??_);_(@_)"/>
    <numFmt numFmtId="166" formatCode="0.0"/>
    <numFmt numFmtId="167" formatCode="&quot;R$&quot;\ #,##0.0000_);[Red]\(&quot;R$&quot;\ #,##0.0000\)"/>
    <numFmt numFmtId="168" formatCode="_(* #,##0.0000_);_(* \(#,##0.0000\);_(* &quot;-&quot;??_);_(@_)"/>
    <numFmt numFmtId="169" formatCode="_(* #,##0.000_);_(* \(#,##0.000\);_(* &quot;-&quot;??_);_(@_)"/>
    <numFmt numFmtId="170" formatCode="_(* #,##0.000_);_(* \(#,##0.000\);_(* &quot;-&quot;???_);_(@_)"/>
    <numFmt numFmtId="171" formatCode="[$-416]mmmm\-yy;@"/>
    <numFmt numFmtId="172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0" tint="-4.9989318521683403E-2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theme="7"/>
      <name val="Calibri"/>
      <family val="2"/>
      <scheme val="minor"/>
    </font>
    <font>
      <sz val="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4">
    <xf numFmtId="0" fontId="0" fillId="0" borderId="0" xfId="0"/>
    <xf numFmtId="14" fontId="0" fillId="0" borderId="0" xfId="0" applyNumberFormat="1"/>
    <xf numFmtId="166" fontId="0" fillId="0" borderId="0" xfId="0" applyNumberFormat="1"/>
    <xf numFmtId="40" fontId="0" fillId="0" borderId="0" xfId="1" applyNumberFormat="1" applyFont="1" applyAlignment="1">
      <alignment vertical="center"/>
    </xf>
    <xf numFmtId="40" fontId="0" fillId="0" borderId="0" xfId="1" applyNumberFormat="1" applyFont="1" applyAlignment="1">
      <alignment horizontal="center" vertical="center"/>
    </xf>
    <xf numFmtId="165" fontId="0" fillId="0" borderId="0" xfId="1" applyFont="1"/>
    <xf numFmtId="0" fontId="2" fillId="0" borderId="0" xfId="0" applyFont="1"/>
    <xf numFmtId="165" fontId="0" fillId="0" borderId="0" xfId="0" applyNumberFormat="1"/>
    <xf numFmtId="165" fontId="0" fillId="0" borderId="0" xfId="1" applyFont="1" applyAlignment="1">
      <alignment vertical="center"/>
    </xf>
    <xf numFmtId="40" fontId="4" fillId="0" borderId="0" xfId="1" applyNumberFormat="1" applyFont="1" applyAlignment="1">
      <alignment horizontal="center" vertical="center"/>
    </xf>
    <xf numFmtId="0" fontId="0" fillId="0" borderId="0" xfId="0" applyAlignment="1">
      <alignment horizontal="left"/>
    </xf>
    <xf numFmtId="43" fontId="0" fillId="0" borderId="0" xfId="0" applyNumberFormat="1"/>
    <xf numFmtId="164" fontId="0" fillId="0" borderId="0" xfId="0" applyNumberFormat="1"/>
    <xf numFmtId="164" fontId="0" fillId="0" borderId="3" xfId="0" applyNumberFormat="1" applyBorder="1"/>
    <xf numFmtId="0" fontId="0" fillId="0" borderId="4" xfId="0" applyBorder="1"/>
    <xf numFmtId="0" fontId="0" fillId="0" borderId="6" xfId="0" applyBorder="1"/>
    <xf numFmtId="0" fontId="0" fillId="0" borderId="0" xfId="1" applyNumberFormat="1" applyFont="1"/>
    <xf numFmtId="3" fontId="0" fillId="0" borderId="0" xfId="1" applyNumberFormat="1" applyFont="1"/>
    <xf numFmtId="167" fontId="0" fillId="0" borderId="5" xfId="0" applyNumberFormat="1" applyBorder="1"/>
    <xf numFmtId="1" fontId="0" fillId="0" borderId="0" xfId="0" applyNumberFormat="1"/>
    <xf numFmtId="4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165" fontId="8" fillId="0" borderId="0" xfId="1" applyFont="1"/>
    <xf numFmtId="165" fontId="8" fillId="0" borderId="0" xfId="0" applyNumberFormat="1" applyFont="1"/>
    <xf numFmtId="165" fontId="7" fillId="0" borderId="0" xfId="1" applyFont="1"/>
    <xf numFmtId="165" fontId="7" fillId="4" borderId="0" xfId="1" applyFont="1" applyFill="1"/>
    <xf numFmtId="40" fontId="0" fillId="0" borderId="0" xfId="1" applyNumberFormat="1" applyFont="1" applyBorder="1" applyAlignment="1">
      <alignment horizontal="center" vertical="center"/>
    </xf>
    <xf numFmtId="40" fontId="4" fillId="0" borderId="0" xfId="1" applyNumberFormat="1" applyFont="1" applyBorder="1" applyAlignment="1">
      <alignment horizontal="center" vertical="center"/>
    </xf>
    <xf numFmtId="169" fontId="8" fillId="0" borderId="0" xfId="1" applyNumberFormat="1" applyFont="1"/>
    <xf numFmtId="170" fontId="8" fillId="0" borderId="0" xfId="0" applyNumberFormat="1" applyFont="1"/>
    <xf numFmtId="167" fontId="0" fillId="0" borderId="0" xfId="0" applyNumberFormat="1"/>
    <xf numFmtId="0" fontId="9" fillId="0" borderId="0" xfId="0" applyFont="1"/>
    <xf numFmtId="165" fontId="9" fillId="0" borderId="0" xfId="1" applyFont="1"/>
    <xf numFmtId="0" fontId="9" fillId="5" borderId="0" xfId="0" applyFont="1" applyFill="1"/>
    <xf numFmtId="165" fontId="9" fillId="5" borderId="0" xfId="1" applyFont="1" applyFill="1"/>
    <xf numFmtId="165" fontId="0" fillId="5" borderId="0" xfId="1" applyFont="1" applyFill="1" applyAlignment="1">
      <alignment vertical="center"/>
    </xf>
    <xf numFmtId="0" fontId="10" fillId="7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165" fontId="8" fillId="0" borderId="0" xfId="1" applyFont="1" applyAlignment="1">
      <alignment vertical="center"/>
    </xf>
    <xf numFmtId="165" fontId="8" fillId="0" borderId="0" xfId="0" applyNumberFormat="1" applyFont="1" applyAlignment="1">
      <alignment vertical="center"/>
    </xf>
    <xf numFmtId="0" fontId="7" fillId="0" borderId="7" xfId="0" applyFont="1" applyBorder="1" applyAlignment="1">
      <alignment vertical="center"/>
    </xf>
    <xf numFmtId="165" fontId="7" fillId="0" borderId="7" xfId="1" applyFont="1" applyBorder="1" applyAlignment="1">
      <alignment vertical="center"/>
    </xf>
    <xf numFmtId="165" fontId="8" fillId="0" borderId="7" xfId="1" applyFont="1" applyBorder="1" applyAlignment="1">
      <alignment vertical="center"/>
    </xf>
    <xf numFmtId="14" fontId="8" fillId="0" borderId="0" xfId="0" applyNumberFormat="1" applyFont="1" applyAlignment="1">
      <alignment vertical="center"/>
    </xf>
    <xf numFmtId="0" fontId="8" fillId="0" borderId="7" xfId="0" applyFont="1" applyBorder="1" applyAlignment="1">
      <alignment vertical="center"/>
    </xf>
    <xf numFmtId="165" fontId="8" fillId="0" borderId="7" xfId="0" applyNumberFormat="1" applyFont="1" applyBorder="1" applyAlignment="1">
      <alignment vertical="center"/>
    </xf>
    <xf numFmtId="165" fontId="7" fillId="0" borderId="7" xfId="0" applyNumberFormat="1" applyFont="1" applyBorder="1" applyAlignment="1">
      <alignment vertical="center"/>
    </xf>
    <xf numFmtId="0" fontId="7" fillId="5" borderId="7" xfId="0" applyFont="1" applyFill="1" applyBorder="1" applyAlignment="1">
      <alignment vertical="center"/>
    </xf>
    <xf numFmtId="0" fontId="8" fillId="5" borderId="7" xfId="0" applyFont="1" applyFill="1" applyBorder="1" applyAlignment="1">
      <alignment vertical="center"/>
    </xf>
    <xf numFmtId="171" fontId="7" fillId="0" borderId="0" xfId="0" applyNumberFormat="1" applyFont="1" applyAlignment="1">
      <alignment horizontal="left" vertical="center"/>
    </xf>
    <xf numFmtId="0" fontId="8" fillId="0" borderId="0" xfId="0" quotePrefix="1" applyFont="1" applyAlignment="1">
      <alignment vertical="center"/>
    </xf>
    <xf numFmtId="165" fontId="7" fillId="5" borderId="7" xfId="1" applyFont="1" applyFill="1" applyBorder="1" applyAlignment="1">
      <alignment vertical="center"/>
    </xf>
    <xf numFmtId="165" fontId="11" fillId="0" borderId="0" xfId="1" applyFont="1" applyAlignment="1">
      <alignment vertical="center"/>
    </xf>
    <xf numFmtId="165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2" fillId="5" borderId="0" xfId="0" applyFont="1" applyFill="1"/>
    <xf numFmtId="14" fontId="0" fillId="0" borderId="0" xfId="1" applyNumberFormat="1" applyFont="1"/>
    <xf numFmtId="0" fontId="12" fillId="7" borderId="0" xfId="0" applyFont="1" applyFill="1"/>
    <xf numFmtId="0" fontId="13" fillId="7" borderId="0" xfId="0" applyFont="1" applyFill="1"/>
    <xf numFmtId="14" fontId="8" fillId="0" borderId="0" xfId="0" applyNumberFormat="1" applyFont="1"/>
    <xf numFmtId="0" fontId="14" fillId="0" borderId="0" xfId="0" applyFont="1"/>
    <xf numFmtId="165" fontId="0" fillId="0" borderId="0" xfId="1" applyFont="1" applyFill="1" applyAlignment="1">
      <alignment vertical="center"/>
    </xf>
    <xf numFmtId="9" fontId="0" fillId="0" borderId="0" xfId="2" applyFont="1" applyAlignment="1">
      <alignment horizontal="center"/>
    </xf>
    <xf numFmtId="9" fontId="0" fillId="0" borderId="0" xfId="2" applyFont="1" applyAlignment="1"/>
    <xf numFmtId="165" fontId="9" fillId="0" borderId="0" xfId="1" applyFont="1" applyFill="1" applyAlignment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65" fontId="0" fillId="0" borderId="0" xfId="1" applyFont="1" applyFill="1"/>
    <xf numFmtId="16" fontId="0" fillId="0" borderId="0" xfId="0" applyNumberFormat="1"/>
    <xf numFmtId="49" fontId="0" fillId="0" borderId="0" xfId="0" applyNumberFormat="1"/>
    <xf numFmtId="10" fontId="0" fillId="0" borderId="0" xfId="0" applyNumberFormat="1"/>
    <xf numFmtId="40" fontId="0" fillId="0" borderId="0" xfId="0" applyNumberFormat="1"/>
    <xf numFmtId="165" fontId="8" fillId="0" borderId="0" xfId="1" applyFont="1" applyFill="1"/>
    <xf numFmtId="165" fontId="8" fillId="4" borderId="0" xfId="1" applyFont="1" applyFill="1"/>
    <xf numFmtId="165" fontId="14" fillId="0" borderId="0" xfId="1" applyFont="1"/>
    <xf numFmtId="0" fontId="8" fillId="4" borderId="0" xfId="0" applyFont="1" applyFill="1"/>
    <xf numFmtId="165" fontId="14" fillId="0" borderId="0" xfId="0" applyNumberFormat="1" applyFont="1"/>
    <xf numFmtId="40" fontId="0" fillId="0" borderId="0" xfId="0" pivotButton="1" applyNumberFormat="1"/>
    <xf numFmtId="40" fontId="0" fillId="0" borderId="0" xfId="0" applyNumberFormat="1" applyAlignment="1">
      <alignment horizontal="left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165" fontId="3" fillId="2" borderId="0" xfId="1" applyFont="1" applyFill="1" applyAlignment="1">
      <alignment horizontal="center" vertical="center"/>
    </xf>
    <xf numFmtId="0" fontId="9" fillId="5" borderId="0" xfId="0" applyFont="1" applyFill="1" applyAlignment="1">
      <alignment horizontal="center"/>
    </xf>
    <xf numFmtId="165" fontId="9" fillId="5" borderId="0" xfId="1" applyFont="1" applyFill="1" applyAlignment="1">
      <alignment horizontal="center"/>
    </xf>
    <xf numFmtId="0" fontId="9" fillId="0" borderId="0" xfId="0" applyFont="1" applyAlignment="1">
      <alignment horizontal="center"/>
    </xf>
    <xf numFmtId="165" fontId="9" fillId="0" borderId="0" xfId="1" applyFont="1" applyAlignment="1">
      <alignment horizontal="center"/>
    </xf>
    <xf numFmtId="0" fontId="0" fillId="0" borderId="0" xfId="0" applyAlignment="1">
      <alignment horizontal="center"/>
    </xf>
    <xf numFmtId="165" fontId="0" fillId="0" borderId="0" xfId="1" applyFont="1" applyAlignment="1">
      <alignment horizontal="center"/>
    </xf>
    <xf numFmtId="165" fontId="9" fillId="0" borderId="0" xfId="1" applyFont="1" applyFill="1" applyAlignment="1">
      <alignment horizontal="center"/>
    </xf>
    <xf numFmtId="165" fontId="8" fillId="5" borderId="0" xfId="0" applyNumberFormat="1" applyFont="1" applyFill="1" applyAlignment="1">
      <alignment vertical="center"/>
    </xf>
    <xf numFmtId="0" fontId="13" fillId="9" borderId="8" xfId="0" applyFont="1" applyFill="1" applyBorder="1" applyAlignment="1">
      <alignment vertical="center"/>
    </xf>
    <xf numFmtId="0" fontId="15" fillId="9" borderId="8" xfId="0" applyFont="1" applyFill="1" applyBorder="1" applyAlignment="1">
      <alignment horizontal="center" vertical="center"/>
    </xf>
    <xf numFmtId="165" fontId="8" fillId="0" borderId="0" xfId="1" applyFont="1" applyFill="1" applyAlignment="1">
      <alignment vertical="center"/>
    </xf>
    <xf numFmtId="0" fontId="8" fillId="0" borderId="0" xfId="1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6" fillId="0" borderId="9" xfId="0" applyFont="1" applyBorder="1" applyAlignment="1">
      <alignment horizontal="center" vertical="center"/>
    </xf>
    <xf numFmtId="165" fontId="8" fillId="0" borderId="9" xfId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65" fontId="8" fillId="0" borderId="0" xfId="1" applyFont="1" applyBorder="1" applyAlignment="1">
      <alignment horizontal="center" vertical="center"/>
    </xf>
    <xf numFmtId="9" fontId="8" fillId="0" borderId="0" xfId="2" applyFont="1" applyBorder="1" applyAlignment="1">
      <alignment horizontal="right" vertical="center"/>
    </xf>
    <xf numFmtId="0" fontId="16" fillId="0" borderId="10" xfId="0" applyFont="1" applyBorder="1" applyAlignment="1">
      <alignment horizontal="center" vertical="center"/>
    </xf>
    <xf numFmtId="165" fontId="8" fillId="0" borderId="10" xfId="1" applyFont="1" applyBorder="1" applyAlignment="1">
      <alignment horizontal="center" vertical="center"/>
    </xf>
    <xf numFmtId="165" fontId="8" fillId="0" borderId="0" xfId="1" applyFont="1" applyFill="1" applyBorder="1" applyAlignment="1">
      <alignment horizontal="center" vertical="center"/>
    </xf>
    <xf numFmtId="165" fontId="17" fillId="0" borderId="0" xfId="1" applyFont="1"/>
    <xf numFmtId="40" fontId="0" fillId="4" borderId="0" xfId="1" applyNumberFormat="1" applyFont="1" applyFill="1" applyAlignment="1">
      <alignment horizontal="center" vertical="center"/>
    </xf>
    <xf numFmtId="165" fontId="13" fillId="9" borderId="8" xfId="1" applyFont="1" applyFill="1" applyBorder="1" applyAlignment="1">
      <alignment vertical="center"/>
    </xf>
    <xf numFmtId="165" fontId="0" fillId="0" borderId="5" xfId="1" applyFont="1" applyBorder="1"/>
    <xf numFmtId="17" fontId="0" fillId="0" borderId="0" xfId="0" applyNumberFormat="1"/>
    <xf numFmtId="166" fontId="0" fillId="10" borderId="0" xfId="0" applyNumberFormat="1" applyFill="1"/>
    <xf numFmtId="0" fontId="18" fillId="2" borderId="0" xfId="0" applyFont="1" applyFill="1" applyAlignment="1">
      <alignment horizontal="center" vertical="center"/>
    </xf>
    <xf numFmtId="9" fontId="0" fillId="0" borderId="0" xfId="0" applyNumberFormat="1"/>
    <xf numFmtId="0" fontId="4" fillId="0" borderId="7" xfId="0" applyFont="1" applyBorder="1"/>
    <xf numFmtId="165" fontId="4" fillId="0" borderId="7" xfId="1" applyFont="1" applyBorder="1"/>
    <xf numFmtId="172" fontId="4" fillId="5" borderId="7" xfId="0" applyNumberFormat="1" applyFont="1" applyFill="1" applyBorder="1"/>
    <xf numFmtId="165" fontId="0" fillId="10" borderId="0" xfId="0" applyNumberFormat="1" applyFill="1"/>
    <xf numFmtId="2" fontId="0" fillId="10" borderId="0" xfId="0" applyNumberFormat="1" applyFill="1"/>
    <xf numFmtId="172" fontId="0" fillId="10" borderId="0" xfId="0" applyNumberFormat="1" applyFill="1"/>
    <xf numFmtId="165" fontId="0" fillId="11" borderId="0" xfId="1" applyFont="1" applyFill="1"/>
    <xf numFmtId="165" fontId="0" fillId="11" borderId="0" xfId="0" applyNumberFormat="1" applyFill="1"/>
    <xf numFmtId="2" fontId="0" fillId="11" borderId="0" xfId="0" applyNumberFormat="1" applyFill="1"/>
    <xf numFmtId="172" fontId="0" fillId="11" borderId="0" xfId="0" applyNumberFormat="1" applyFill="1"/>
    <xf numFmtId="0" fontId="0" fillId="0" borderId="0" xfId="1" applyNumberFormat="1" applyFont="1" applyAlignment="1">
      <alignment horizontal="center" vertical="center"/>
    </xf>
    <xf numFmtId="40" fontId="4" fillId="0" borderId="7" xfId="0" applyNumberFormat="1" applyFont="1" applyBorder="1"/>
    <xf numFmtId="165" fontId="0" fillId="10" borderId="0" xfId="1" applyFont="1" applyFill="1"/>
    <xf numFmtId="0" fontId="19" fillId="2" borderId="0" xfId="0" applyFont="1" applyFill="1" applyAlignment="1">
      <alignment horizontal="center" vertical="center"/>
    </xf>
    <xf numFmtId="165" fontId="19" fillId="2" borderId="0" xfId="1" applyFont="1" applyFill="1" applyAlignment="1">
      <alignment horizontal="center" vertical="center"/>
    </xf>
    <xf numFmtId="168" fontId="0" fillId="4" borderId="0" xfId="0" applyNumberFormat="1" applyFill="1"/>
    <xf numFmtId="165" fontId="0" fillId="4" borderId="0" xfId="1" applyFont="1" applyFill="1"/>
    <xf numFmtId="172" fontId="0" fillId="4" borderId="0" xfId="0" applyNumberFormat="1" applyFill="1"/>
    <xf numFmtId="9" fontId="0" fillId="0" borderId="0" xfId="2" applyFont="1" applyAlignment="1">
      <alignment horizontal="center" vertical="center"/>
    </xf>
    <xf numFmtId="9" fontId="0" fillId="8" borderId="0" xfId="2" applyFont="1" applyFill="1" applyAlignment="1">
      <alignment horizontal="center" vertical="center"/>
    </xf>
    <xf numFmtId="165" fontId="0" fillId="0" borderId="0" xfId="1" applyFont="1" applyAlignment="1">
      <alignment horizontal="center" vertical="center"/>
    </xf>
    <xf numFmtId="165" fontId="0" fillId="0" borderId="0" xfId="1" applyFont="1" applyFill="1" applyAlignment="1">
      <alignment horizontal="center" vertical="center"/>
    </xf>
    <xf numFmtId="9" fontId="0" fillId="12" borderId="0" xfId="2" applyFont="1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165" fontId="3" fillId="2" borderId="0" xfId="1" applyFont="1" applyFill="1" applyAlignment="1">
      <alignment vertical="center"/>
    </xf>
    <xf numFmtId="165" fontId="0" fillId="5" borderId="0" xfId="1" applyFont="1" applyFill="1" applyAlignment="1">
      <alignment horizontal="center" vertical="center"/>
    </xf>
    <xf numFmtId="40" fontId="0" fillId="0" borderId="0" xfId="1" applyNumberFormat="1" applyFont="1" applyAlignment="1">
      <alignment horizontal="center" vertical="center"/>
    </xf>
    <xf numFmtId="9" fontId="1" fillId="0" borderId="0" xfId="2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65" fontId="19" fillId="2" borderId="0" xfId="1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165" fontId="9" fillId="5" borderId="0" xfId="1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6">
    <dxf>
      <numFmt numFmtId="173" formatCode="#,##0.00_);[Red]\(#,##0.00\)"/>
    </dxf>
    <dxf>
      <numFmt numFmtId="173" formatCode="#,##0.00_);[Red]\(#,##0.00\)"/>
    </dxf>
    <dxf>
      <numFmt numFmtId="173" formatCode="#,##0.00_);[Red]\(#,##0.00\)"/>
    </dxf>
    <dxf>
      <numFmt numFmtId="173" formatCode="#,##0.00_);[Red]\(#,##0.00\)"/>
    </dxf>
    <dxf>
      <numFmt numFmtId="173" formatCode="#,##0.00_);[Red]\(#,##0.00\)"/>
    </dxf>
    <dxf>
      <numFmt numFmtId="173" formatCode="#,##0.00_);[Red]\(#,##0.00\)"/>
    </dxf>
  </dxfs>
  <tableStyles count="1" defaultTableStyle="TableStyleMedium2" defaultPivotStyle="PivotStyleLight16">
    <tableStyle name="Invisible" pivot="0" table="0" count="0" xr9:uid="{5799142D-03BA-487E-8C98-F065BC20DBB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67388451443569E-2"/>
          <c:y val="0.1568292505103529"/>
          <c:w val="0.85031255468066491"/>
          <c:h val="0.62342045785943423"/>
        </c:manualLayout>
      </c:layout>
      <c:lineChart>
        <c:grouping val="stacke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Peso!$A$1:$A$121</c:f>
              <c:numCache>
                <c:formatCode>m/d/yyyy</c:formatCode>
                <c:ptCount val="19"/>
                <c:pt idx="0">
                  <c:v>44206</c:v>
                </c:pt>
                <c:pt idx="1">
                  <c:v>44215</c:v>
                </c:pt>
                <c:pt idx="2">
                  <c:v>44216</c:v>
                </c:pt>
                <c:pt idx="3">
                  <c:v>44217</c:v>
                </c:pt>
                <c:pt idx="4">
                  <c:v>44218</c:v>
                </c:pt>
                <c:pt idx="5">
                  <c:v>44219</c:v>
                </c:pt>
                <c:pt idx="6">
                  <c:v>44220</c:v>
                </c:pt>
                <c:pt idx="7">
                  <c:v>44221</c:v>
                </c:pt>
                <c:pt idx="8">
                  <c:v>44223</c:v>
                </c:pt>
                <c:pt idx="9">
                  <c:v>44224</c:v>
                </c:pt>
                <c:pt idx="10">
                  <c:v>44230</c:v>
                </c:pt>
                <c:pt idx="11">
                  <c:v>44238</c:v>
                </c:pt>
                <c:pt idx="12">
                  <c:v>44240</c:v>
                </c:pt>
                <c:pt idx="13">
                  <c:v>44243</c:v>
                </c:pt>
                <c:pt idx="14">
                  <c:v>44244</c:v>
                </c:pt>
                <c:pt idx="15">
                  <c:v>44249</c:v>
                </c:pt>
                <c:pt idx="16">
                  <c:v>44253</c:v>
                </c:pt>
                <c:pt idx="17">
                  <c:v>44262</c:v>
                </c:pt>
                <c:pt idx="18">
                  <c:v>44263</c:v>
                </c:pt>
              </c:numCache>
            </c:numRef>
          </c:cat>
          <c:val>
            <c:numRef>
              <c:f>Peso!$B$1:$B$121</c:f>
              <c:numCache>
                <c:formatCode>0.0</c:formatCode>
                <c:ptCount val="19"/>
                <c:pt idx="0">
                  <c:v>80.3</c:v>
                </c:pt>
                <c:pt idx="1">
                  <c:v>77.5</c:v>
                </c:pt>
                <c:pt idx="2">
                  <c:v>77.3</c:v>
                </c:pt>
                <c:pt idx="3">
                  <c:v>77.400000000000006</c:v>
                </c:pt>
                <c:pt idx="4">
                  <c:v>77.3</c:v>
                </c:pt>
                <c:pt idx="5">
                  <c:v>77.3</c:v>
                </c:pt>
                <c:pt idx="6">
                  <c:v>77.3</c:v>
                </c:pt>
                <c:pt idx="7">
                  <c:v>77.3</c:v>
                </c:pt>
                <c:pt idx="8">
                  <c:v>77.5</c:v>
                </c:pt>
                <c:pt idx="9">
                  <c:v>77</c:v>
                </c:pt>
                <c:pt idx="10">
                  <c:v>77.2</c:v>
                </c:pt>
                <c:pt idx="11">
                  <c:v>77.099999999999994</c:v>
                </c:pt>
                <c:pt idx="12">
                  <c:v>77.3</c:v>
                </c:pt>
                <c:pt idx="13">
                  <c:v>77</c:v>
                </c:pt>
                <c:pt idx="14">
                  <c:v>77.5</c:v>
                </c:pt>
                <c:pt idx="15">
                  <c:v>77.400000000000006</c:v>
                </c:pt>
                <c:pt idx="16">
                  <c:v>77.5</c:v>
                </c:pt>
                <c:pt idx="17">
                  <c:v>77.400000000000006</c:v>
                </c:pt>
                <c:pt idx="18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DC-4E9D-ADDC-40B0F7E4ADC6}"/>
            </c:ext>
          </c:extLst>
        </c:ser>
        <c:ser>
          <c:idx val="1"/>
          <c:order val="1"/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Peso!$A$1:$A$121</c:f>
              <c:numCache>
                <c:formatCode>m/d/yyyy</c:formatCode>
                <c:ptCount val="19"/>
                <c:pt idx="0">
                  <c:v>44206</c:v>
                </c:pt>
                <c:pt idx="1">
                  <c:v>44215</c:v>
                </c:pt>
                <c:pt idx="2">
                  <c:v>44216</c:v>
                </c:pt>
                <c:pt idx="3">
                  <c:v>44217</c:v>
                </c:pt>
                <c:pt idx="4">
                  <c:v>44218</c:v>
                </c:pt>
                <c:pt idx="5">
                  <c:v>44219</c:v>
                </c:pt>
                <c:pt idx="6">
                  <c:v>44220</c:v>
                </c:pt>
                <c:pt idx="7">
                  <c:v>44221</c:v>
                </c:pt>
                <c:pt idx="8">
                  <c:v>44223</c:v>
                </c:pt>
                <c:pt idx="9">
                  <c:v>44224</c:v>
                </c:pt>
                <c:pt idx="10">
                  <c:v>44230</c:v>
                </c:pt>
                <c:pt idx="11">
                  <c:v>44238</c:v>
                </c:pt>
                <c:pt idx="12">
                  <c:v>44240</c:v>
                </c:pt>
                <c:pt idx="13">
                  <c:v>44243</c:v>
                </c:pt>
                <c:pt idx="14">
                  <c:v>44244</c:v>
                </c:pt>
                <c:pt idx="15">
                  <c:v>44249</c:v>
                </c:pt>
                <c:pt idx="16">
                  <c:v>44253</c:v>
                </c:pt>
                <c:pt idx="17">
                  <c:v>44262</c:v>
                </c:pt>
                <c:pt idx="18">
                  <c:v>44263</c:v>
                </c:pt>
              </c:numCache>
            </c:numRef>
          </c:cat>
          <c:val>
            <c:numRef>
              <c:f>Peso!$C$1:$C$121</c:f>
              <c:numCache>
                <c:formatCode>General</c:formatCode>
                <c:ptCount val="19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CD-492B-8839-E19CAFF3D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7252376"/>
        <c:axId val="500919944"/>
      </c:lineChart>
      <c:dateAx>
        <c:axId val="5072523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919944"/>
        <c:crosses val="autoZero"/>
        <c:auto val="1"/>
        <c:lblOffset val="100"/>
        <c:baseTimeUnit val="days"/>
        <c:majorUnit val="15"/>
        <c:majorTimeUnit val="days"/>
      </c:dateAx>
      <c:valAx>
        <c:axId val="500919944"/>
        <c:scaling>
          <c:orientation val="minMax"/>
          <c:max val="81"/>
          <c:min val="66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252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103</xdr:row>
      <xdr:rowOff>104775</xdr:rowOff>
    </xdr:from>
    <xdr:to>
      <xdr:col>11</xdr:col>
      <xdr:colOff>295275</xdr:colOff>
      <xdr:row>117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1453FB6-43B5-4C4A-B400-783C96C6CE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26</xdr:col>
      <xdr:colOff>541790</xdr:colOff>
      <xdr:row>39</xdr:row>
      <xdr:rowOff>189548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3BAFBF4-A9E9-A914-181E-7DC3F1D79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0" y="0"/>
          <a:ext cx="9076190" cy="761904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llete, Giovana" refreshedDate="45110.771468402774" createdVersion="8" refreshedVersion="8" minRefreshableVersion="3" recordCount="73" xr:uid="{67BAF15F-589D-4C8E-8125-86FB4BDDCAAC}">
  <cacheSource type="worksheet">
    <worksheetSource ref="L7:X80" sheet="Gastos"/>
  </cacheSource>
  <cacheFields count="12">
    <cacheField name="Classificação" numFmtId="0">
      <sharedItems count="9">
        <s v="Saude"/>
        <s v="Casa"/>
        <s v="Namoro"/>
        <s v="Transporte"/>
        <s v="Pessoal"/>
        <s v="roupa"/>
        <s v="beleza"/>
        <s v="Estudo"/>
        <s v="Lazer"/>
      </sharedItems>
    </cacheField>
    <cacheField name="Discrição" numFmtId="0">
      <sharedItems/>
    </cacheField>
    <cacheField name="Maio" numFmtId="0">
      <sharedItems containsString="0" containsBlank="1" containsNumber="1" minValue="0" maxValue="1392"/>
    </cacheField>
    <cacheField name="Junho" numFmtId="165">
      <sharedItems containsString="0" containsBlank="1" containsNumber="1" minValue="0" maxValue="2624.94"/>
    </cacheField>
    <cacheField name="Julho" numFmtId="0">
      <sharedItems containsString="0" containsBlank="1" containsNumber="1" minValue="0" maxValue="875"/>
    </cacheField>
    <cacheField name="Agosto" numFmtId="0">
      <sharedItems containsString="0" containsBlank="1" containsNumber="1" minValue="0" maxValue="250"/>
    </cacheField>
    <cacheField name="Setembro" numFmtId="0">
      <sharedItems containsString="0" containsBlank="1" containsNumber="1" minValue="0" maxValue="250"/>
    </cacheField>
    <cacheField name="Outubro" numFmtId="0">
      <sharedItems containsString="0" containsBlank="1" containsNumber="1" minValue="0" maxValue="250"/>
    </cacheField>
    <cacheField name="Novembro" numFmtId="0">
      <sharedItems containsString="0" containsBlank="1" containsNumber="1" minValue="0" maxValue="250"/>
    </cacheField>
    <cacheField name="Dezembro" numFmtId="0">
      <sharedItems containsString="0" containsBlank="1" containsNumber="1" containsInteger="1" minValue="0" maxValue="250"/>
    </cacheField>
    <cacheField name="Janiero" numFmtId="0">
      <sharedItems containsString="0" containsBlank="1" containsNumber="1" containsInteger="1" minValue="150" maxValue="150"/>
    </cacheField>
    <cacheField name="Fevereiro" numFmtId="0">
      <sharedItems containsString="0" containsBlank="1" containsNumber="1" containsInteger="1" minValue="150" maxValue="1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s v="academia"/>
    <n v="122.13"/>
    <n v="0"/>
    <m/>
    <m/>
    <m/>
    <m/>
    <m/>
    <m/>
    <m/>
    <m/>
  </r>
  <r>
    <x v="1"/>
    <s v="air fryer"/>
    <n v="76.7"/>
    <n v="76.7"/>
    <n v="76.7"/>
    <n v="76.7"/>
    <m/>
    <m/>
    <m/>
    <m/>
    <m/>
    <m/>
  </r>
  <r>
    <x v="2"/>
    <s v="aliança"/>
    <n v="53.66"/>
    <n v="53.66"/>
    <n v="53.66"/>
    <n v="53.66"/>
    <n v="53.66"/>
    <n v="53.66"/>
    <n v="53.66"/>
    <m/>
    <m/>
    <m/>
  </r>
  <r>
    <x v="3"/>
    <s v="app bilhete único"/>
    <n v="19.899999999999999"/>
    <n v="19.989999999999998"/>
    <m/>
    <m/>
    <m/>
    <m/>
    <m/>
    <m/>
    <m/>
    <m/>
  </r>
  <r>
    <x v="4"/>
    <s v="apple memoria"/>
    <n v="3.5"/>
    <n v="3.5"/>
    <m/>
    <m/>
    <m/>
    <m/>
    <m/>
    <m/>
    <m/>
    <m/>
  </r>
  <r>
    <x v="3"/>
    <s v="aula de direção"/>
    <n v="150"/>
    <n v="150"/>
    <n v="150"/>
    <n v="150"/>
    <n v="150"/>
    <n v="150"/>
    <n v="150"/>
    <n v="150"/>
    <n v="150"/>
    <n v="150"/>
  </r>
  <r>
    <x v="3"/>
    <s v="bilhete único"/>
    <n v="20"/>
    <n v="20"/>
    <m/>
    <m/>
    <m/>
    <m/>
    <m/>
    <m/>
    <m/>
    <m/>
  </r>
  <r>
    <x v="3"/>
    <s v="bilhete único"/>
    <n v="20"/>
    <n v="20"/>
    <m/>
    <m/>
    <m/>
    <m/>
    <m/>
    <m/>
    <m/>
    <m/>
  </r>
  <r>
    <x v="3"/>
    <s v="bilhete único"/>
    <n v="20"/>
    <n v="20"/>
    <m/>
    <m/>
    <m/>
    <m/>
    <m/>
    <m/>
    <m/>
    <m/>
  </r>
  <r>
    <x v="3"/>
    <s v="bilhete único"/>
    <n v="20"/>
    <n v="20"/>
    <m/>
    <m/>
    <m/>
    <m/>
    <m/>
    <m/>
    <m/>
    <m/>
  </r>
  <r>
    <x v="3"/>
    <s v="bilhete único"/>
    <n v="20"/>
    <n v="20"/>
    <m/>
    <m/>
    <m/>
    <m/>
    <m/>
    <m/>
    <m/>
    <m/>
  </r>
  <r>
    <x v="3"/>
    <s v="bilhete único"/>
    <n v="20"/>
    <n v="20"/>
    <m/>
    <m/>
    <m/>
    <m/>
    <m/>
    <m/>
    <m/>
    <m/>
  </r>
  <r>
    <x v="3"/>
    <s v="bilhete único"/>
    <n v="20"/>
    <n v="0"/>
    <m/>
    <m/>
    <m/>
    <m/>
    <m/>
    <m/>
    <m/>
    <m/>
  </r>
  <r>
    <x v="3"/>
    <s v="bilhete único"/>
    <n v="20"/>
    <n v="0"/>
    <m/>
    <m/>
    <m/>
    <m/>
    <m/>
    <m/>
    <m/>
    <m/>
  </r>
  <r>
    <x v="3"/>
    <s v="bilhete único"/>
    <n v="20"/>
    <n v="0"/>
    <m/>
    <m/>
    <m/>
    <m/>
    <m/>
    <m/>
    <m/>
    <m/>
  </r>
  <r>
    <x v="3"/>
    <s v="bilhete único"/>
    <n v="20"/>
    <n v="0"/>
    <m/>
    <m/>
    <m/>
    <m/>
    <m/>
    <m/>
    <m/>
    <m/>
  </r>
  <r>
    <x v="5"/>
    <s v="calça riachuelo"/>
    <n v="46.63"/>
    <n v="0"/>
    <m/>
    <m/>
    <m/>
    <m/>
    <m/>
    <m/>
    <m/>
    <m/>
  </r>
  <r>
    <x v="3"/>
    <s v="carro"/>
    <n v="875"/>
    <n v="875"/>
    <n v="875"/>
    <m/>
    <m/>
    <m/>
    <m/>
    <m/>
    <m/>
    <m/>
  </r>
  <r>
    <x v="4"/>
    <s v="celular"/>
    <n v="250"/>
    <n v="250"/>
    <n v="250"/>
    <n v="250"/>
    <n v="250"/>
    <n v="250"/>
    <n v="250"/>
    <n v="250"/>
    <m/>
    <m/>
  </r>
  <r>
    <x v="1"/>
    <s v="condominio"/>
    <n v="1142.08"/>
    <n v="1193.05"/>
    <m/>
    <m/>
    <m/>
    <m/>
    <m/>
    <m/>
    <m/>
    <m/>
  </r>
  <r>
    <x v="6"/>
    <s v="depilação"/>
    <n v="682.58"/>
    <n v="341.29"/>
    <m/>
    <m/>
    <m/>
    <m/>
    <m/>
    <m/>
    <m/>
    <m/>
  </r>
  <r>
    <x v="4"/>
    <s v="mochila"/>
    <n v="87.47"/>
    <n v="87.47"/>
    <m/>
    <m/>
    <m/>
    <m/>
    <m/>
    <m/>
    <m/>
    <m/>
  </r>
  <r>
    <x v="1"/>
    <s v="globo"/>
    <n v="49.9"/>
    <n v="49.9"/>
    <n v="49.9"/>
    <m/>
    <m/>
    <m/>
    <m/>
    <m/>
    <m/>
    <m/>
  </r>
  <r>
    <x v="1"/>
    <s v="mercado"/>
    <n v="32.380000000000003"/>
    <n v="95.38"/>
    <m/>
    <m/>
    <m/>
    <m/>
    <m/>
    <m/>
    <m/>
    <m/>
  </r>
  <r>
    <x v="1"/>
    <s v="net"/>
    <n v="111.55"/>
    <n v="116.78"/>
    <m/>
    <m/>
    <m/>
    <m/>
    <m/>
    <m/>
    <m/>
    <m/>
  </r>
  <r>
    <x v="1"/>
    <s v="Luz"/>
    <n v="82.48"/>
    <n v="84.61"/>
    <m/>
    <m/>
    <m/>
    <m/>
    <m/>
    <m/>
    <m/>
    <m/>
  </r>
  <r>
    <x v="1"/>
    <s v="netflix"/>
    <n v="55.9"/>
    <n v="55.9"/>
    <m/>
    <m/>
    <m/>
    <m/>
    <m/>
    <m/>
    <m/>
    <m/>
  </r>
  <r>
    <x v="1"/>
    <s v="Apartamento"/>
    <n v="0"/>
    <n v="2624.94"/>
    <m/>
    <m/>
    <m/>
    <m/>
    <m/>
    <m/>
    <m/>
    <m/>
  </r>
  <r>
    <x v="4"/>
    <s v="IR "/>
    <n v="0"/>
    <n v="111.43"/>
    <n v="101.48"/>
    <n v="0"/>
    <n v="0"/>
    <n v="0"/>
    <n v="0"/>
    <n v="0"/>
    <m/>
    <m/>
  </r>
  <r>
    <x v="6"/>
    <s v="sobrancelha"/>
    <n v="35"/>
    <n v="35"/>
    <m/>
    <m/>
    <m/>
    <m/>
    <m/>
    <m/>
    <m/>
    <m/>
  </r>
  <r>
    <x v="4"/>
    <s v="credito celular"/>
    <n v="60"/>
    <n v="60"/>
    <m/>
    <m/>
    <m/>
    <m/>
    <m/>
    <m/>
    <m/>
    <m/>
  </r>
  <r>
    <x v="5"/>
    <s v="perfume zara"/>
    <n v="59.83"/>
    <n v="0"/>
    <n v="0"/>
    <n v="0"/>
    <n v="0"/>
    <n v="0"/>
    <n v="0"/>
    <n v="0"/>
    <m/>
    <m/>
  </r>
  <r>
    <x v="7"/>
    <s v="pos "/>
    <n v="1392"/>
    <n v="1422.16"/>
    <m/>
    <m/>
    <m/>
    <m/>
    <m/>
    <m/>
    <m/>
    <m/>
  </r>
  <r>
    <x v="2"/>
    <s v="rebelde ingresso "/>
    <n v="192"/>
    <n v="0"/>
    <n v="0"/>
    <n v="0"/>
    <n v="0"/>
    <n v="0"/>
    <n v="0"/>
    <n v="0"/>
    <m/>
    <m/>
  </r>
  <r>
    <x v="6"/>
    <s v="sabonete /desodorante / Shampoo"/>
    <n v="152.9"/>
    <n v="0"/>
    <n v="96.37"/>
    <n v="96.37"/>
    <n v="96.37"/>
    <m/>
    <m/>
    <m/>
    <m/>
    <m/>
  </r>
  <r>
    <x v="8"/>
    <s v="the town"/>
    <n v="64.16"/>
    <n v="64.16"/>
    <n v="64.16"/>
    <n v="64.16"/>
    <m/>
    <m/>
    <m/>
    <m/>
    <m/>
    <m/>
  </r>
  <r>
    <x v="8"/>
    <s v="the town"/>
    <n v="64.16"/>
    <n v="64.16"/>
    <n v="64.16"/>
    <n v="64.16"/>
    <m/>
    <m/>
    <m/>
    <m/>
    <m/>
    <m/>
  </r>
  <r>
    <x v="3"/>
    <s v="uber "/>
    <n v="26.38"/>
    <n v="38.17"/>
    <n v="31.56"/>
    <m/>
    <m/>
    <m/>
    <m/>
    <m/>
    <m/>
    <m/>
  </r>
  <r>
    <x v="3"/>
    <s v="uber "/>
    <n v="30.72"/>
    <n v="31.57"/>
    <m/>
    <m/>
    <m/>
    <m/>
    <m/>
    <m/>
    <m/>
    <m/>
  </r>
  <r>
    <x v="3"/>
    <s v="uber "/>
    <n v="29.91"/>
    <n v="37.020000000000003"/>
    <m/>
    <m/>
    <m/>
    <m/>
    <m/>
    <m/>
    <m/>
    <m/>
  </r>
  <r>
    <x v="3"/>
    <s v="uber "/>
    <n v="34.67"/>
    <n v="41.14"/>
    <m/>
    <m/>
    <m/>
    <m/>
    <m/>
    <m/>
    <m/>
    <m/>
  </r>
  <r>
    <x v="3"/>
    <s v="uber "/>
    <n v="24.94"/>
    <n v="34.729999999999997"/>
    <m/>
    <m/>
    <m/>
    <m/>
    <m/>
    <m/>
    <m/>
    <m/>
  </r>
  <r>
    <x v="3"/>
    <s v="uber "/>
    <n v="22.75"/>
    <n v="44.9"/>
    <m/>
    <m/>
    <m/>
    <m/>
    <m/>
    <m/>
    <m/>
    <m/>
  </r>
  <r>
    <x v="3"/>
    <s v="uber "/>
    <n v="27.97"/>
    <n v="46.76"/>
    <m/>
    <m/>
    <m/>
    <m/>
    <m/>
    <m/>
    <m/>
    <m/>
  </r>
  <r>
    <x v="3"/>
    <s v="uber "/>
    <n v="44.93"/>
    <n v="8.4700000000000006"/>
    <m/>
    <m/>
    <m/>
    <m/>
    <m/>
    <m/>
    <m/>
    <m/>
  </r>
  <r>
    <x v="3"/>
    <s v="uber "/>
    <n v="9.92"/>
    <n v="27.93"/>
    <m/>
    <m/>
    <m/>
    <m/>
    <m/>
    <m/>
    <m/>
    <m/>
  </r>
  <r>
    <x v="3"/>
    <s v="uber "/>
    <n v="34.99"/>
    <n v="15.48"/>
    <m/>
    <m/>
    <m/>
    <m/>
    <m/>
    <m/>
    <m/>
    <m/>
  </r>
  <r>
    <x v="3"/>
    <s v="uber "/>
    <n v="35.85"/>
    <n v="0"/>
    <m/>
    <m/>
    <m/>
    <m/>
    <m/>
    <m/>
    <m/>
    <m/>
  </r>
  <r>
    <x v="3"/>
    <s v="uber "/>
    <n v="24.91"/>
    <n v="0"/>
    <m/>
    <m/>
    <m/>
    <m/>
    <m/>
    <m/>
    <m/>
    <m/>
  </r>
  <r>
    <x v="3"/>
    <s v="uber "/>
    <n v="19.98"/>
    <n v="0"/>
    <m/>
    <m/>
    <m/>
    <m/>
    <m/>
    <m/>
    <m/>
    <m/>
  </r>
  <r>
    <x v="3"/>
    <s v="uber "/>
    <n v="14.9"/>
    <n v="0"/>
    <m/>
    <m/>
    <m/>
    <m/>
    <m/>
    <m/>
    <m/>
    <m/>
  </r>
  <r>
    <x v="3"/>
    <s v="uber "/>
    <n v="35.880000000000003"/>
    <n v="0"/>
    <m/>
    <m/>
    <m/>
    <m/>
    <m/>
    <m/>
    <m/>
    <m/>
  </r>
  <r>
    <x v="4"/>
    <s v="whey"/>
    <n v="51.58"/>
    <n v="51.58"/>
    <n v="51.58"/>
    <n v="51.58"/>
    <n v="51.58"/>
    <m/>
    <m/>
    <m/>
    <m/>
    <m/>
  </r>
  <r>
    <x v="8"/>
    <s v="Sorvete"/>
    <n v="65.900000000000006"/>
    <n v="0"/>
    <m/>
    <m/>
    <m/>
    <m/>
    <m/>
    <m/>
    <m/>
    <m/>
  </r>
  <r>
    <x v="8"/>
    <s v="Pipoca"/>
    <n v="21"/>
    <n v="0"/>
    <m/>
    <m/>
    <m/>
    <m/>
    <m/>
    <m/>
    <m/>
    <m/>
  </r>
  <r>
    <x v="8"/>
    <s v="Balada"/>
    <n v="289.17"/>
    <n v="0"/>
    <m/>
    <m/>
    <m/>
    <m/>
    <m/>
    <m/>
    <m/>
    <m/>
  </r>
  <r>
    <x v="6"/>
    <s v="Salão"/>
    <n v="105"/>
    <m/>
    <m/>
    <m/>
    <m/>
    <m/>
    <m/>
    <m/>
    <m/>
    <m/>
  </r>
  <r>
    <x v="1"/>
    <s v="Peixe"/>
    <n v="0"/>
    <n v="0"/>
    <n v="46.58"/>
    <m/>
    <m/>
    <m/>
    <m/>
    <m/>
    <m/>
    <m/>
  </r>
  <r>
    <x v="8"/>
    <s v="Mercado Livre"/>
    <n v="0"/>
    <n v="62.99"/>
    <m/>
    <m/>
    <m/>
    <m/>
    <m/>
    <m/>
    <m/>
    <m/>
  </r>
  <r>
    <x v="8"/>
    <s v="Mercado Livre"/>
    <n v="31.25"/>
    <n v="31.25"/>
    <n v="31.25"/>
    <n v="31.25"/>
    <n v="31.25"/>
    <m/>
    <m/>
    <m/>
    <m/>
    <m/>
  </r>
  <r>
    <x v="8"/>
    <s v="Mercado Livre"/>
    <m/>
    <n v="33.33"/>
    <n v="33.33"/>
    <n v="33.33"/>
    <m/>
    <m/>
    <m/>
    <m/>
    <m/>
    <m/>
  </r>
  <r>
    <x v="2"/>
    <s v="Amazon - livro"/>
    <m/>
    <n v="12.99"/>
    <m/>
    <m/>
    <m/>
    <m/>
    <m/>
    <m/>
    <m/>
    <m/>
  </r>
  <r>
    <x v="8"/>
    <s v="Rappi"/>
    <n v="106.29"/>
    <n v="108.29"/>
    <m/>
    <m/>
    <m/>
    <m/>
    <m/>
    <m/>
    <m/>
    <m/>
  </r>
  <r>
    <x v="8"/>
    <s v="Rappi"/>
    <n v="58.43"/>
    <n v="34.9"/>
    <m/>
    <m/>
    <m/>
    <m/>
    <m/>
    <m/>
    <m/>
    <m/>
  </r>
  <r>
    <x v="8"/>
    <s v="Rappi"/>
    <n v="87.14"/>
    <n v="56.71"/>
    <m/>
    <m/>
    <m/>
    <m/>
    <m/>
    <m/>
    <m/>
    <m/>
  </r>
  <r>
    <x v="8"/>
    <s v="Ifood"/>
    <m/>
    <n v="70.8"/>
    <m/>
    <m/>
    <m/>
    <m/>
    <m/>
    <m/>
    <m/>
    <m/>
  </r>
  <r>
    <x v="1"/>
    <s v="Mercado"/>
    <m/>
    <n v="73.23"/>
    <m/>
    <m/>
    <m/>
    <m/>
    <m/>
    <m/>
    <m/>
    <m/>
  </r>
  <r>
    <x v="8"/>
    <s v="Adega"/>
    <m/>
    <n v="123.85"/>
    <m/>
    <m/>
    <m/>
    <m/>
    <m/>
    <m/>
    <m/>
    <m/>
  </r>
  <r>
    <x v="8"/>
    <s v="Adega"/>
    <m/>
    <n v="110.31"/>
    <m/>
    <m/>
    <m/>
    <m/>
    <m/>
    <m/>
    <m/>
    <m/>
  </r>
  <r>
    <x v="8"/>
    <s v="cigarro"/>
    <m/>
    <n v="215"/>
    <m/>
    <m/>
    <m/>
    <m/>
    <m/>
    <m/>
    <m/>
    <m/>
  </r>
  <r>
    <x v="2"/>
    <s v="Dia dos namorados"/>
    <m/>
    <n v="134.94"/>
    <n v="112.86"/>
    <m/>
    <m/>
    <m/>
    <m/>
    <m/>
    <m/>
    <m/>
  </r>
  <r>
    <x v="2"/>
    <s v="Aniversario mãe Be"/>
    <m/>
    <n v="364.23"/>
    <m/>
    <m/>
    <m/>
    <m/>
    <m/>
    <m/>
    <m/>
    <m/>
  </r>
  <r>
    <x v="8"/>
    <s v="Viagem guaruja"/>
    <m/>
    <n v="485.53999999999996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706C3A-1838-4F40-B232-C6C3A9227D75}" name="PivotTable4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3" firstHeaderRow="0" firstDataRow="1" firstDataCol="1"/>
  <pivotFields count="12">
    <pivotField axis="axisRow" showAll="0">
      <items count="10">
        <item x="6"/>
        <item x="1"/>
        <item x="7"/>
        <item x="8"/>
        <item x="2"/>
        <item x="4"/>
        <item x="5"/>
        <item x="0"/>
        <item x="3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Maio" fld="2" baseField="0" baseItem="0" numFmtId="40"/>
    <dataField name="Sum of Junho" fld="3" baseField="0" baseItem="0" numFmtId="40"/>
    <dataField name="Sum of Julho" fld="4" baseField="0" baseItem="6" numFmtId="40"/>
    <dataField name="Sum of Agosto" fld="5" baseField="0" baseItem="0"/>
    <dataField name="Sum of Setembro" fld="6" baseField="0" baseItem="0"/>
    <dataField name="Sum of Outubro" fld="7" baseField="0" baseItem="0" numFmtId="40"/>
    <dataField name="Sum of Novembro" fld="8" baseField="0" baseItem="0"/>
    <dataField name="Sum of Dezembro" fld="9" baseField="0" baseItem="0"/>
    <dataField name="Sum of Janiero" fld="10" baseField="0" baseItem="0"/>
    <dataField name="Sum of Fevereiro" fld="11" baseField="0" baseItem="5" numFmtId="4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EA282-69B2-4683-B0DE-C35A5C59EA24}">
  <sheetPr filterMode="1"/>
  <dimension ref="A1:Q129"/>
  <sheetViews>
    <sheetView workbookViewId="0">
      <selection activeCell="H38" sqref="H38"/>
    </sheetView>
  </sheetViews>
  <sheetFormatPr defaultRowHeight="15" x14ac:dyDescent="0.25"/>
  <cols>
    <col min="1" max="1" width="10.7109375" bestFit="1" customWidth="1"/>
    <col min="2" max="2" width="9.140625" style="2"/>
    <col min="17" max="17" width="9.5703125" bestFit="1" customWidth="1"/>
  </cols>
  <sheetData>
    <row r="1" spans="1:3" x14ac:dyDescent="0.25">
      <c r="A1" s="1">
        <v>44206</v>
      </c>
      <c r="B1" s="2">
        <v>80.3</v>
      </c>
    </row>
    <row r="2" spans="1:3" hidden="1" x14ac:dyDescent="0.25">
      <c r="A2" s="1">
        <v>44207</v>
      </c>
      <c r="B2" s="2">
        <v>79.7</v>
      </c>
    </row>
    <row r="3" spans="1:3" hidden="1" x14ac:dyDescent="0.25">
      <c r="A3" s="1">
        <v>44208</v>
      </c>
      <c r="B3" s="2">
        <v>79.400000000000006</v>
      </c>
    </row>
    <row r="4" spans="1:3" hidden="1" x14ac:dyDescent="0.25">
      <c r="A4" s="1">
        <v>44209</v>
      </c>
      <c r="B4" s="2">
        <v>79</v>
      </c>
    </row>
    <row r="5" spans="1:3" hidden="1" x14ac:dyDescent="0.25">
      <c r="A5" s="1">
        <v>44210</v>
      </c>
      <c r="B5" s="2">
        <v>78.400000000000006</v>
      </c>
    </row>
    <row r="6" spans="1:3" hidden="1" x14ac:dyDescent="0.25">
      <c r="A6" s="1">
        <v>44211</v>
      </c>
      <c r="B6" s="2">
        <v>78.5</v>
      </c>
    </row>
    <row r="7" spans="1:3" hidden="1" x14ac:dyDescent="0.25">
      <c r="A7" s="1">
        <v>44212</v>
      </c>
      <c r="B7" s="2">
        <v>78</v>
      </c>
    </row>
    <row r="8" spans="1:3" hidden="1" x14ac:dyDescent="0.25">
      <c r="A8" s="1">
        <v>44213</v>
      </c>
      <c r="B8" s="111">
        <v>77.900000000000006</v>
      </c>
    </row>
    <row r="9" spans="1:3" hidden="1" x14ac:dyDescent="0.25">
      <c r="A9" s="1">
        <v>44214</v>
      </c>
      <c r="B9" s="111">
        <v>77.7</v>
      </c>
    </row>
    <row r="10" spans="1:3" x14ac:dyDescent="0.25">
      <c r="A10" s="1">
        <v>44215</v>
      </c>
      <c r="B10" s="2">
        <v>77.5</v>
      </c>
    </row>
    <row r="11" spans="1:3" x14ac:dyDescent="0.25">
      <c r="A11" s="1">
        <v>44216</v>
      </c>
      <c r="B11" s="2">
        <v>77.3</v>
      </c>
    </row>
    <row r="12" spans="1:3" x14ac:dyDescent="0.25">
      <c r="A12" s="1">
        <v>44217</v>
      </c>
      <c r="B12" s="2">
        <v>77.400000000000006</v>
      </c>
    </row>
    <row r="13" spans="1:3" x14ac:dyDescent="0.25">
      <c r="A13" s="1">
        <v>44218</v>
      </c>
      <c r="B13" s="2">
        <v>77.3</v>
      </c>
    </row>
    <row r="14" spans="1:3" x14ac:dyDescent="0.25">
      <c r="A14" s="1">
        <v>44219</v>
      </c>
      <c r="B14" s="2">
        <v>77.3</v>
      </c>
    </row>
    <row r="15" spans="1:3" x14ac:dyDescent="0.25">
      <c r="A15" s="1">
        <v>44220</v>
      </c>
      <c r="B15" s="2">
        <v>77.3</v>
      </c>
      <c r="C15" t="s">
        <v>0</v>
      </c>
    </row>
    <row r="16" spans="1:3" x14ac:dyDescent="0.25">
      <c r="A16" s="1">
        <v>44221</v>
      </c>
      <c r="B16" s="2">
        <v>77.3</v>
      </c>
      <c r="C16" t="s">
        <v>0</v>
      </c>
    </row>
    <row r="17" spans="1:3" hidden="1" x14ac:dyDescent="0.25">
      <c r="A17" s="1">
        <v>44222</v>
      </c>
      <c r="B17" s="111">
        <v>77.7</v>
      </c>
      <c r="C17" t="s">
        <v>1</v>
      </c>
    </row>
    <row r="18" spans="1:3" x14ac:dyDescent="0.25">
      <c r="A18" s="1">
        <v>44223</v>
      </c>
      <c r="B18" s="2">
        <v>77.5</v>
      </c>
      <c r="C18" t="s">
        <v>1</v>
      </c>
    </row>
    <row r="19" spans="1:3" x14ac:dyDescent="0.25">
      <c r="A19" s="1">
        <v>44224</v>
      </c>
      <c r="B19" s="2">
        <v>77</v>
      </c>
      <c r="C19" t="s">
        <v>1</v>
      </c>
    </row>
    <row r="20" spans="1:3" hidden="1" x14ac:dyDescent="0.25">
      <c r="A20" s="1">
        <v>44225</v>
      </c>
      <c r="B20" s="2">
        <v>77.599999999999994</v>
      </c>
    </row>
    <row r="21" spans="1:3" hidden="1" x14ac:dyDescent="0.25">
      <c r="A21" s="1">
        <v>44226</v>
      </c>
      <c r="B21" s="2">
        <v>77.599999999999994</v>
      </c>
      <c r="C21" t="s">
        <v>0</v>
      </c>
    </row>
    <row r="22" spans="1:3" hidden="1" x14ac:dyDescent="0.25">
      <c r="A22" s="1">
        <v>44227</v>
      </c>
      <c r="B22" s="2">
        <v>77.599999999999994</v>
      </c>
      <c r="C22" t="s">
        <v>0</v>
      </c>
    </row>
    <row r="23" spans="1:3" hidden="1" x14ac:dyDescent="0.25">
      <c r="A23" s="1">
        <v>44228</v>
      </c>
      <c r="B23" s="111">
        <v>77.900000000000006</v>
      </c>
      <c r="C23" t="s">
        <v>1</v>
      </c>
    </row>
    <row r="24" spans="1:3" hidden="1" x14ac:dyDescent="0.25">
      <c r="A24" s="1">
        <v>44229</v>
      </c>
      <c r="B24" s="111">
        <v>77.7</v>
      </c>
      <c r="C24" t="s">
        <v>1</v>
      </c>
    </row>
    <row r="25" spans="1:3" x14ac:dyDescent="0.25">
      <c r="A25" s="1">
        <v>44230</v>
      </c>
      <c r="B25" s="2">
        <v>77.2</v>
      </c>
    </row>
    <row r="26" spans="1:3" hidden="1" x14ac:dyDescent="0.25">
      <c r="A26" s="1">
        <v>44231</v>
      </c>
      <c r="B26" s="111">
        <v>77.7</v>
      </c>
      <c r="C26" t="s">
        <v>1</v>
      </c>
    </row>
    <row r="27" spans="1:3" hidden="1" x14ac:dyDescent="0.25">
      <c r="A27" s="1">
        <v>44232</v>
      </c>
      <c r="B27" s="2">
        <v>78</v>
      </c>
      <c r="C27" t="s">
        <v>1</v>
      </c>
    </row>
    <row r="28" spans="1:3" hidden="1" x14ac:dyDescent="0.25">
      <c r="A28" s="1">
        <v>44233</v>
      </c>
      <c r="B28" s="2">
        <v>76.900000000000006</v>
      </c>
      <c r="C28" t="s">
        <v>1</v>
      </c>
    </row>
    <row r="29" spans="1:3" hidden="1" x14ac:dyDescent="0.25">
      <c r="A29" s="1">
        <v>44234</v>
      </c>
      <c r="B29" s="2">
        <v>76.8</v>
      </c>
    </row>
    <row r="30" spans="1:3" hidden="1" x14ac:dyDescent="0.25">
      <c r="A30" s="1">
        <v>44235</v>
      </c>
      <c r="B30" s="2">
        <v>76.7</v>
      </c>
      <c r="C30" t="s">
        <v>1</v>
      </c>
    </row>
    <row r="31" spans="1:3" hidden="1" x14ac:dyDescent="0.25">
      <c r="A31" s="1">
        <v>44236</v>
      </c>
      <c r="B31" s="2">
        <v>76.900000000000006</v>
      </c>
      <c r="C31" t="s">
        <v>1</v>
      </c>
    </row>
    <row r="32" spans="1:3" hidden="1" x14ac:dyDescent="0.25">
      <c r="A32" s="1">
        <v>44237</v>
      </c>
      <c r="B32" s="2">
        <v>76.7</v>
      </c>
    </row>
    <row r="33" spans="1:3" x14ac:dyDescent="0.25">
      <c r="A33" s="1">
        <v>44238</v>
      </c>
      <c r="B33" s="2">
        <v>77.099999999999994</v>
      </c>
    </row>
    <row r="34" spans="1:3" hidden="1" x14ac:dyDescent="0.25">
      <c r="A34" s="1">
        <v>44239</v>
      </c>
      <c r="B34" s="111">
        <v>77.8</v>
      </c>
    </row>
    <row r="35" spans="1:3" x14ac:dyDescent="0.25">
      <c r="A35" s="1">
        <v>44240</v>
      </c>
      <c r="B35" s="2">
        <v>77.3</v>
      </c>
    </row>
    <row r="36" spans="1:3" hidden="1" x14ac:dyDescent="0.25">
      <c r="A36" s="1">
        <v>44241</v>
      </c>
      <c r="B36" s="2">
        <v>78</v>
      </c>
    </row>
    <row r="37" spans="1:3" hidden="1" x14ac:dyDescent="0.25">
      <c r="A37" s="1">
        <v>44242</v>
      </c>
      <c r="B37" s="2">
        <v>78</v>
      </c>
    </row>
    <row r="38" spans="1:3" x14ac:dyDescent="0.25">
      <c r="A38" s="1">
        <v>44243</v>
      </c>
      <c r="B38" s="2">
        <v>77</v>
      </c>
    </row>
    <row r="39" spans="1:3" x14ac:dyDescent="0.25">
      <c r="A39" s="1">
        <v>44244</v>
      </c>
      <c r="B39" s="2">
        <v>77.5</v>
      </c>
    </row>
    <row r="40" spans="1:3" hidden="1" x14ac:dyDescent="0.25">
      <c r="A40" s="1">
        <v>44245</v>
      </c>
      <c r="B40" s="2">
        <v>76.599999999999994</v>
      </c>
    </row>
    <row r="41" spans="1:3" hidden="1" x14ac:dyDescent="0.25">
      <c r="A41" s="1">
        <v>44246</v>
      </c>
      <c r="B41" s="2">
        <v>76.2</v>
      </c>
    </row>
    <row r="42" spans="1:3" hidden="1" x14ac:dyDescent="0.25">
      <c r="A42" s="1">
        <v>44247</v>
      </c>
      <c r="B42" s="2">
        <v>76.2</v>
      </c>
    </row>
    <row r="43" spans="1:3" hidden="1" x14ac:dyDescent="0.25">
      <c r="A43" s="1">
        <v>44248</v>
      </c>
      <c r="B43" s="2">
        <v>76.2</v>
      </c>
      <c r="C43" t="s">
        <v>0</v>
      </c>
    </row>
    <row r="44" spans="1:3" x14ac:dyDescent="0.25">
      <c r="A44" s="1">
        <v>44249</v>
      </c>
      <c r="B44" s="2">
        <v>77.400000000000006</v>
      </c>
      <c r="C44" t="s">
        <v>1</v>
      </c>
    </row>
    <row r="45" spans="1:3" hidden="1" x14ac:dyDescent="0.25">
      <c r="A45" s="1">
        <v>44250</v>
      </c>
      <c r="B45" s="2">
        <v>76.599999999999994</v>
      </c>
      <c r="C45" t="s">
        <v>1</v>
      </c>
    </row>
    <row r="46" spans="1:3" hidden="1" x14ac:dyDescent="0.25">
      <c r="A46" s="1">
        <v>44251</v>
      </c>
      <c r="B46" s="2">
        <v>76.599999999999994</v>
      </c>
      <c r="C46" t="s">
        <v>1</v>
      </c>
    </row>
    <row r="47" spans="1:3" hidden="1" x14ac:dyDescent="0.25">
      <c r="A47" s="1">
        <v>44252</v>
      </c>
      <c r="B47" s="2">
        <v>76.7</v>
      </c>
      <c r="C47" t="s">
        <v>1</v>
      </c>
    </row>
    <row r="48" spans="1:3" x14ac:dyDescent="0.25">
      <c r="A48" s="1">
        <v>44253</v>
      </c>
      <c r="B48" s="2">
        <v>77.5</v>
      </c>
      <c r="C48" t="s">
        <v>1</v>
      </c>
    </row>
    <row r="49" spans="1:3" hidden="1" x14ac:dyDescent="0.25">
      <c r="A49" s="1">
        <v>44254</v>
      </c>
      <c r="B49" s="111">
        <v>77.900000000000006</v>
      </c>
    </row>
    <row r="50" spans="1:3" hidden="1" x14ac:dyDescent="0.25">
      <c r="A50" s="1">
        <v>44255</v>
      </c>
      <c r="B50" s="2">
        <v>76.900000000000006</v>
      </c>
    </row>
    <row r="51" spans="1:3" hidden="1" x14ac:dyDescent="0.25">
      <c r="A51" s="1">
        <v>44256</v>
      </c>
      <c r="B51" s="2">
        <v>75.8</v>
      </c>
      <c r="C51" t="s">
        <v>1</v>
      </c>
    </row>
    <row r="52" spans="1:3" hidden="1" x14ac:dyDescent="0.25">
      <c r="A52" s="1">
        <v>44257</v>
      </c>
      <c r="B52" s="2">
        <v>76.400000000000006</v>
      </c>
      <c r="C52" t="s">
        <v>1</v>
      </c>
    </row>
    <row r="53" spans="1:3" hidden="1" x14ac:dyDescent="0.25">
      <c r="A53" s="1">
        <v>44258</v>
      </c>
      <c r="B53" s="2">
        <v>76.2</v>
      </c>
    </row>
    <row r="54" spans="1:3" hidden="1" x14ac:dyDescent="0.25">
      <c r="A54" s="1">
        <v>44259</v>
      </c>
      <c r="B54" s="2">
        <v>75.900000000000006</v>
      </c>
    </row>
    <row r="55" spans="1:3" hidden="1" x14ac:dyDescent="0.25">
      <c r="A55" s="1">
        <v>44260</v>
      </c>
      <c r="B55" s="2">
        <v>75.900000000000006</v>
      </c>
      <c r="C55" t="s">
        <v>1</v>
      </c>
    </row>
    <row r="56" spans="1:3" hidden="1" x14ac:dyDescent="0.25">
      <c r="A56" s="1">
        <v>44261</v>
      </c>
      <c r="B56" s="2">
        <v>76.400000000000006</v>
      </c>
    </row>
    <row r="57" spans="1:3" x14ac:dyDescent="0.25">
      <c r="A57" s="1">
        <v>44262</v>
      </c>
      <c r="B57" s="2">
        <v>77.400000000000006</v>
      </c>
    </row>
    <row r="58" spans="1:3" x14ac:dyDescent="0.25">
      <c r="A58" s="1">
        <v>44263</v>
      </c>
      <c r="B58" s="2">
        <v>77</v>
      </c>
    </row>
    <row r="59" spans="1:3" hidden="1" x14ac:dyDescent="0.25">
      <c r="A59" s="1">
        <v>44264</v>
      </c>
      <c r="B59" s="2">
        <v>76.8</v>
      </c>
    </row>
    <row r="60" spans="1:3" hidden="1" x14ac:dyDescent="0.25">
      <c r="A60" s="1">
        <v>44265</v>
      </c>
      <c r="B60" s="2">
        <v>75.599999999999994</v>
      </c>
    </row>
    <row r="61" spans="1:3" hidden="1" x14ac:dyDescent="0.25">
      <c r="A61" s="1">
        <v>44266</v>
      </c>
      <c r="B61" s="2">
        <v>75.3</v>
      </c>
    </row>
    <row r="62" spans="1:3" hidden="1" x14ac:dyDescent="0.25">
      <c r="A62" s="1">
        <v>44267</v>
      </c>
      <c r="B62" s="2">
        <v>75</v>
      </c>
    </row>
    <row r="63" spans="1:3" hidden="1" x14ac:dyDescent="0.25">
      <c r="A63" s="1">
        <v>44268</v>
      </c>
      <c r="B63" s="2">
        <v>75</v>
      </c>
    </row>
    <row r="64" spans="1:3" hidden="1" x14ac:dyDescent="0.25">
      <c r="A64" s="1">
        <v>44269</v>
      </c>
      <c r="B64" s="2">
        <v>76</v>
      </c>
    </row>
    <row r="65" spans="1:3" hidden="1" x14ac:dyDescent="0.25">
      <c r="A65" s="1">
        <v>44270</v>
      </c>
      <c r="B65" s="2">
        <v>76.400000000000006</v>
      </c>
    </row>
    <row r="66" spans="1:3" hidden="1" x14ac:dyDescent="0.25">
      <c r="A66" s="1">
        <v>44271</v>
      </c>
      <c r="B66" s="2">
        <v>75.2</v>
      </c>
      <c r="C66" t="s">
        <v>64</v>
      </c>
    </row>
    <row r="67" spans="1:3" hidden="1" x14ac:dyDescent="0.25">
      <c r="A67" s="1">
        <v>44272</v>
      </c>
      <c r="B67" s="2">
        <v>74.8</v>
      </c>
      <c r="C67" t="s">
        <v>64</v>
      </c>
    </row>
    <row r="68" spans="1:3" hidden="1" x14ac:dyDescent="0.25">
      <c r="A68" s="1">
        <v>44273</v>
      </c>
      <c r="B68" s="2">
        <v>74.7</v>
      </c>
      <c r="C68" t="s">
        <v>64</v>
      </c>
    </row>
    <row r="69" spans="1:3" hidden="1" x14ac:dyDescent="0.25">
      <c r="A69" s="1">
        <v>44274</v>
      </c>
      <c r="B69" s="2">
        <v>74.400000000000006</v>
      </c>
      <c r="C69" t="s">
        <v>64</v>
      </c>
    </row>
    <row r="70" spans="1:3" hidden="1" x14ac:dyDescent="0.25">
      <c r="A70" s="1">
        <v>44275</v>
      </c>
      <c r="B70" s="2">
        <v>74.599999999999994</v>
      </c>
    </row>
    <row r="71" spans="1:3" hidden="1" x14ac:dyDescent="0.25">
      <c r="A71" s="1">
        <v>44276</v>
      </c>
      <c r="B71" s="2">
        <v>75.599999999999994</v>
      </c>
    </row>
    <row r="72" spans="1:3" hidden="1" x14ac:dyDescent="0.25">
      <c r="A72" s="1">
        <v>44277</v>
      </c>
      <c r="B72" s="2">
        <v>76.099999999999994</v>
      </c>
    </row>
    <row r="73" spans="1:3" hidden="1" x14ac:dyDescent="0.25">
      <c r="A73" s="1">
        <v>44278</v>
      </c>
      <c r="B73" s="2">
        <v>75.599999999999994</v>
      </c>
    </row>
    <row r="74" spans="1:3" hidden="1" x14ac:dyDescent="0.25">
      <c r="A74" s="1">
        <v>44279</v>
      </c>
      <c r="B74" s="2">
        <v>75.099999999999994</v>
      </c>
    </row>
    <row r="75" spans="1:3" hidden="1" x14ac:dyDescent="0.25">
      <c r="A75" s="1">
        <v>44280</v>
      </c>
      <c r="B75" s="2">
        <v>75.3</v>
      </c>
    </row>
    <row r="76" spans="1:3" hidden="1" x14ac:dyDescent="0.25">
      <c r="A76" s="1">
        <v>44281</v>
      </c>
      <c r="B76" s="2">
        <v>75.5</v>
      </c>
    </row>
    <row r="77" spans="1:3" hidden="1" x14ac:dyDescent="0.25">
      <c r="A77" s="1">
        <v>44282</v>
      </c>
      <c r="B77" s="2">
        <v>75.599999999999994</v>
      </c>
    </row>
    <row r="78" spans="1:3" hidden="1" x14ac:dyDescent="0.25">
      <c r="A78" s="1">
        <v>44283</v>
      </c>
      <c r="B78" s="2">
        <v>75.8</v>
      </c>
    </row>
    <row r="79" spans="1:3" hidden="1" x14ac:dyDescent="0.25">
      <c r="A79" s="1">
        <v>44284</v>
      </c>
      <c r="B79" s="2">
        <v>75.099999999999994</v>
      </c>
    </row>
    <row r="80" spans="1:3" hidden="1" x14ac:dyDescent="0.25">
      <c r="A80" s="1">
        <v>44285</v>
      </c>
      <c r="B80" s="2">
        <v>74.7</v>
      </c>
    </row>
    <row r="81" spans="1:17" hidden="1" x14ac:dyDescent="0.25">
      <c r="A81" s="1">
        <v>44286</v>
      </c>
      <c r="B81" s="2">
        <v>75.099999999999994</v>
      </c>
    </row>
    <row r="82" spans="1:17" hidden="1" x14ac:dyDescent="0.25">
      <c r="A82" s="1">
        <v>44287</v>
      </c>
      <c r="B82" s="2">
        <v>74.8</v>
      </c>
    </row>
    <row r="83" spans="1:17" hidden="1" x14ac:dyDescent="0.25">
      <c r="A83" s="1">
        <v>44288</v>
      </c>
      <c r="B83" s="2">
        <v>75.2</v>
      </c>
    </row>
    <row r="84" spans="1:17" hidden="1" x14ac:dyDescent="0.25">
      <c r="A84" s="1">
        <v>44289</v>
      </c>
      <c r="B84" s="2">
        <v>75.3</v>
      </c>
    </row>
    <row r="85" spans="1:17" hidden="1" x14ac:dyDescent="0.25">
      <c r="A85" s="1">
        <v>44290</v>
      </c>
      <c r="B85" s="2">
        <v>76.3</v>
      </c>
    </row>
    <row r="86" spans="1:17" hidden="1" x14ac:dyDescent="0.25">
      <c r="A86" s="1">
        <v>44291</v>
      </c>
      <c r="B86" s="2">
        <v>75.7</v>
      </c>
    </row>
    <row r="87" spans="1:17" hidden="1" x14ac:dyDescent="0.25">
      <c r="A87" s="1">
        <v>44292</v>
      </c>
      <c r="B87" s="2">
        <v>75.2</v>
      </c>
    </row>
    <row r="88" spans="1:17" hidden="1" x14ac:dyDescent="0.25">
      <c r="A88" s="1">
        <v>44293</v>
      </c>
      <c r="B88" s="2">
        <v>75.8</v>
      </c>
    </row>
    <row r="89" spans="1:17" hidden="1" x14ac:dyDescent="0.25">
      <c r="A89" s="1">
        <v>44294</v>
      </c>
      <c r="B89" s="2">
        <v>75.3</v>
      </c>
    </row>
    <row r="90" spans="1:17" hidden="1" x14ac:dyDescent="0.25">
      <c r="A90" s="1">
        <v>44295</v>
      </c>
      <c r="B90" s="2">
        <v>75.2</v>
      </c>
    </row>
    <row r="91" spans="1:17" hidden="1" x14ac:dyDescent="0.25">
      <c r="A91" s="1">
        <v>44296</v>
      </c>
      <c r="B91" s="2">
        <v>75</v>
      </c>
    </row>
    <row r="92" spans="1:17" hidden="1" x14ac:dyDescent="0.25">
      <c r="A92" s="1">
        <v>44297</v>
      </c>
      <c r="B92" s="2">
        <v>75.400000000000006</v>
      </c>
    </row>
    <row r="93" spans="1:17" hidden="1" x14ac:dyDescent="0.25">
      <c r="A93" s="1">
        <v>44298</v>
      </c>
      <c r="B93" s="2">
        <v>75.5</v>
      </c>
    </row>
    <row r="94" spans="1:17" hidden="1" x14ac:dyDescent="0.25">
      <c r="A94" s="1">
        <v>44299</v>
      </c>
      <c r="B94" s="2">
        <v>75.099999999999994</v>
      </c>
    </row>
    <row r="95" spans="1:17" hidden="1" x14ac:dyDescent="0.25">
      <c r="A95" s="1">
        <v>44300</v>
      </c>
      <c r="B95" s="2">
        <v>75.2</v>
      </c>
    </row>
    <row r="96" spans="1:17" hidden="1" x14ac:dyDescent="0.25">
      <c r="A96" s="1">
        <v>44301</v>
      </c>
      <c r="B96" s="2">
        <v>74.8</v>
      </c>
      <c r="Q96" s="5"/>
    </row>
    <row r="97" spans="1:17" hidden="1" x14ac:dyDescent="0.25">
      <c r="A97" s="1">
        <v>44302</v>
      </c>
      <c r="B97" s="2">
        <v>74.7</v>
      </c>
      <c r="Q97" s="5"/>
    </row>
    <row r="98" spans="1:17" hidden="1" x14ac:dyDescent="0.25">
      <c r="A98" s="1">
        <v>44303</v>
      </c>
      <c r="B98" s="2">
        <v>75.3</v>
      </c>
    </row>
    <row r="99" spans="1:17" hidden="1" x14ac:dyDescent="0.25">
      <c r="A99" s="1">
        <v>44304</v>
      </c>
      <c r="B99" s="2">
        <v>75.400000000000006</v>
      </c>
    </row>
    <row r="100" spans="1:17" hidden="1" x14ac:dyDescent="0.25">
      <c r="A100" s="1">
        <v>44305</v>
      </c>
      <c r="B100" s="2">
        <v>75</v>
      </c>
    </row>
    <row r="101" spans="1:17" hidden="1" x14ac:dyDescent="0.25">
      <c r="A101" s="1">
        <v>44306</v>
      </c>
      <c r="B101" s="2">
        <v>74.8</v>
      </c>
    </row>
    <row r="102" spans="1:17" hidden="1" x14ac:dyDescent="0.25">
      <c r="A102" s="1">
        <v>44307</v>
      </c>
      <c r="B102" s="2">
        <v>75.5</v>
      </c>
    </row>
    <row r="103" spans="1:17" hidden="1" x14ac:dyDescent="0.25">
      <c r="A103" s="1">
        <v>44308</v>
      </c>
      <c r="B103" s="2">
        <v>76.5</v>
      </c>
    </row>
    <row r="104" spans="1:17" hidden="1" x14ac:dyDescent="0.25">
      <c r="A104" s="1">
        <v>44309</v>
      </c>
      <c r="B104" s="2">
        <v>75.5</v>
      </c>
    </row>
    <row r="105" spans="1:17" hidden="1" x14ac:dyDescent="0.25">
      <c r="A105" s="1">
        <v>44310</v>
      </c>
      <c r="B105" s="2">
        <v>75.5</v>
      </c>
    </row>
    <row r="106" spans="1:17" hidden="1" x14ac:dyDescent="0.25">
      <c r="A106" s="1">
        <v>44311</v>
      </c>
      <c r="B106" s="2">
        <v>75.3</v>
      </c>
    </row>
    <row r="107" spans="1:17" hidden="1" x14ac:dyDescent="0.25">
      <c r="A107" s="1">
        <v>44312</v>
      </c>
      <c r="B107" s="2">
        <v>75.400000000000006</v>
      </c>
    </row>
    <row r="108" spans="1:17" hidden="1" x14ac:dyDescent="0.25">
      <c r="A108" s="1">
        <v>44313</v>
      </c>
      <c r="B108" s="2">
        <v>76</v>
      </c>
    </row>
    <row r="109" spans="1:17" hidden="1" x14ac:dyDescent="0.25">
      <c r="A109" s="1">
        <v>44314</v>
      </c>
      <c r="B109" s="2">
        <v>75.2</v>
      </c>
    </row>
    <row r="110" spans="1:17" hidden="1" x14ac:dyDescent="0.25">
      <c r="A110" s="1">
        <v>44315</v>
      </c>
      <c r="B110" s="2">
        <v>75.2</v>
      </c>
    </row>
    <row r="111" spans="1:17" hidden="1" x14ac:dyDescent="0.25">
      <c r="A111" s="1">
        <v>44316</v>
      </c>
      <c r="B111" s="2">
        <v>75</v>
      </c>
    </row>
    <row r="112" spans="1:17" hidden="1" x14ac:dyDescent="0.25">
      <c r="A112" s="1">
        <v>44317</v>
      </c>
      <c r="B112" s="2">
        <v>75.599999999999994</v>
      </c>
    </row>
    <row r="113" spans="1:2" hidden="1" x14ac:dyDescent="0.25">
      <c r="A113" s="1">
        <v>44318</v>
      </c>
      <c r="B113" s="2">
        <v>75.3</v>
      </c>
    </row>
    <row r="114" spans="1:2" hidden="1" x14ac:dyDescent="0.25">
      <c r="A114" s="1">
        <v>44319</v>
      </c>
      <c r="B114" s="2">
        <v>76</v>
      </c>
    </row>
    <row r="115" spans="1:2" hidden="1" x14ac:dyDescent="0.25">
      <c r="A115" s="1">
        <v>44320</v>
      </c>
      <c r="B115" s="2">
        <v>75.599999999999994</v>
      </c>
    </row>
    <row r="116" spans="1:2" hidden="1" x14ac:dyDescent="0.25">
      <c r="A116" s="1">
        <v>44321</v>
      </c>
      <c r="B116" s="2">
        <v>75.7</v>
      </c>
    </row>
    <row r="117" spans="1:2" hidden="1" x14ac:dyDescent="0.25">
      <c r="A117" s="1">
        <v>44322</v>
      </c>
      <c r="B117" s="2">
        <v>76.2</v>
      </c>
    </row>
    <row r="118" spans="1:2" hidden="1" x14ac:dyDescent="0.25">
      <c r="A118" s="1">
        <v>44323</v>
      </c>
      <c r="B118" s="2">
        <v>75.099999999999994</v>
      </c>
    </row>
    <row r="119" spans="1:2" hidden="1" x14ac:dyDescent="0.25">
      <c r="A119" s="1">
        <v>44324</v>
      </c>
      <c r="B119" s="2">
        <v>76</v>
      </c>
    </row>
    <row r="120" spans="1:2" hidden="1" x14ac:dyDescent="0.25">
      <c r="A120" s="1">
        <v>44325</v>
      </c>
      <c r="B120" s="2">
        <v>76</v>
      </c>
    </row>
    <row r="121" spans="1:2" hidden="1" x14ac:dyDescent="0.25">
      <c r="A121" s="1">
        <v>44326</v>
      </c>
      <c r="B121" s="2">
        <v>76.400000000000006</v>
      </c>
    </row>
    <row r="122" spans="1:2" hidden="1" x14ac:dyDescent="0.25">
      <c r="A122" s="1">
        <v>44327</v>
      </c>
    </row>
    <row r="123" spans="1:2" hidden="1" x14ac:dyDescent="0.25">
      <c r="A123" s="1">
        <v>44328</v>
      </c>
    </row>
    <row r="124" spans="1:2" hidden="1" x14ac:dyDescent="0.25">
      <c r="A124" s="1">
        <v>44329</v>
      </c>
    </row>
    <row r="125" spans="1:2" hidden="1" x14ac:dyDescent="0.25">
      <c r="A125" s="1">
        <v>44330</v>
      </c>
    </row>
    <row r="126" spans="1:2" hidden="1" x14ac:dyDescent="0.25">
      <c r="A126" s="1">
        <v>44331</v>
      </c>
    </row>
    <row r="127" spans="1:2" hidden="1" x14ac:dyDescent="0.25">
      <c r="A127" s="1">
        <v>44332</v>
      </c>
    </row>
    <row r="128" spans="1:2" hidden="1" x14ac:dyDescent="0.25">
      <c r="A128" s="1">
        <v>44333</v>
      </c>
    </row>
    <row r="129" spans="1:1" hidden="1" x14ac:dyDescent="0.25">
      <c r="A129" s="1">
        <v>44334</v>
      </c>
    </row>
  </sheetData>
  <autoFilter ref="A1:B129" xr:uid="{3FCEA282-69B2-4683-B0DE-C35A5C59EA24}">
    <filterColumn colId="1">
      <filters>
        <filter val="77,0"/>
        <filter val="77,1"/>
        <filter val="77,2"/>
        <filter val="77,3"/>
        <filter val="77,4"/>
        <filter val="77,5"/>
      </filters>
    </filterColumn>
  </autoFilter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57400-167F-414F-BA3D-ED91789EF2FC}">
  <dimension ref="A1:X53"/>
  <sheetViews>
    <sheetView tabSelected="1" topLeftCell="B1" workbookViewId="0">
      <pane ySplit="2" topLeftCell="A3" activePane="bottomLeft" state="frozen"/>
      <selection pane="bottomLeft" activeCell="J10" sqref="J10"/>
    </sheetView>
  </sheetViews>
  <sheetFormatPr defaultRowHeight="15" customHeight="1" x14ac:dyDescent="0.25"/>
  <cols>
    <col min="1" max="1" width="18.85546875" bestFit="1" customWidth="1"/>
    <col min="2" max="2" width="8.28515625" customWidth="1"/>
    <col min="3" max="3" width="5.7109375" bestFit="1" customWidth="1"/>
    <col min="4" max="4" width="9.7109375" bestFit="1" customWidth="1"/>
    <col min="5" max="5" width="11.28515625" style="88" customWidth="1"/>
    <col min="6" max="6" width="11.28515625" style="89" customWidth="1"/>
    <col min="7" max="7" width="18.42578125" style="5" customWidth="1"/>
    <col min="8" max="8" width="14.140625" customWidth="1"/>
    <col min="9" max="9" width="17" customWidth="1"/>
    <col min="10" max="10" width="12.7109375" style="3" bestFit="1" customWidth="1"/>
    <col min="11" max="11" width="10.85546875" style="3" bestFit="1" customWidth="1"/>
    <col min="12" max="12" width="9.5703125" style="4" bestFit="1" customWidth="1"/>
    <col min="13" max="13" width="5.7109375" bestFit="1" customWidth="1"/>
    <col min="14" max="14" width="5.7109375" customWidth="1"/>
    <col min="15" max="15" width="11.42578125" style="10" bestFit="1" customWidth="1"/>
    <col min="16" max="16" width="5.7109375" customWidth="1"/>
    <col min="17" max="23" width="11" customWidth="1"/>
    <col min="24" max="24" width="10.7109375" bestFit="1" customWidth="1"/>
  </cols>
  <sheetData>
    <row r="1" spans="1:24" x14ac:dyDescent="0.25">
      <c r="A1" s="143" t="s">
        <v>121</v>
      </c>
      <c r="B1" s="143" t="s">
        <v>3</v>
      </c>
      <c r="C1" s="143" t="s">
        <v>4</v>
      </c>
      <c r="D1" s="143"/>
      <c r="E1" s="143" t="s">
        <v>5</v>
      </c>
      <c r="F1" s="143"/>
      <c r="G1" s="144" t="s">
        <v>6</v>
      </c>
      <c r="H1" s="143" t="s">
        <v>7</v>
      </c>
      <c r="I1" s="127" t="s">
        <v>8</v>
      </c>
      <c r="J1" s="143" t="s">
        <v>93</v>
      </c>
      <c r="K1" s="143" t="s">
        <v>94</v>
      </c>
      <c r="L1" s="124">
        <v>14375478</v>
      </c>
    </row>
    <row r="2" spans="1:24" x14ac:dyDescent="0.25">
      <c r="A2" s="143"/>
      <c r="B2" s="143"/>
      <c r="C2" s="127" t="s">
        <v>9</v>
      </c>
      <c r="D2" s="127" t="s">
        <v>10</v>
      </c>
      <c r="E2" s="127" t="s">
        <v>9</v>
      </c>
      <c r="F2" s="128" t="s">
        <v>10</v>
      </c>
      <c r="G2" s="144"/>
      <c r="H2" s="143"/>
      <c r="I2" s="127"/>
      <c r="J2" s="143"/>
      <c r="K2" s="143"/>
      <c r="L2"/>
      <c r="O2"/>
      <c r="Q2" s="112" t="s">
        <v>299</v>
      </c>
      <c r="R2" s="112" t="s">
        <v>295</v>
      </c>
      <c r="S2" s="112" t="s">
        <v>301</v>
      </c>
      <c r="T2" s="112" t="s">
        <v>296</v>
      </c>
      <c r="U2" s="112" t="s">
        <v>297</v>
      </c>
      <c r="V2" s="112" t="s">
        <v>298</v>
      </c>
      <c r="W2" s="112" t="s">
        <v>300</v>
      </c>
    </row>
    <row r="3" spans="1:24" x14ac:dyDescent="0.25">
      <c r="A3" s="35" t="s">
        <v>21</v>
      </c>
      <c r="B3" s="35" t="s">
        <v>303</v>
      </c>
      <c r="C3" s="35">
        <v>21</v>
      </c>
      <c r="D3" s="35">
        <v>100</v>
      </c>
      <c r="E3" s="84">
        <v>9.91</v>
      </c>
      <c r="F3" s="85">
        <v>9.91</v>
      </c>
      <c r="G3" s="36">
        <v>991</v>
      </c>
      <c r="H3" s="35" t="s">
        <v>16</v>
      </c>
      <c r="I3" s="35" t="s">
        <v>14</v>
      </c>
      <c r="J3" s="37">
        <v>60.86</v>
      </c>
      <c r="K3" s="37">
        <f>J3*C3</f>
        <v>1278.06</v>
      </c>
      <c r="L3" s="107">
        <f>K3-G3</f>
        <v>287.05999999999995</v>
      </c>
      <c r="M3" t="s">
        <v>65</v>
      </c>
      <c r="O3" s="136">
        <f>K3/G3</f>
        <v>1.2896670030272452</v>
      </c>
      <c r="P3" s="5"/>
      <c r="Q3" s="21">
        <v>5.8440000000000003</v>
      </c>
      <c r="R3" s="5">
        <v>200</v>
      </c>
      <c r="S3" s="126">
        <f>R3*Q3</f>
        <v>1168.8</v>
      </c>
      <c r="T3" s="126">
        <f>S3*1.1%</f>
        <v>12.856800000000002</v>
      </c>
      <c r="U3" s="126">
        <f>S3*0.802%</f>
        <v>9.3737760000000012</v>
      </c>
      <c r="V3" s="126">
        <f>S3+T3+U3</f>
        <v>1191.0305759999999</v>
      </c>
      <c r="W3" s="126">
        <f>V3/R3</f>
        <v>5.9551528799999991</v>
      </c>
      <c r="X3" s="1">
        <v>45325</v>
      </c>
    </row>
    <row r="4" spans="1:24" x14ac:dyDescent="0.25">
      <c r="A4" s="33" t="s">
        <v>26</v>
      </c>
      <c r="B4" s="33" t="s">
        <v>27</v>
      </c>
      <c r="C4" s="33">
        <v>120</v>
      </c>
      <c r="D4" s="33">
        <v>120</v>
      </c>
      <c r="E4" s="86">
        <v>20.024999999999999</v>
      </c>
      <c r="F4" s="87">
        <v>80.099999999999994</v>
      </c>
      <c r="G4" s="34">
        <v>2403</v>
      </c>
      <c r="H4" s="33" t="s">
        <v>16</v>
      </c>
      <c r="I4" s="33" t="s">
        <v>14</v>
      </c>
      <c r="J4" s="8">
        <v>3.9</v>
      </c>
      <c r="K4" s="63">
        <f>J4*C4</f>
        <v>468</v>
      </c>
      <c r="L4" s="4">
        <f>K4-G4</f>
        <v>-1935</v>
      </c>
      <c r="M4" t="s">
        <v>65</v>
      </c>
      <c r="O4" s="64">
        <f t="shared" ref="O4" si="0">K4/G4</f>
        <v>0.19475655430711611</v>
      </c>
      <c r="P4" s="4"/>
      <c r="Q4" s="21">
        <v>5.8042999999999996</v>
      </c>
      <c r="R4" s="5">
        <v>160</v>
      </c>
      <c r="S4" s="126">
        <f t="shared" ref="S4:S11" si="1">R4*Q4</f>
        <v>928.68799999999987</v>
      </c>
      <c r="T4" s="126">
        <f t="shared" ref="T4:T8" si="2">S4*1.1%</f>
        <v>10.215567999999999</v>
      </c>
      <c r="U4" s="126">
        <f t="shared" ref="U4:U9" si="3">S4*0.802%</f>
        <v>7.4480777600000003</v>
      </c>
      <c r="V4" s="126">
        <f t="shared" ref="V4:V11" si="4">S4+T4+U4</f>
        <v>946.35164575999988</v>
      </c>
      <c r="W4" s="126">
        <f t="shared" ref="W4:W11" si="5">V4/R4</f>
        <v>5.9146977859999996</v>
      </c>
      <c r="X4" s="1">
        <v>45328</v>
      </c>
    </row>
    <row r="5" spans="1:24" x14ac:dyDescent="0.25">
      <c r="A5" s="33" t="s">
        <v>36</v>
      </c>
      <c r="B5" s="33" t="s">
        <v>95</v>
      </c>
      <c r="C5" s="33">
        <v>300</v>
      </c>
      <c r="D5" s="33">
        <v>300</v>
      </c>
      <c r="E5" s="86">
        <v>40.950000000000003</v>
      </c>
      <c r="F5" s="87">
        <v>4.0950000000000006</v>
      </c>
      <c r="G5" s="34">
        <v>1228.5</v>
      </c>
      <c r="H5" s="33" t="s">
        <v>16</v>
      </c>
      <c r="I5" s="33" t="s">
        <v>14</v>
      </c>
      <c r="J5" s="8">
        <v>3.33</v>
      </c>
      <c r="K5" s="63">
        <f>J5*C5</f>
        <v>999</v>
      </c>
      <c r="L5" s="4">
        <f>K5-G5</f>
        <v>-229.5</v>
      </c>
      <c r="M5" t="s">
        <v>65</v>
      </c>
      <c r="O5" s="64">
        <f t="shared" ref="O5" si="6">K5/G5</f>
        <v>0.81318681318681318</v>
      </c>
      <c r="P5" s="4"/>
      <c r="Q5" s="21">
        <v>5.7628000000000004</v>
      </c>
      <c r="R5" s="5">
        <v>440</v>
      </c>
      <c r="S5" s="126">
        <f t="shared" si="1"/>
        <v>2535.6320000000001</v>
      </c>
      <c r="T5" s="126">
        <f t="shared" si="2"/>
        <v>27.891952000000003</v>
      </c>
      <c r="U5" s="126">
        <f t="shared" si="3"/>
        <v>20.335768640000005</v>
      </c>
      <c r="V5" s="126">
        <f t="shared" si="4"/>
        <v>2583.85972064</v>
      </c>
      <c r="W5" s="126">
        <f t="shared" si="5"/>
        <v>5.8724084559999996</v>
      </c>
      <c r="X5" s="1">
        <v>45329</v>
      </c>
    </row>
    <row r="6" spans="1:24" x14ac:dyDescent="0.25">
      <c r="A6" s="35" t="s">
        <v>37</v>
      </c>
      <c r="B6" s="35" t="s">
        <v>38</v>
      </c>
      <c r="C6" s="35">
        <v>100</v>
      </c>
      <c r="D6" s="35">
        <v>100</v>
      </c>
      <c r="E6" s="84">
        <v>11.1</v>
      </c>
      <c r="F6" s="85">
        <v>11.1</v>
      </c>
      <c r="G6" s="36">
        <v>1110</v>
      </c>
      <c r="H6" s="35" t="s">
        <v>16</v>
      </c>
      <c r="I6" s="35" t="s">
        <v>14</v>
      </c>
      <c r="J6" s="37">
        <v>17.82</v>
      </c>
      <c r="K6" s="37">
        <f>J6*C6</f>
        <v>1782</v>
      </c>
      <c r="L6" s="107">
        <f>K6-G6</f>
        <v>672</v>
      </c>
      <c r="M6" t="s">
        <v>65</v>
      </c>
      <c r="O6" s="136">
        <f t="shared" ref="O6" si="7">K6/G6</f>
        <v>1.6054054054054054</v>
      </c>
      <c r="P6" s="28"/>
      <c r="Q6" s="21">
        <v>5.8090999999999999</v>
      </c>
      <c r="R6" s="5">
        <v>200</v>
      </c>
      <c r="S6" s="126">
        <f t="shared" si="1"/>
        <v>1161.82</v>
      </c>
      <c r="T6" s="126">
        <f t="shared" si="2"/>
        <v>12.78002</v>
      </c>
      <c r="U6" s="126">
        <f t="shared" si="3"/>
        <v>9.3177964000000006</v>
      </c>
      <c r="V6" s="126">
        <f t="shared" si="4"/>
        <v>1183.9178163999998</v>
      </c>
      <c r="W6" s="126">
        <f t="shared" si="5"/>
        <v>5.919589081999999</v>
      </c>
      <c r="X6" s="1">
        <v>45332</v>
      </c>
    </row>
    <row r="7" spans="1:24" x14ac:dyDescent="0.25">
      <c r="A7" s="33" t="s">
        <v>39</v>
      </c>
      <c r="B7" s="33" t="s">
        <v>40</v>
      </c>
      <c r="C7" s="33">
        <f>100/10/10</f>
        <v>1</v>
      </c>
      <c r="D7" s="33">
        <v>1</v>
      </c>
      <c r="E7" s="86">
        <v>1.44</v>
      </c>
      <c r="F7" s="87">
        <v>1.44</v>
      </c>
      <c r="G7" s="34">
        <v>144</v>
      </c>
      <c r="H7" s="33" t="s">
        <v>16</v>
      </c>
      <c r="I7" s="33" t="s">
        <v>14</v>
      </c>
      <c r="J7" s="134">
        <v>0.1</v>
      </c>
      <c r="K7" s="135">
        <f>J7*(C7+C8)</f>
        <v>0.4</v>
      </c>
      <c r="L7" s="4">
        <f>K7-(G7+G8)</f>
        <v>-590.6</v>
      </c>
      <c r="M7" t="s">
        <v>65</v>
      </c>
      <c r="O7" s="132">
        <f>K7/(G7+G8)</f>
        <v>6.7681895093062606E-4</v>
      </c>
      <c r="P7" s="29"/>
      <c r="Q7" s="21">
        <v>5.6986999999999997</v>
      </c>
      <c r="R7" s="5">
        <v>500</v>
      </c>
      <c r="S7" s="126">
        <f t="shared" si="1"/>
        <v>2849.35</v>
      </c>
      <c r="T7" s="126">
        <f t="shared" si="2"/>
        <v>31.342850000000002</v>
      </c>
      <c r="U7" s="126">
        <f t="shared" si="3"/>
        <v>22.851787000000002</v>
      </c>
      <c r="V7" s="126">
        <f t="shared" si="4"/>
        <v>2903.544637</v>
      </c>
      <c r="W7" s="126">
        <f t="shared" si="5"/>
        <v>5.807089274</v>
      </c>
      <c r="X7" s="1">
        <v>45339</v>
      </c>
    </row>
    <row r="8" spans="1:24" x14ac:dyDescent="0.25">
      <c r="A8" s="33" t="s">
        <v>41</v>
      </c>
      <c r="B8" s="33" t="s">
        <v>40</v>
      </c>
      <c r="C8" s="33">
        <f>300/10/10</f>
        <v>3</v>
      </c>
      <c r="D8" s="33">
        <v>3</v>
      </c>
      <c r="E8" s="86">
        <v>1.49</v>
      </c>
      <c r="F8" s="87">
        <v>1.49</v>
      </c>
      <c r="G8" s="34">
        <v>447</v>
      </c>
      <c r="H8" s="33" t="s">
        <v>16</v>
      </c>
      <c r="I8" s="33" t="s">
        <v>14</v>
      </c>
      <c r="J8" s="134"/>
      <c r="K8" s="135"/>
      <c r="M8" t="s">
        <v>65</v>
      </c>
      <c r="O8" s="132"/>
      <c r="P8" s="7"/>
      <c r="Q8" s="21">
        <v>5.6844599999999996</v>
      </c>
      <c r="R8" s="5">
        <v>500</v>
      </c>
      <c r="S8" s="126">
        <f t="shared" si="1"/>
        <v>2842.23</v>
      </c>
      <c r="T8" s="126">
        <f t="shared" si="2"/>
        <v>31.264530000000004</v>
      </c>
      <c r="U8" s="126">
        <f t="shared" si="3"/>
        <v>22.794684600000004</v>
      </c>
      <c r="V8" s="126">
        <f t="shared" si="4"/>
        <v>2896.2892145999999</v>
      </c>
      <c r="W8" s="126">
        <f t="shared" si="5"/>
        <v>5.7925784291999998</v>
      </c>
      <c r="X8" s="1">
        <v>45341</v>
      </c>
    </row>
    <row r="9" spans="1:24" x14ac:dyDescent="0.25">
      <c r="A9" s="35" t="s">
        <v>48</v>
      </c>
      <c r="B9" s="35" t="s">
        <v>49</v>
      </c>
      <c r="C9" s="35">
        <v>30</v>
      </c>
      <c r="D9" s="35">
        <v>30</v>
      </c>
      <c r="E9" s="84">
        <v>110.46</v>
      </c>
      <c r="F9" s="85">
        <v>110.46</v>
      </c>
      <c r="G9" s="36">
        <v>1104.5999999999999</v>
      </c>
      <c r="H9" s="35" t="s">
        <v>16</v>
      </c>
      <c r="I9" s="35" t="s">
        <v>14</v>
      </c>
      <c r="J9" s="37">
        <v>35.6</v>
      </c>
      <c r="K9" s="37">
        <f>J9*C9</f>
        <v>1068</v>
      </c>
      <c r="L9" s="107">
        <f>K9-G9</f>
        <v>-36.599999999999909</v>
      </c>
      <c r="M9" t="s">
        <v>65</v>
      </c>
      <c r="N9" s="7"/>
      <c r="O9" s="136">
        <f>K9/G9</f>
        <v>0.96686583378598601</v>
      </c>
      <c r="Q9" s="21">
        <v>5.7079000000000004</v>
      </c>
      <c r="R9" s="5">
        <v>1500</v>
      </c>
      <c r="S9" s="126">
        <f t="shared" si="1"/>
        <v>8561.85</v>
      </c>
      <c r="T9" s="126">
        <v>0</v>
      </c>
      <c r="U9" s="126">
        <f t="shared" si="3"/>
        <v>68.666037000000017</v>
      </c>
      <c r="V9" s="126">
        <f t="shared" si="4"/>
        <v>8630.5160370000012</v>
      </c>
      <c r="W9" s="126">
        <f t="shared" si="5"/>
        <v>5.7536773580000009</v>
      </c>
      <c r="X9" s="1">
        <v>45435</v>
      </c>
    </row>
    <row r="10" spans="1:24" x14ac:dyDescent="0.25">
      <c r="A10" s="35" t="s">
        <v>62</v>
      </c>
      <c r="B10" s="35" t="s">
        <v>63</v>
      </c>
      <c r="C10" s="35">
        <v>30</v>
      </c>
      <c r="D10" s="35">
        <v>30</v>
      </c>
      <c r="E10" s="84">
        <v>42</v>
      </c>
      <c r="F10" s="85">
        <v>42</v>
      </c>
      <c r="G10" s="36">
        <v>1260</v>
      </c>
      <c r="H10" s="35" t="s">
        <v>16</v>
      </c>
      <c r="I10" s="35" t="s">
        <v>14</v>
      </c>
      <c r="J10" s="37">
        <v>9.92</v>
      </c>
      <c r="K10" s="37">
        <f>J10*C10</f>
        <v>297.60000000000002</v>
      </c>
      <c r="L10" s="4">
        <f>K10-G10</f>
        <v>-962.4</v>
      </c>
      <c r="M10" t="s">
        <v>65</v>
      </c>
      <c r="O10" s="64">
        <f>K10/G10</f>
        <v>0.2361904761904762</v>
      </c>
      <c r="Q10" s="129">
        <v>5.0999999999999996</v>
      </c>
      <c r="R10" s="130">
        <v>500</v>
      </c>
      <c r="S10" s="126">
        <f t="shared" si="1"/>
        <v>2550</v>
      </c>
      <c r="T10" s="126">
        <v>0</v>
      </c>
      <c r="U10" s="126">
        <v>0</v>
      </c>
      <c r="V10" s="126">
        <f t="shared" si="4"/>
        <v>2550</v>
      </c>
      <c r="W10" s="126">
        <f t="shared" si="5"/>
        <v>5.0999999999999996</v>
      </c>
    </row>
    <row r="11" spans="1:24" x14ac:dyDescent="0.25">
      <c r="P11" s="7"/>
      <c r="Q11" s="21"/>
      <c r="R11" s="5"/>
      <c r="S11" s="126">
        <f t="shared" si="1"/>
        <v>0</v>
      </c>
      <c r="T11" s="117">
        <f>S11*3.5%</f>
        <v>0</v>
      </c>
      <c r="U11" s="118">
        <f>S11*0.8%</f>
        <v>0</v>
      </c>
      <c r="V11" s="117">
        <f t="shared" si="4"/>
        <v>0</v>
      </c>
      <c r="W11" s="119" t="e">
        <f t="shared" si="5"/>
        <v>#DIV/0!</v>
      </c>
    </row>
    <row r="12" spans="1:24" ht="15.75" thickBot="1" x14ac:dyDescent="0.3">
      <c r="F12" s="89" t="s">
        <v>66</v>
      </c>
      <c r="G12" s="5">
        <f>SUBTOTAL(9,G3:G11)</f>
        <v>8688.1</v>
      </c>
      <c r="I12" s="6" t="s">
        <v>67</v>
      </c>
      <c r="K12" s="3">
        <f>SUBTOTAL(9,K3:K10)</f>
        <v>5893.0599999999995</v>
      </c>
      <c r="L12" s="9">
        <f>SUBTOTAL(9,L3:L10)</f>
        <v>-2795.04</v>
      </c>
      <c r="M12" t="s">
        <v>68</v>
      </c>
      <c r="P12" s="5"/>
      <c r="Q12" s="114"/>
      <c r="R12" s="115">
        <f>SUM(R3:R11)</f>
        <v>4000</v>
      </c>
      <c r="S12" s="114"/>
      <c r="T12" s="114"/>
      <c r="U12" s="114"/>
      <c r="V12" s="115">
        <f>SUM(V3:V11)</f>
        <v>22885.509647400002</v>
      </c>
      <c r="W12" s="116">
        <f>V12/R12</f>
        <v>5.7213774118500007</v>
      </c>
    </row>
    <row r="13" spans="1:24" x14ac:dyDescent="0.25">
      <c r="F13" s="89" t="s">
        <v>121</v>
      </c>
      <c r="P13" s="5"/>
      <c r="R13" s="5"/>
      <c r="W13" s="7"/>
      <c r="X13" s="7">
        <f>SUM(V3:V9)</f>
        <v>20335.509647400002</v>
      </c>
    </row>
    <row r="14" spans="1:24" x14ac:dyDescent="0.25">
      <c r="D14" s="7"/>
      <c r="F14" s="89">
        <f>SUM(F15:F17)</f>
        <v>0.32735573800000001</v>
      </c>
      <c r="H14" s="7"/>
      <c r="K14" s="3">
        <f>1111.38+21.76+88.01</f>
        <v>1221.1500000000001</v>
      </c>
      <c r="P14" s="5"/>
      <c r="Q14" s="131"/>
      <c r="R14" s="5">
        <f>R12</f>
        <v>4000</v>
      </c>
      <c r="S14" s="120">
        <f>R14*Q14</f>
        <v>0</v>
      </c>
      <c r="T14" s="121">
        <f>(R14*3.5%)*Q14</f>
        <v>0</v>
      </c>
      <c r="U14" s="122">
        <f>S14*0.685%</f>
        <v>0</v>
      </c>
      <c r="V14" s="121">
        <f>S14-T14-U14</f>
        <v>0</v>
      </c>
      <c r="W14" s="123">
        <f>V14/R14</f>
        <v>0</v>
      </c>
      <c r="X14" s="11">
        <f>X13*4%</f>
        <v>813.42038589600008</v>
      </c>
    </row>
    <row r="15" spans="1:24" x14ac:dyDescent="0.25">
      <c r="F15" s="89">
        <v>0.112528535</v>
      </c>
      <c r="P15" s="5"/>
      <c r="S15" s="120">
        <f t="shared" ref="S15:S16" si="8">R15*Q15</f>
        <v>0</v>
      </c>
      <c r="T15" s="121">
        <f t="shared" ref="T15:T16" si="9">(R15*0.38%)*Q15</f>
        <v>0</v>
      </c>
      <c r="U15" s="122">
        <f t="shared" ref="U15:U16" si="10">(R15*0.8%)*Q15</f>
        <v>0</v>
      </c>
      <c r="V15" s="121">
        <f t="shared" ref="V15:V16" si="11">S15-T15-U15</f>
        <v>0</v>
      </c>
      <c r="W15" s="123" t="e">
        <f t="shared" ref="W15:W16" si="12">V15/R15</f>
        <v>#DIV/0!</v>
      </c>
    </row>
    <row r="16" spans="1:24" x14ac:dyDescent="0.25">
      <c r="F16" s="89">
        <v>0.112528535</v>
      </c>
      <c r="P16" s="5"/>
      <c r="S16" s="120">
        <f t="shared" si="8"/>
        <v>0</v>
      </c>
      <c r="T16" s="121">
        <f t="shared" si="9"/>
        <v>0</v>
      </c>
      <c r="U16" s="122">
        <f t="shared" si="10"/>
        <v>0</v>
      </c>
      <c r="V16" s="121">
        <f t="shared" si="11"/>
        <v>0</v>
      </c>
      <c r="W16" s="123" t="e">
        <f t="shared" si="12"/>
        <v>#DIV/0!</v>
      </c>
    </row>
    <row r="17" spans="1:23" ht="15" customHeight="1" thickBot="1" x14ac:dyDescent="0.3">
      <c r="F17" s="89">
        <v>0.102298668</v>
      </c>
      <c r="P17" s="5"/>
      <c r="Q17" s="114"/>
      <c r="R17" s="115">
        <f>SUM(R14:R16)</f>
        <v>4000</v>
      </c>
      <c r="S17" s="114"/>
      <c r="T17" s="114"/>
      <c r="U17" s="114"/>
      <c r="V17" s="115">
        <f>SUM(V14:V16)</f>
        <v>0</v>
      </c>
      <c r="W17" s="116">
        <f t="shared" ref="W17" si="13">V17/R17</f>
        <v>0</v>
      </c>
    </row>
    <row r="18" spans="1:23" ht="15" customHeight="1" x14ac:dyDescent="0.25">
      <c r="P18" s="5"/>
      <c r="Q18" s="7"/>
    </row>
    <row r="19" spans="1:23" ht="15" customHeight="1" x14ac:dyDescent="0.25">
      <c r="P19" s="7"/>
      <c r="Q19" s="7"/>
    </row>
    <row r="20" spans="1:23" ht="15" customHeight="1" thickBot="1" x14ac:dyDescent="0.3">
      <c r="Q20" s="7"/>
      <c r="U20" s="115" t="s">
        <v>302</v>
      </c>
      <c r="V20" s="125">
        <f>V17-V12</f>
        <v>-22885.509647400002</v>
      </c>
    </row>
    <row r="21" spans="1:23" ht="15" customHeight="1" x14ac:dyDescent="0.25">
      <c r="T21" s="11"/>
      <c r="V21" s="5"/>
      <c r="W21" s="11">
        <f>V10-V14</f>
        <v>2550</v>
      </c>
    </row>
    <row r="22" spans="1:23" ht="15" customHeight="1" x14ac:dyDescent="0.25">
      <c r="M22" s="5"/>
      <c r="U22" s="5"/>
    </row>
    <row r="23" spans="1:23" ht="15" customHeight="1" x14ac:dyDescent="0.25">
      <c r="P23" s="5"/>
    </row>
    <row r="24" spans="1:23" ht="15" customHeight="1" x14ac:dyDescent="0.25">
      <c r="A24" s="137" t="s">
        <v>2</v>
      </c>
      <c r="B24" s="137" t="s">
        <v>3</v>
      </c>
      <c r="C24" s="137" t="s">
        <v>4</v>
      </c>
      <c r="D24" s="137"/>
      <c r="E24" s="138" t="s">
        <v>5</v>
      </c>
      <c r="F24" s="138"/>
      <c r="G24" s="139" t="s">
        <v>6</v>
      </c>
      <c r="H24" s="137" t="s">
        <v>7</v>
      </c>
      <c r="I24" s="137" t="s">
        <v>8</v>
      </c>
      <c r="L24" s="3"/>
      <c r="M24" s="5"/>
      <c r="P24" s="11"/>
    </row>
    <row r="25" spans="1:23" x14ac:dyDescent="0.25">
      <c r="A25" s="137"/>
      <c r="B25" s="137"/>
      <c r="C25" s="81" t="s">
        <v>9</v>
      </c>
      <c r="D25" s="81" t="s">
        <v>10</v>
      </c>
      <c r="E25" s="82" t="s">
        <v>9</v>
      </c>
      <c r="F25" s="83" t="s">
        <v>10</v>
      </c>
      <c r="G25" s="139"/>
      <c r="H25" s="137"/>
      <c r="I25" s="137"/>
      <c r="M25" s="5"/>
      <c r="P25" s="11"/>
    </row>
    <row r="26" spans="1:23" x14ac:dyDescent="0.25">
      <c r="A26" t="s">
        <v>11</v>
      </c>
      <c r="B26" t="s">
        <v>12</v>
      </c>
      <c r="C26">
        <v>200</v>
      </c>
      <c r="D26">
        <v>200</v>
      </c>
      <c r="E26" s="88">
        <v>35.85</v>
      </c>
      <c r="F26" s="89">
        <v>35.85</v>
      </c>
      <c r="G26" s="5">
        <v>7170</v>
      </c>
      <c r="H26" t="s">
        <v>13</v>
      </c>
      <c r="I26" t="s">
        <v>14</v>
      </c>
      <c r="K26" s="8"/>
      <c r="L26" s="3"/>
      <c r="O26" s="65"/>
      <c r="P26" s="4"/>
      <c r="Q26" s="4"/>
      <c r="U26" s="113"/>
    </row>
    <row r="27" spans="1:23" ht="15" customHeight="1" x14ac:dyDescent="0.25">
      <c r="A27" t="s">
        <v>15</v>
      </c>
      <c r="B27" t="s">
        <v>12</v>
      </c>
      <c r="C27">
        <v>100</v>
      </c>
      <c r="D27">
        <v>100</v>
      </c>
      <c r="E27" s="88">
        <v>34.79</v>
      </c>
      <c r="F27" s="89">
        <v>34.79</v>
      </c>
      <c r="G27" s="5">
        <v>-3479</v>
      </c>
      <c r="H27" t="s">
        <v>16</v>
      </c>
      <c r="I27" t="s">
        <v>14</v>
      </c>
      <c r="K27" s="8"/>
      <c r="L27" s="3"/>
      <c r="O27" s="65"/>
      <c r="P27" s="4"/>
      <c r="Q27" s="4"/>
    </row>
    <row r="28" spans="1:23" ht="15" customHeight="1" x14ac:dyDescent="0.25">
      <c r="A28" t="s">
        <v>17</v>
      </c>
      <c r="B28" t="s">
        <v>12</v>
      </c>
      <c r="C28">
        <v>100</v>
      </c>
      <c r="D28">
        <v>100</v>
      </c>
      <c r="E28" s="88">
        <v>36.78</v>
      </c>
      <c r="F28" s="89">
        <v>36.78</v>
      </c>
      <c r="G28" s="5">
        <v>-3678</v>
      </c>
      <c r="H28" t="s">
        <v>16</v>
      </c>
      <c r="I28" t="s">
        <v>14</v>
      </c>
      <c r="K28" s="8"/>
      <c r="L28" s="3"/>
      <c r="O28" s="65"/>
      <c r="P28" s="4"/>
      <c r="Q28" s="4"/>
      <c r="S28" s="5">
        <v>5000</v>
      </c>
      <c r="T28" s="5">
        <v>1000</v>
      </c>
    </row>
    <row r="29" spans="1:23" ht="15" customHeight="1" x14ac:dyDescent="0.25">
      <c r="A29" t="s">
        <v>18</v>
      </c>
      <c r="B29" t="s">
        <v>19</v>
      </c>
      <c r="C29">
        <v>100</v>
      </c>
      <c r="D29">
        <v>100</v>
      </c>
      <c r="E29" s="88">
        <v>13.7</v>
      </c>
      <c r="F29" s="89">
        <v>13.7</v>
      </c>
      <c r="G29" s="5">
        <v>1370</v>
      </c>
      <c r="H29" t="s">
        <v>13</v>
      </c>
      <c r="I29" t="s">
        <v>14</v>
      </c>
      <c r="K29" s="8"/>
      <c r="L29" s="3"/>
      <c r="O29" s="65"/>
      <c r="P29" s="4"/>
      <c r="Q29" s="4"/>
      <c r="S29" s="5">
        <v>20000</v>
      </c>
      <c r="T29" s="5">
        <v>3500</v>
      </c>
    </row>
    <row r="30" spans="1:23" ht="15" customHeight="1" x14ac:dyDescent="0.25">
      <c r="A30" t="s">
        <v>20</v>
      </c>
      <c r="B30" t="s">
        <v>19</v>
      </c>
      <c r="C30">
        <v>100</v>
      </c>
      <c r="D30">
        <v>100</v>
      </c>
      <c r="E30" s="88">
        <v>13.63</v>
      </c>
      <c r="F30" s="89">
        <v>13.63</v>
      </c>
      <c r="G30" s="5">
        <v>-1363</v>
      </c>
      <c r="H30" t="s">
        <v>16</v>
      </c>
      <c r="I30" t="s">
        <v>14</v>
      </c>
      <c r="J30" s="7"/>
      <c r="K30"/>
      <c r="L30"/>
      <c r="O30"/>
    </row>
    <row r="31" spans="1:23" ht="15" customHeight="1" x14ac:dyDescent="0.25">
      <c r="A31" t="s">
        <v>22</v>
      </c>
      <c r="B31" t="s">
        <v>23</v>
      </c>
      <c r="C31">
        <v>200</v>
      </c>
      <c r="D31">
        <v>200</v>
      </c>
      <c r="E31" s="88">
        <v>13.3</v>
      </c>
      <c r="F31" s="89">
        <v>13.3</v>
      </c>
      <c r="G31" s="5">
        <v>2660</v>
      </c>
      <c r="H31" t="s">
        <v>13</v>
      </c>
      <c r="I31" t="s">
        <v>14</v>
      </c>
      <c r="J31"/>
      <c r="K31"/>
      <c r="L31"/>
      <c r="O31"/>
    </row>
    <row r="32" spans="1:23" ht="15" customHeight="1" x14ac:dyDescent="0.25">
      <c r="A32" t="s">
        <v>24</v>
      </c>
      <c r="B32" t="s">
        <v>23</v>
      </c>
      <c r="C32">
        <v>100</v>
      </c>
      <c r="D32">
        <v>100</v>
      </c>
      <c r="E32" s="88">
        <v>12.2</v>
      </c>
      <c r="F32" s="89">
        <v>12.2</v>
      </c>
      <c r="G32" s="5">
        <v>-1220</v>
      </c>
      <c r="H32" t="s">
        <v>16</v>
      </c>
      <c r="I32" t="s">
        <v>14</v>
      </c>
      <c r="J32"/>
      <c r="K32"/>
      <c r="L32"/>
      <c r="O32"/>
      <c r="S32" s="11">
        <f>S28*4</f>
        <v>20000</v>
      </c>
      <c r="T32" s="11">
        <f>T28*4</f>
        <v>4000</v>
      </c>
    </row>
    <row r="33" spans="1:15" ht="15" customHeight="1" x14ac:dyDescent="0.25">
      <c r="A33" t="s">
        <v>25</v>
      </c>
      <c r="B33" t="s">
        <v>23</v>
      </c>
      <c r="C33">
        <v>100</v>
      </c>
      <c r="D33">
        <v>100</v>
      </c>
      <c r="E33" s="88">
        <v>13.13</v>
      </c>
      <c r="F33" s="89">
        <v>13.13</v>
      </c>
      <c r="G33" s="5">
        <v>-1313</v>
      </c>
      <c r="H33" t="s">
        <v>16</v>
      </c>
      <c r="I33" t="s">
        <v>14</v>
      </c>
      <c r="J33"/>
      <c r="K33"/>
      <c r="L33"/>
      <c r="O33"/>
    </row>
    <row r="34" spans="1:15" ht="15" customHeight="1" x14ac:dyDescent="0.25">
      <c r="A34" t="s">
        <v>30</v>
      </c>
      <c r="B34" t="s">
        <v>31</v>
      </c>
      <c r="C34">
        <v>100</v>
      </c>
      <c r="D34" s="33">
        <f>C34</f>
        <v>100</v>
      </c>
      <c r="E34" s="88">
        <v>17.149999999999999</v>
      </c>
      <c r="F34" s="90">
        <f>E34</f>
        <v>17.149999999999999</v>
      </c>
      <c r="G34" s="66">
        <f>D34*F34</f>
        <v>1714.9999999999998</v>
      </c>
      <c r="H34" t="s">
        <v>13</v>
      </c>
      <c r="I34" t="s">
        <v>14</v>
      </c>
      <c r="J34"/>
      <c r="K34"/>
      <c r="L34"/>
      <c r="O34"/>
    </row>
    <row r="35" spans="1:15" ht="15" customHeight="1" x14ac:dyDescent="0.25">
      <c r="A35" t="s">
        <v>32</v>
      </c>
      <c r="B35" t="s">
        <v>31</v>
      </c>
      <c r="C35">
        <v>100</v>
      </c>
      <c r="D35" s="33">
        <f>C35</f>
        <v>100</v>
      </c>
      <c r="E35" s="88">
        <v>13.83</v>
      </c>
      <c r="F35" s="90">
        <f>E35</f>
        <v>13.83</v>
      </c>
      <c r="G35" s="66">
        <f>-D35*F35</f>
        <v>-1383</v>
      </c>
      <c r="H35" t="s">
        <v>16</v>
      </c>
      <c r="I35" t="s">
        <v>14</v>
      </c>
      <c r="J35"/>
      <c r="K35"/>
      <c r="L35"/>
      <c r="O35"/>
    </row>
    <row r="36" spans="1:15" ht="15" customHeight="1" x14ac:dyDescent="0.25">
      <c r="A36" t="s">
        <v>33</v>
      </c>
      <c r="B36" t="s">
        <v>34</v>
      </c>
      <c r="C36">
        <v>100</v>
      </c>
      <c r="D36" s="33">
        <f>C36</f>
        <v>100</v>
      </c>
      <c r="E36" s="88">
        <v>10.02</v>
      </c>
      <c r="F36" s="90">
        <f>E36</f>
        <v>10.02</v>
      </c>
      <c r="G36" s="66">
        <f>D36*F36</f>
        <v>1002</v>
      </c>
      <c r="H36" t="s">
        <v>13</v>
      </c>
      <c r="I36" t="s">
        <v>14</v>
      </c>
      <c r="J36"/>
      <c r="K36"/>
      <c r="L36"/>
      <c r="O36"/>
    </row>
    <row r="37" spans="1:15" ht="15" customHeight="1" x14ac:dyDescent="0.25">
      <c r="A37" t="s">
        <v>35</v>
      </c>
      <c r="B37" t="s">
        <v>34</v>
      </c>
      <c r="C37">
        <v>100</v>
      </c>
      <c r="D37" s="33">
        <f>C37</f>
        <v>100</v>
      </c>
      <c r="E37" s="88">
        <v>7.9</v>
      </c>
      <c r="F37" s="90">
        <f>E37</f>
        <v>7.9</v>
      </c>
      <c r="G37" s="66">
        <f>-D37*F37</f>
        <v>-790</v>
      </c>
      <c r="H37" t="s">
        <v>16</v>
      </c>
      <c r="I37" t="s">
        <v>14</v>
      </c>
      <c r="J37"/>
      <c r="K37"/>
      <c r="L37"/>
      <c r="O37"/>
    </row>
    <row r="38" spans="1:15" ht="15" customHeight="1" x14ac:dyDescent="0.25">
      <c r="A38" t="s">
        <v>42</v>
      </c>
      <c r="B38" t="s">
        <v>43</v>
      </c>
      <c r="C38">
        <v>100</v>
      </c>
      <c r="D38">
        <v>100</v>
      </c>
      <c r="E38" s="88">
        <v>26.5</v>
      </c>
      <c r="F38" s="89">
        <v>26.5</v>
      </c>
      <c r="G38" s="5">
        <v>2650</v>
      </c>
      <c r="H38" t="s">
        <v>13</v>
      </c>
      <c r="I38" t="s">
        <v>14</v>
      </c>
      <c r="J38"/>
      <c r="K38"/>
      <c r="L38"/>
      <c r="O38"/>
    </row>
    <row r="39" spans="1:15" ht="15" customHeight="1" x14ac:dyDescent="0.25">
      <c r="A39" t="s">
        <v>44</v>
      </c>
      <c r="B39" t="s">
        <v>43</v>
      </c>
      <c r="C39">
        <v>100</v>
      </c>
      <c r="D39">
        <v>100</v>
      </c>
      <c r="E39" s="88">
        <v>26.41</v>
      </c>
      <c r="F39" s="89">
        <v>26.41</v>
      </c>
      <c r="G39" s="5">
        <v>-2641</v>
      </c>
      <c r="H39" t="s">
        <v>16</v>
      </c>
      <c r="I39" t="s">
        <v>14</v>
      </c>
      <c r="J39"/>
      <c r="K39"/>
      <c r="L39"/>
      <c r="O39"/>
    </row>
    <row r="40" spans="1:15" ht="15" customHeight="1" x14ac:dyDescent="0.25">
      <c r="A40" t="s">
        <v>45</v>
      </c>
      <c r="B40" t="s">
        <v>46</v>
      </c>
      <c r="C40">
        <v>100</v>
      </c>
      <c r="D40">
        <v>100</v>
      </c>
      <c r="E40" s="88">
        <v>6.3</v>
      </c>
      <c r="F40" s="89">
        <v>6.31</v>
      </c>
      <c r="G40" s="5">
        <v>630</v>
      </c>
      <c r="H40" t="s">
        <v>13</v>
      </c>
      <c r="I40" t="s">
        <v>14</v>
      </c>
      <c r="J40"/>
      <c r="K40"/>
      <c r="L40"/>
      <c r="O40"/>
    </row>
    <row r="41" spans="1:15" ht="15" customHeight="1" x14ac:dyDescent="0.25">
      <c r="A41" t="s">
        <v>47</v>
      </c>
      <c r="B41" t="s">
        <v>46</v>
      </c>
      <c r="C41">
        <v>100</v>
      </c>
      <c r="D41">
        <v>100</v>
      </c>
      <c r="E41" s="88">
        <v>5.78</v>
      </c>
      <c r="F41" s="89">
        <v>5.78</v>
      </c>
      <c r="G41" s="5">
        <v>-578</v>
      </c>
      <c r="H41" t="s">
        <v>16</v>
      </c>
      <c r="I41" t="s">
        <v>14</v>
      </c>
      <c r="J41"/>
      <c r="K41"/>
      <c r="L41"/>
      <c r="O41"/>
    </row>
    <row r="42" spans="1:15" ht="15" customHeight="1" x14ac:dyDescent="0.25">
      <c r="A42" t="s">
        <v>55</v>
      </c>
      <c r="B42" t="s">
        <v>56</v>
      </c>
      <c r="C42">
        <v>100</v>
      </c>
      <c r="D42">
        <v>100</v>
      </c>
      <c r="E42" s="88">
        <v>15.05</v>
      </c>
      <c r="F42" s="89">
        <v>15.11</v>
      </c>
      <c r="G42" s="5">
        <v>1505</v>
      </c>
      <c r="H42" t="s">
        <v>13</v>
      </c>
      <c r="I42" t="s">
        <v>14</v>
      </c>
      <c r="J42"/>
      <c r="K42"/>
      <c r="L42"/>
      <c r="O42"/>
    </row>
    <row r="43" spans="1:15" ht="15" customHeight="1" x14ac:dyDescent="0.25">
      <c r="A43" t="s">
        <v>57</v>
      </c>
      <c r="B43" t="s">
        <v>56</v>
      </c>
      <c r="C43">
        <v>100</v>
      </c>
      <c r="D43">
        <v>100</v>
      </c>
      <c r="E43" s="88">
        <v>14</v>
      </c>
      <c r="F43" s="89">
        <v>14</v>
      </c>
      <c r="G43" s="5">
        <v>-1400</v>
      </c>
      <c r="H43" t="s">
        <v>16</v>
      </c>
      <c r="I43" t="s">
        <v>14</v>
      </c>
      <c r="J43"/>
      <c r="K43"/>
      <c r="L43"/>
      <c r="O43"/>
    </row>
    <row r="44" spans="1:15" ht="15" customHeight="1" x14ac:dyDescent="0.25">
      <c r="A44" t="s">
        <v>58</v>
      </c>
      <c r="B44" t="s">
        <v>56</v>
      </c>
      <c r="C44">
        <v>100</v>
      </c>
      <c r="D44">
        <v>100</v>
      </c>
      <c r="E44" s="88">
        <v>7.15</v>
      </c>
      <c r="F44" s="89">
        <v>7.16</v>
      </c>
      <c r="G44" s="5">
        <v>715</v>
      </c>
      <c r="H44" t="s">
        <v>13</v>
      </c>
      <c r="I44" t="s">
        <v>14</v>
      </c>
      <c r="J44"/>
      <c r="K44"/>
      <c r="L44"/>
      <c r="O44"/>
    </row>
    <row r="45" spans="1:15" ht="15" customHeight="1" x14ac:dyDescent="0.25">
      <c r="A45" t="s">
        <v>59</v>
      </c>
      <c r="B45" t="s">
        <v>56</v>
      </c>
      <c r="C45">
        <v>100</v>
      </c>
      <c r="D45">
        <v>100</v>
      </c>
      <c r="E45" s="88">
        <v>7.14</v>
      </c>
      <c r="F45" s="89">
        <v>7.14</v>
      </c>
      <c r="G45" s="5">
        <v>-714</v>
      </c>
      <c r="H45" t="s">
        <v>16</v>
      </c>
      <c r="I45" t="s">
        <v>14</v>
      </c>
      <c r="J45"/>
      <c r="K45"/>
      <c r="L45"/>
      <c r="O45"/>
    </row>
    <row r="46" spans="1:15" ht="15" customHeight="1" x14ac:dyDescent="0.25">
      <c r="A46" t="s">
        <v>60</v>
      </c>
      <c r="B46" t="s">
        <v>56</v>
      </c>
      <c r="C46">
        <v>100</v>
      </c>
      <c r="D46">
        <v>100</v>
      </c>
      <c r="E46" s="88">
        <v>7.05</v>
      </c>
      <c r="F46" s="89">
        <v>7.12</v>
      </c>
      <c r="G46" s="5">
        <v>705</v>
      </c>
      <c r="H46" t="s">
        <v>13</v>
      </c>
      <c r="I46" t="s">
        <v>14</v>
      </c>
      <c r="J46"/>
      <c r="K46"/>
      <c r="L46"/>
      <c r="O46"/>
    </row>
    <row r="47" spans="1:15" ht="15" customHeight="1" x14ac:dyDescent="0.25">
      <c r="A47" t="s">
        <v>61</v>
      </c>
      <c r="B47" t="s">
        <v>56</v>
      </c>
      <c r="C47">
        <v>100</v>
      </c>
      <c r="D47">
        <v>100</v>
      </c>
      <c r="E47" s="88">
        <v>6.9</v>
      </c>
      <c r="F47" s="89">
        <v>6.9</v>
      </c>
      <c r="G47" s="5">
        <v>-690</v>
      </c>
      <c r="H47" t="s">
        <v>16</v>
      </c>
      <c r="I47" t="s">
        <v>14</v>
      </c>
      <c r="J47"/>
      <c r="K47"/>
      <c r="L47"/>
      <c r="O47"/>
    </row>
    <row r="48" spans="1:15" ht="15" customHeight="1" x14ac:dyDescent="0.25">
      <c r="A48" s="35" t="s">
        <v>28</v>
      </c>
      <c r="B48" s="57" t="s">
        <v>29</v>
      </c>
      <c r="C48" s="35">
        <v>100</v>
      </c>
      <c r="D48" s="145">
        <v>18</v>
      </c>
      <c r="E48" s="84">
        <v>8.4</v>
      </c>
      <c r="F48" s="146">
        <v>60</v>
      </c>
      <c r="G48" s="146">
        <f>D48*F48</f>
        <v>1080</v>
      </c>
      <c r="H48" s="35" t="s">
        <v>16</v>
      </c>
      <c r="I48" s="35" t="s">
        <v>14</v>
      </c>
      <c r="J48" s="140">
        <v>12.51</v>
      </c>
      <c r="K48" s="140">
        <f>D48*J48</f>
        <v>225.18</v>
      </c>
      <c r="L48" s="141">
        <f>K48-G48</f>
        <v>-854.81999999999994</v>
      </c>
      <c r="M48" t="s">
        <v>65</v>
      </c>
      <c r="O48" s="142">
        <f>K48/(G48+G49)</f>
        <v>0.20850000000000002</v>
      </c>
    </row>
    <row r="49" spans="1:15" ht="15" customHeight="1" x14ac:dyDescent="0.25">
      <c r="A49" s="35" t="s">
        <v>28</v>
      </c>
      <c r="B49" s="57" t="s">
        <v>29</v>
      </c>
      <c r="C49" s="35">
        <v>63</v>
      </c>
      <c r="D49" s="145"/>
      <c r="E49" s="84">
        <v>4.0999999999999996</v>
      </c>
      <c r="F49" s="146"/>
      <c r="G49" s="146"/>
      <c r="H49" s="35" t="s">
        <v>16</v>
      </c>
      <c r="I49" s="35" t="s">
        <v>14</v>
      </c>
      <c r="J49" s="140"/>
      <c r="K49" s="140"/>
      <c r="L49" s="141"/>
      <c r="M49" t="s">
        <v>65</v>
      </c>
      <c r="O49" s="142"/>
    </row>
    <row r="50" spans="1:15" ht="15" customHeight="1" x14ac:dyDescent="0.25">
      <c r="A50" s="33" t="s">
        <v>50</v>
      </c>
      <c r="B50" s="33" t="s">
        <v>51</v>
      </c>
      <c r="C50" s="33">
        <v>200</v>
      </c>
      <c r="D50" s="33">
        <v>200</v>
      </c>
      <c r="E50" s="86">
        <v>6.89</v>
      </c>
      <c r="F50" s="87">
        <v>6.89</v>
      </c>
      <c r="G50" s="34">
        <v>1378</v>
      </c>
      <c r="H50" s="33" t="s">
        <v>16</v>
      </c>
      <c r="I50" s="33" t="s">
        <v>14</v>
      </c>
      <c r="J50" s="134">
        <v>14.42</v>
      </c>
      <c r="K50" s="135">
        <f>(D50+D51+D52+D53)*J50</f>
        <v>8652</v>
      </c>
      <c r="L50" s="107">
        <f>K50-(G50+G51+G52+G53)</f>
        <v>4218</v>
      </c>
      <c r="M50" t="s">
        <v>65</v>
      </c>
      <c r="O50" s="133">
        <f>K50/(G50+G51+G52+G53)</f>
        <v>1.9512855209742896</v>
      </c>
    </row>
    <row r="51" spans="1:15" ht="15" customHeight="1" x14ac:dyDescent="0.25">
      <c r="A51" s="33" t="s">
        <v>52</v>
      </c>
      <c r="B51" s="33" t="s">
        <v>51</v>
      </c>
      <c r="C51" s="33">
        <v>200</v>
      </c>
      <c r="D51" s="33">
        <v>200</v>
      </c>
      <c r="E51" s="86">
        <v>7.4</v>
      </c>
      <c r="F51" s="87">
        <v>7.4</v>
      </c>
      <c r="G51" s="34">
        <v>1480</v>
      </c>
      <c r="H51" s="33" t="s">
        <v>16</v>
      </c>
      <c r="I51" s="33" t="s">
        <v>14</v>
      </c>
      <c r="J51" s="134"/>
      <c r="K51" s="135"/>
      <c r="L51" s="107"/>
      <c r="M51" t="s">
        <v>65</v>
      </c>
      <c r="O51" s="133"/>
    </row>
    <row r="52" spans="1:15" ht="15" customHeight="1" x14ac:dyDescent="0.25">
      <c r="A52" s="33" t="s">
        <v>53</v>
      </c>
      <c r="B52" s="33" t="s">
        <v>51</v>
      </c>
      <c r="C52" s="33">
        <v>100</v>
      </c>
      <c r="D52" s="33">
        <v>100</v>
      </c>
      <c r="E52" s="86">
        <v>7.6</v>
      </c>
      <c r="F52" s="87">
        <v>7.6</v>
      </c>
      <c r="G52" s="34">
        <v>760</v>
      </c>
      <c r="H52" s="33" t="s">
        <v>16</v>
      </c>
      <c r="I52" s="33" t="s">
        <v>14</v>
      </c>
      <c r="J52" s="134"/>
      <c r="K52" s="135"/>
      <c r="L52" s="107"/>
      <c r="M52" t="s">
        <v>65</v>
      </c>
      <c r="O52" s="133"/>
    </row>
    <row r="53" spans="1:15" ht="15" customHeight="1" x14ac:dyDescent="0.25">
      <c r="A53" s="33" t="s">
        <v>54</v>
      </c>
      <c r="B53" s="33" t="s">
        <v>51</v>
      </c>
      <c r="C53" s="33">
        <v>100</v>
      </c>
      <c r="D53" s="33">
        <v>100</v>
      </c>
      <c r="E53" s="86">
        <v>8.16</v>
      </c>
      <c r="F53" s="87">
        <v>8.16</v>
      </c>
      <c r="G53" s="34">
        <v>816</v>
      </c>
      <c r="H53" s="33" t="s">
        <v>16</v>
      </c>
      <c r="I53" s="33" t="s">
        <v>14</v>
      </c>
      <c r="J53" s="134"/>
      <c r="K53" s="135"/>
      <c r="L53" s="107"/>
      <c r="M53" t="s">
        <v>65</v>
      </c>
      <c r="O53" s="133"/>
    </row>
  </sheetData>
  <autoFilter ref="A24:I47" xr:uid="{76A57400-167F-414F-BA3D-ED91789EF2FC}">
    <filterColumn colId="2" showButton="0"/>
    <filterColumn colId="4" showButton="0"/>
    <sortState xmlns:xlrd2="http://schemas.microsoft.com/office/spreadsheetml/2017/richdata2" ref="A27:I47">
      <sortCondition ref="B24:B47"/>
    </sortState>
  </autoFilter>
  <mergeCells count="22">
    <mergeCell ref="J48:J49"/>
    <mergeCell ref="K48:K49"/>
    <mergeCell ref="L48:L49"/>
    <mergeCell ref="O48:O49"/>
    <mergeCell ref="A1:A2"/>
    <mergeCell ref="B1:B2"/>
    <mergeCell ref="C1:D1"/>
    <mergeCell ref="E1:F1"/>
    <mergeCell ref="G1:G2"/>
    <mergeCell ref="H1:H2"/>
    <mergeCell ref="D48:D49"/>
    <mergeCell ref="F48:F49"/>
    <mergeCell ref="G48:G49"/>
    <mergeCell ref="J1:J2"/>
    <mergeCell ref="K1:K2"/>
    <mergeCell ref="H24:H25"/>
    <mergeCell ref="I24:I25"/>
    <mergeCell ref="A24:A25"/>
    <mergeCell ref="B24:B25"/>
    <mergeCell ref="C24:D24"/>
    <mergeCell ref="E24:F24"/>
    <mergeCell ref="G24:G2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60D61-D1CE-4974-A77C-97045B82B254}">
  <dimension ref="A1:T51"/>
  <sheetViews>
    <sheetView workbookViewId="0">
      <selection activeCell="I8" sqref="I8"/>
    </sheetView>
  </sheetViews>
  <sheetFormatPr defaultRowHeight="15" customHeight="1" x14ac:dyDescent="0.25"/>
  <cols>
    <col min="1" max="1" width="12.7109375" style="39" customWidth="1"/>
    <col min="2" max="4" width="12.7109375" style="40" customWidth="1"/>
    <col min="5" max="6" width="12.7109375" style="39" customWidth="1"/>
    <col min="7" max="7" width="12.7109375" style="40" customWidth="1"/>
    <col min="8" max="8" width="12.140625" style="40" customWidth="1"/>
    <col min="9" max="9" width="10.5703125" style="39" bestFit="1" customWidth="1"/>
    <col min="10" max="14" width="9.140625" style="39"/>
    <col min="15" max="15" width="10.5703125" style="39" bestFit="1" customWidth="1"/>
    <col min="16" max="16" width="9.140625" style="39"/>
    <col min="17" max="17" width="9.5703125" style="40" bestFit="1" customWidth="1"/>
    <col min="18" max="19" width="9.140625" style="39"/>
    <col min="20" max="20" width="9.5703125" style="39" bestFit="1" customWidth="1"/>
    <col min="21" max="16384" width="9.140625" style="39"/>
  </cols>
  <sheetData>
    <row r="1" spans="1:16" ht="15" customHeight="1" thickBot="1" x14ac:dyDescent="0.3">
      <c r="A1" s="92" t="s">
        <v>226</v>
      </c>
      <c r="B1" s="108" t="s">
        <v>227</v>
      </c>
      <c r="C1" s="108" t="s">
        <v>231</v>
      </c>
      <c r="D1" s="108" t="s">
        <v>228</v>
      </c>
      <c r="E1" s="92" t="s">
        <v>229</v>
      </c>
      <c r="F1" s="92" t="s">
        <v>230</v>
      </c>
      <c r="G1" s="108" t="s">
        <v>232</v>
      </c>
      <c r="H1" s="108" t="s">
        <v>233</v>
      </c>
      <c r="I1" s="93" t="s">
        <v>89</v>
      </c>
      <c r="J1" s="39" t="s">
        <v>294</v>
      </c>
      <c r="O1" s="40"/>
    </row>
    <row r="2" spans="1:16" ht="15" customHeight="1" thickTop="1" x14ac:dyDescent="0.25">
      <c r="A2" s="45">
        <v>45474</v>
      </c>
      <c r="E2" s="40"/>
      <c r="F2" s="40"/>
      <c r="I2" s="91">
        <f t="shared" ref="I2:I6" si="0">SUM(B2:H2)</f>
        <v>0</v>
      </c>
      <c r="K2" s="41"/>
    </row>
    <row r="3" spans="1:16" ht="15" customHeight="1" x14ac:dyDescent="0.25">
      <c r="A3" s="45">
        <v>45444</v>
      </c>
      <c r="B3" s="40">
        <v>7357.33</v>
      </c>
      <c r="C3" s="40">
        <v>52.67</v>
      </c>
      <c r="D3" s="40">
        <f>3985.09+797.02</f>
        <v>4782.1100000000006</v>
      </c>
      <c r="E3" s="40">
        <f>-2373.52-1632.99</f>
        <v>-4006.51</v>
      </c>
      <c r="F3" s="40">
        <f>-605.9-302.95</f>
        <v>-908.84999999999991</v>
      </c>
      <c r="G3" s="40">
        <f>3705+1235+1898.24+632.75</f>
        <v>7470.99</v>
      </c>
      <c r="I3" s="91">
        <f t="shared" si="0"/>
        <v>14747.74</v>
      </c>
      <c r="J3" s="40">
        <v>-360.24</v>
      </c>
      <c r="K3" s="41"/>
    </row>
    <row r="4" spans="1:16" ht="15" customHeight="1" x14ac:dyDescent="0.25">
      <c r="A4" s="45">
        <v>45413</v>
      </c>
      <c r="B4" s="40">
        <v>9196.67</v>
      </c>
      <c r="C4" s="40">
        <v>65.83</v>
      </c>
      <c r="D4" s="40">
        <f>5166.72+993.6</f>
        <v>6160.3200000000006</v>
      </c>
      <c r="E4" s="40">
        <f>-3178.65+816.49</f>
        <v>-2362.16</v>
      </c>
      <c r="F4" s="40">
        <f>-605.9-302.95</f>
        <v>-908.84999999999991</v>
      </c>
      <c r="G4" s="40">
        <f>1852.5+517.5+949.12+316.37+3705+1235+1898.24+632.75</f>
        <v>11106.48</v>
      </c>
      <c r="I4" s="91">
        <f t="shared" si="0"/>
        <v>23258.29</v>
      </c>
      <c r="J4" s="40">
        <f>-348.66</f>
        <v>-348.66</v>
      </c>
      <c r="K4" s="41"/>
    </row>
    <row r="5" spans="1:16" ht="15" customHeight="1" x14ac:dyDescent="0.25">
      <c r="A5" s="45">
        <v>45383</v>
      </c>
      <c r="B5" s="40">
        <v>11036</v>
      </c>
      <c r="C5" s="40">
        <f>79+12</f>
        <v>91</v>
      </c>
      <c r="D5" s="40">
        <f>3360.37+516.98</f>
        <v>3877.35</v>
      </c>
      <c r="E5" s="40">
        <v>-2980.26</v>
      </c>
      <c r="F5" s="40">
        <v>-908.85</v>
      </c>
      <c r="G5" s="40">
        <v>0</v>
      </c>
      <c r="H5" s="40">
        <v>0</v>
      </c>
      <c r="I5" s="91">
        <f t="shared" si="0"/>
        <v>11115.24</v>
      </c>
      <c r="K5" s="41"/>
    </row>
    <row r="6" spans="1:16" ht="15" customHeight="1" x14ac:dyDescent="0.25">
      <c r="A6" s="45">
        <v>45352</v>
      </c>
      <c r="B6" s="40">
        <v>10500</v>
      </c>
      <c r="C6" s="40">
        <v>75</v>
      </c>
      <c r="D6" s="40">
        <f>460.06+1866.66+558.41+79.11+18.99</f>
        <v>2983.23</v>
      </c>
      <c r="E6" s="40">
        <v>-2582.58</v>
      </c>
      <c r="F6" s="40">
        <v>-908.85</v>
      </c>
      <c r="G6" s="40">
        <v>0</v>
      </c>
      <c r="H6" s="40">
        <v>0</v>
      </c>
      <c r="I6" s="91">
        <f t="shared" si="0"/>
        <v>10066.799999999999</v>
      </c>
      <c r="K6" s="41"/>
    </row>
    <row r="7" spans="1:16" ht="15" customHeight="1" x14ac:dyDescent="0.25">
      <c r="A7" s="45">
        <v>45323</v>
      </c>
      <c r="B7" s="40">
        <v>7980</v>
      </c>
      <c r="C7" s="40">
        <v>75</v>
      </c>
      <c r="D7" s="40">
        <f>1285.13+6028.3+1170.15+308.95+49.43</f>
        <v>8841.9600000000009</v>
      </c>
      <c r="E7" s="40">
        <f>-3500.73</f>
        <v>-3500.73</v>
      </c>
      <c r="F7" s="40">
        <v>-908.85</v>
      </c>
      <c r="G7" s="40">
        <v>0</v>
      </c>
      <c r="H7" s="40">
        <v>16786.98</v>
      </c>
      <c r="I7" s="91">
        <f t="shared" ref="I7:I10" si="1">SUM(B7:H7)</f>
        <v>29274.36</v>
      </c>
      <c r="K7" s="41"/>
    </row>
    <row r="8" spans="1:16" ht="15" customHeight="1" x14ac:dyDescent="0.25">
      <c r="A8" s="45">
        <v>45292</v>
      </c>
      <c r="B8" s="40">
        <v>7980</v>
      </c>
      <c r="C8" s="40">
        <v>75</v>
      </c>
      <c r="D8" s="40">
        <f>379.44+6290.12+1600.69+53.57+12.86</f>
        <v>8336.68</v>
      </c>
      <c r="E8" s="40">
        <v>-3372.82</v>
      </c>
      <c r="F8" s="40">
        <v>-908.85</v>
      </c>
      <c r="G8" s="40">
        <v>0</v>
      </c>
      <c r="H8" s="40">
        <v>0</v>
      </c>
      <c r="I8" s="91">
        <f t="shared" si="1"/>
        <v>12110.01</v>
      </c>
      <c r="K8" s="41"/>
      <c r="N8" s="40"/>
    </row>
    <row r="9" spans="1:16" ht="15" customHeight="1" x14ac:dyDescent="0.25">
      <c r="A9" s="45">
        <v>45261</v>
      </c>
      <c r="B9" s="40">
        <v>6650</v>
      </c>
      <c r="C9" s="40">
        <v>62.5</v>
      </c>
      <c r="D9" s="40">
        <f>161.32+1157.65+316.55+21.91+5.26</f>
        <v>1662.69</v>
      </c>
      <c r="E9" s="40">
        <f>-1239.73-27.54</f>
        <v>-1267.27</v>
      </c>
      <c r="F9" s="40">
        <f>-649.04-227.91</f>
        <v>-876.94999999999993</v>
      </c>
      <c r="G9" s="40">
        <f>1342.5+447.5+687.85+229.28</f>
        <v>2707.13</v>
      </c>
      <c r="H9" s="40">
        <v>0</v>
      </c>
      <c r="I9" s="91">
        <f t="shared" si="1"/>
        <v>8938.1</v>
      </c>
      <c r="K9" s="41"/>
      <c r="N9" s="40"/>
    </row>
    <row r="10" spans="1:16" ht="15" customHeight="1" x14ac:dyDescent="0.25">
      <c r="A10" s="45">
        <v>45231</v>
      </c>
      <c r="B10" s="40">
        <v>7980</v>
      </c>
      <c r="C10" s="40">
        <v>75</v>
      </c>
      <c r="D10" s="40">
        <f>89.42+1553.2+410.66+22.8+5.7</f>
        <v>2081.7800000000002</v>
      </c>
      <c r="E10" s="40">
        <v>-1661.49</v>
      </c>
      <c r="F10" s="40">
        <v>-876.95</v>
      </c>
      <c r="G10" s="40">
        <v>0</v>
      </c>
      <c r="H10" s="40">
        <v>0</v>
      </c>
      <c r="I10" s="91">
        <f t="shared" si="1"/>
        <v>7598.3400000000011</v>
      </c>
      <c r="K10" s="41"/>
      <c r="N10" s="41"/>
      <c r="O10" s="41"/>
    </row>
    <row r="11" spans="1:16" ht="15" customHeight="1" x14ac:dyDescent="0.25">
      <c r="A11" s="45">
        <v>45200</v>
      </c>
      <c r="B11" s="40">
        <v>7980</v>
      </c>
      <c r="C11" s="40">
        <v>75</v>
      </c>
      <c r="D11" s="40">
        <f>541.36+129.93+2.01+0.48</f>
        <v>673.78</v>
      </c>
      <c r="E11" s="40">
        <v>-1274.29</v>
      </c>
      <c r="F11" s="40">
        <v>-876.95</v>
      </c>
      <c r="G11" s="40">
        <v>0</v>
      </c>
      <c r="H11" s="40">
        <v>0</v>
      </c>
      <c r="I11" s="91">
        <f>SUM(B11:H11)</f>
        <v>6577.5400000000009</v>
      </c>
      <c r="K11" s="41"/>
    </row>
    <row r="12" spans="1:16" ht="15" customHeight="1" x14ac:dyDescent="0.25">
      <c r="A12" s="45">
        <v>45170</v>
      </c>
      <c r="B12" s="40">
        <v>7980</v>
      </c>
      <c r="C12" s="40">
        <v>75</v>
      </c>
      <c r="D12" s="40">
        <f>1508.69+749.21+451.58+312.17+62.43</f>
        <v>3084.08</v>
      </c>
      <c r="E12" s="40">
        <v>-1937.13</v>
      </c>
      <c r="F12" s="40">
        <v>-876.95</v>
      </c>
      <c r="G12" s="40">
        <v>0</v>
      </c>
      <c r="H12" s="40">
        <v>0</v>
      </c>
      <c r="I12" s="91">
        <f>SUM(B12:H12)</f>
        <v>8325</v>
      </c>
      <c r="K12" s="41"/>
    </row>
    <row r="13" spans="1:16" ht="15" customHeight="1" x14ac:dyDescent="0.25">
      <c r="A13" s="45">
        <v>45139</v>
      </c>
      <c r="B13" s="40">
        <v>7980</v>
      </c>
      <c r="C13" s="40">
        <v>75</v>
      </c>
      <c r="D13" s="40">
        <f>1176.98+3869.3+747.6+268.1+39.72</f>
        <v>6101.7000000000016</v>
      </c>
      <c r="E13" s="40">
        <v>-6066.97</v>
      </c>
      <c r="F13" s="40">
        <v>-876.95</v>
      </c>
      <c r="G13" s="40">
        <v>0</v>
      </c>
      <c r="H13" s="40">
        <f>12000+14157.32</f>
        <v>26157.32</v>
      </c>
      <c r="I13" s="91">
        <f>SUM(B13:H13)</f>
        <v>33370.1</v>
      </c>
      <c r="K13" s="41"/>
      <c r="O13" s="41"/>
    </row>
    <row r="14" spans="1:16" ht="15" customHeight="1" x14ac:dyDescent="0.25">
      <c r="A14" s="45">
        <v>45108</v>
      </c>
      <c r="B14" s="40">
        <v>7980</v>
      </c>
      <c r="C14" s="40">
        <v>75</v>
      </c>
      <c r="D14" s="40">
        <f>123.86+6527.78+1279.16+100.06+19.24</f>
        <v>8050.0999999999995</v>
      </c>
      <c r="E14" s="40">
        <v>-3302.78</v>
      </c>
      <c r="F14" s="40">
        <v>-876.95</v>
      </c>
      <c r="G14" s="40">
        <v>0</v>
      </c>
      <c r="H14" s="40">
        <v>0</v>
      </c>
      <c r="I14" s="91">
        <f>SUM(B14:H14)</f>
        <v>11925.369999999997</v>
      </c>
      <c r="K14" s="41"/>
    </row>
    <row r="15" spans="1:16" ht="15" customHeight="1" x14ac:dyDescent="0.25">
      <c r="A15" s="45">
        <v>45078</v>
      </c>
      <c r="B15" s="40">
        <v>7980</v>
      </c>
      <c r="C15" s="40">
        <v>0</v>
      </c>
      <c r="D15" s="40">
        <f>2755.49+551.1+10.61+2.12</f>
        <v>3319.3199999999997</v>
      </c>
      <c r="E15" s="40">
        <v>-1981.19</v>
      </c>
      <c r="F15" s="40">
        <v>-876.95</v>
      </c>
      <c r="G15" s="40">
        <v>0</v>
      </c>
      <c r="H15" s="40">
        <v>0</v>
      </c>
      <c r="I15" s="91">
        <f t="shared" ref="I15:I50" si="2">SUM(B15:H15)</f>
        <v>8441.1799999999985</v>
      </c>
      <c r="K15" s="41"/>
    </row>
    <row r="16" spans="1:16" ht="15" customHeight="1" x14ac:dyDescent="0.25">
      <c r="A16" s="45">
        <v>45047</v>
      </c>
      <c r="B16" s="40">
        <v>7980</v>
      </c>
      <c r="C16" s="40">
        <v>0</v>
      </c>
      <c r="D16" s="40">
        <f>538.65+682.29+234.8</f>
        <v>1455.74</v>
      </c>
      <c r="E16" s="40">
        <v>-1468.71</v>
      </c>
      <c r="F16" s="40">
        <v>-876.95</v>
      </c>
      <c r="G16" s="40">
        <v>0</v>
      </c>
      <c r="H16" s="40">
        <v>0</v>
      </c>
      <c r="I16" s="91">
        <f t="shared" si="2"/>
        <v>7090.08</v>
      </c>
      <c r="K16" s="41"/>
      <c r="P16" s="94"/>
    </row>
    <row r="17" spans="1:20" ht="15" customHeight="1" x14ac:dyDescent="0.25">
      <c r="A17" s="45">
        <v>45017</v>
      </c>
      <c r="B17" s="40">
        <f>4256+3000</f>
        <v>7256</v>
      </c>
      <c r="C17" s="40">
        <v>0</v>
      </c>
      <c r="D17" s="40">
        <f>93.96+704.63+243.05+13.17+4.01</f>
        <v>1058.8200000000002</v>
      </c>
      <c r="E17" s="40">
        <f>-497.47-520.67</f>
        <v>-1018.14</v>
      </c>
      <c r="F17" s="40">
        <v>-877.22</v>
      </c>
      <c r="G17" s="40">
        <f>3033.33+1011.11+751.66+250.55+1300+433.33+322.14+107.38+690.67+230.22+171.15+57.05+296+98.67+73.35+24.45-6156.13</f>
        <v>2694.9300000000012</v>
      </c>
      <c r="H17" s="40">
        <v>0</v>
      </c>
      <c r="I17" s="91">
        <f t="shared" si="2"/>
        <v>9114.39</v>
      </c>
      <c r="K17" s="41"/>
      <c r="O17" s="94"/>
    </row>
    <row r="18" spans="1:20" ht="15" customHeight="1" x14ac:dyDescent="0.25">
      <c r="A18" s="45">
        <v>44986</v>
      </c>
      <c r="B18" s="40">
        <v>7500</v>
      </c>
      <c r="C18" s="40">
        <v>0</v>
      </c>
      <c r="D18" s="40">
        <f>1792.69+1507.5+488.92+209.48+31.03</f>
        <v>4029.6200000000003</v>
      </c>
      <c r="E18" s="40">
        <f>-2060.05</f>
        <v>-2060.0500000000002</v>
      </c>
      <c r="F18" s="40">
        <v>-877.22</v>
      </c>
      <c r="G18" s="40">
        <v>0</v>
      </c>
      <c r="H18" s="40">
        <v>0</v>
      </c>
      <c r="I18" s="91">
        <f t="shared" si="2"/>
        <v>8592.35</v>
      </c>
      <c r="K18" s="41"/>
      <c r="O18" s="94"/>
      <c r="P18" s="40"/>
    </row>
    <row r="19" spans="1:20" ht="15" customHeight="1" x14ac:dyDescent="0.25">
      <c r="A19" s="45">
        <v>44958</v>
      </c>
      <c r="B19" s="40">
        <v>6500</v>
      </c>
      <c r="C19" s="40">
        <v>0</v>
      </c>
      <c r="D19" s="40">
        <f>1590.23+3727.75+1450.36+261.95+71.44</f>
        <v>7101.7299999999987</v>
      </c>
      <c r="E19" s="40">
        <v>-2629.88</v>
      </c>
      <c r="F19" s="40">
        <v>-877.22</v>
      </c>
      <c r="G19" s="40">
        <v>0</v>
      </c>
      <c r="H19" s="40">
        <v>15009.59</v>
      </c>
      <c r="I19" s="91">
        <f t="shared" si="2"/>
        <v>25104.22</v>
      </c>
      <c r="K19" s="41"/>
      <c r="N19" s="41"/>
      <c r="P19" s="94"/>
    </row>
    <row r="20" spans="1:20" ht="15" customHeight="1" x14ac:dyDescent="0.25">
      <c r="A20" s="45">
        <v>44927</v>
      </c>
      <c r="B20" s="40">
        <v>6500</v>
      </c>
      <c r="C20" s="40">
        <v>0</v>
      </c>
      <c r="D20" s="40">
        <f>1138.31+5447+1266.41+89.7+17.25</f>
        <v>7958.6699999999992</v>
      </c>
      <c r="E20" s="40">
        <v>-4653.04</v>
      </c>
      <c r="F20" s="40">
        <v>-877.22</v>
      </c>
      <c r="G20" s="40">
        <v>0</v>
      </c>
      <c r="H20" s="40">
        <v>6500</v>
      </c>
      <c r="I20" s="91">
        <f t="shared" si="2"/>
        <v>15428.409999999998</v>
      </c>
      <c r="K20" s="41"/>
      <c r="N20" s="41"/>
      <c r="O20" s="41"/>
    </row>
    <row r="21" spans="1:20" ht="15" customHeight="1" x14ac:dyDescent="0.25">
      <c r="A21" s="45">
        <v>44896</v>
      </c>
      <c r="B21" s="40">
        <v>5416.67</v>
      </c>
      <c r="C21" s="40">
        <v>0</v>
      </c>
      <c r="D21" s="40">
        <f>975+544.7+225.17</f>
        <v>1744.8700000000001</v>
      </c>
      <c r="E21" s="40">
        <f>-911.86-39.95</f>
        <v>-951.81000000000006</v>
      </c>
      <c r="F21" s="40">
        <f t="shared" ref="F21:F26" si="3">-684.35-144.03</f>
        <v>-828.38</v>
      </c>
      <c r="G21" s="40">
        <f>1083.33+361.11+268.45+89.48+145.28-1658.34</f>
        <v>289.31000000000017</v>
      </c>
      <c r="H21" s="40">
        <v>0</v>
      </c>
      <c r="I21" s="91">
        <f t="shared" si="2"/>
        <v>5670.66</v>
      </c>
      <c r="K21" s="41"/>
    </row>
    <row r="22" spans="1:20" ht="15" customHeight="1" x14ac:dyDescent="0.25">
      <c r="A22" s="45">
        <v>44866</v>
      </c>
      <c r="B22" s="40">
        <v>6500</v>
      </c>
      <c r="C22" s="40">
        <v>0</v>
      </c>
      <c r="D22" s="40">
        <f>487.5+349.7+209.3</f>
        <v>1046.5</v>
      </c>
      <c r="E22" s="40">
        <v>-978.12</v>
      </c>
      <c r="F22" s="40">
        <f t="shared" si="3"/>
        <v>-828.38</v>
      </c>
      <c r="G22" s="40">
        <v>0</v>
      </c>
      <c r="H22" s="40">
        <v>0</v>
      </c>
      <c r="I22" s="91">
        <f t="shared" si="2"/>
        <v>5740</v>
      </c>
      <c r="K22" s="41"/>
    </row>
    <row r="23" spans="1:20" ht="15" customHeight="1" x14ac:dyDescent="0.25">
      <c r="A23" s="45">
        <v>44835</v>
      </c>
      <c r="B23" s="40">
        <v>5416.67</v>
      </c>
      <c r="C23" s="40">
        <v>0</v>
      </c>
      <c r="D23" s="40">
        <f>536.25+128.7</f>
        <v>664.95</v>
      </c>
      <c r="E23" s="40">
        <v>-614.89</v>
      </c>
      <c r="F23" s="40">
        <f t="shared" si="3"/>
        <v>-828.38</v>
      </c>
      <c r="G23" s="40">
        <f>1083.33+361.11+268.45+89.48-1658.34</f>
        <v>144.0300000000002</v>
      </c>
      <c r="H23" s="40">
        <v>0</v>
      </c>
      <c r="I23" s="91">
        <f t="shared" si="2"/>
        <v>4782.3799999999992</v>
      </c>
      <c r="K23" s="41"/>
      <c r="S23" s="40"/>
      <c r="T23" s="41"/>
    </row>
    <row r="24" spans="1:20" ht="15" customHeight="1" x14ac:dyDescent="0.25">
      <c r="A24" s="45">
        <v>44805</v>
      </c>
      <c r="B24" s="40">
        <v>6500</v>
      </c>
      <c r="C24" s="40">
        <v>0</v>
      </c>
      <c r="D24" s="40">
        <f>3795.19+1623.05+1083.65+272.48+54.5</f>
        <v>6828.869999999999</v>
      </c>
      <c r="E24" s="40">
        <v>-2568.27</v>
      </c>
      <c r="F24" s="40">
        <f t="shared" si="3"/>
        <v>-828.38</v>
      </c>
      <c r="G24" s="40">
        <v>0</v>
      </c>
      <c r="H24" s="40">
        <v>0</v>
      </c>
      <c r="I24" s="91">
        <f t="shared" si="2"/>
        <v>9932.2199999999993</v>
      </c>
      <c r="T24" s="40"/>
    </row>
    <row r="25" spans="1:20" ht="15" customHeight="1" x14ac:dyDescent="0.25">
      <c r="A25" s="45">
        <v>44774</v>
      </c>
      <c r="B25" s="40">
        <v>6500</v>
      </c>
      <c r="C25" s="40">
        <v>0</v>
      </c>
      <c r="D25" s="40">
        <f>842.4+1358.05+325.99+178.95+26.51</f>
        <v>2731.8999999999996</v>
      </c>
      <c r="E25" s="40">
        <v>-1441.61</v>
      </c>
      <c r="F25" s="40">
        <f t="shared" si="3"/>
        <v>-828.38</v>
      </c>
      <c r="G25" s="40">
        <v>0</v>
      </c>
      <c r="H25" s="40">
        <v>12155.45</v>
      </c>
      <c r="I25" s="91">
        <f t="shared" si="2"/>
        <v>19117.36</v>
      </c>
      <c r="T25" s="41"/>
    </row>
    <row r="26" spans="1:20" ht="15" customHeight="1" x14ac:dyDescent="0.25">
      <c r="A26" s="45">
        <v>44743</v>
      </c>
      <c r="B26" s="40">
        <v>6500</v>
      </c>
      <c r="C26" s="40">
        <v>0</v>
      </c>
      <c r="D26" s="40">
        <f>1023.75+2028+586.88</f>
        <v>3638.63</v>
      </c>
      <c r="E26" s="40">
        <v>-1690.96</v>
      </c>
      <c r="F26" s="40">
        <f t="shared" si="3"/>
        <v>-828.38</v>
      </c>
      <c r="G26" s="40">
        <v>0</v>
      </c>
      <c r="H26" s="40">
        <v>0</v>
      </c>
      <c r="I26" s="91">
        <f t="shared" si="2"/>
        <v>7619.2900000000018</v>
      </c>
      <c r="T26" s="41"/>
    </row>
    <row r="27" spans="1:20" ht="15" customHeight="1" x14ac:dyDescent="0.25">
      <c r="A27" s="45">
        <v>44713</v>
      </c>
      <c r="B27" s="40">
        <v>6500</v>
      </c>
      <c r="C27" s="40">
        <v>0</v>
      </c>
      <c r="D27" s="40">
        <v>0</v>
      </c>
      <c r="E27" s="40">
        <v>-712.94</v>
      </c>
      <c r="F27" s="40">
        <v>-746.17</v>
      </c>
      <c r="G27" s="40">
        <v>0</v>
      </c>
      <c r="H27" s="40">
        <v>0</v>
      </c>
      <c r="I27" s="91">
        <f t="shared" si="2"/>
        <v>5040.8899999999994</v>
      </c>
    </row>
    <row r="28" spans="1:20" ht="15" customHeight="1" x14ac:dyDescent="0.25">
      <c r="A28" s="45">
        <v>44682</v>
      </c>
      <c r="B28" s="40">
        <f>3250+2600</f>
        <v>5850</v>
      </c>
      <c r="C28" s="40">
        <v>0</v>
      </c>
      <c r="D28" s="40">
        <f>396.34+1951.43+1038.7+651.24</f>
        <v>4037.71</v>
      </c>
      <c r="E28" s="40">
        <f>-1037.24+281.95</f>
        <v>-755.29</v>
      </c>
      <c r="F28" s="40">
        <f>-354.63-473.75</f>
        <v>-828.38</v>
      </c>
      <c r="G28" s="40">
        <f>3250+1083.33+165.59+55.2-3798.42</f>
        <v>755.69999999999982</v>
      </c>
      <c r="H28" s="40">
        <v>0</v>
      </c>
      <c r="I28" s="91">
        <f t="shared" si="2"/>
        <v>9059.739999999998</v>
      </c>
      <c r="O28" s="5"/>
      <c r="Q28" s="20"/>
    </row>
    <row r="29" spans="1:20" ht="15" customHeight="1" x14ac:dyDescent="0.25">
      <c r="A29" s="45">
        <v>44652</v>
      </c>
      <c r="B29" s="40">
        <f t="shared" ref="B29:B32" si="4">3250+2600</f>
        <v>5850</v>
      </c>
      <c r="C29" s="40">
        <v>0</v>
      </c>
      <c r="E29" s="40"/>
      <c r="F29" s="40"/>
      <c r="I29" s="91">
        <f t="shared" si="2"/>
        <v>5850</v>
      </c>
      <c r="O29" s="5"/>
      <c r="Q29" s="20"/>
      <c r="T29" s="40"/>
    </row>
    <row r="30" spans="1:20" ht="15" customHeight="1" x14ac:dyDescent="0.25">
      <c r="A30" s="45">
        <v>44621</v>
      </c>
      <c r="B30" s="40">
        <f t="shared" si="4"/>
        <v>5850</v>
      </c>
      <c r="C30" s="40">
        <v>0</v>
      </c>
      <c r="E30" s="40"/>
      <c r="F30" s="40"/>
      <c r="I30" s="91">
        <f t="shared" si="2"/>
        <v>5850</v>
      </c>
      <c r="O30" s="5"/>
      <c r="Q30" s="20"/>
    </row>
    <row r="31" spans="1:20" ht="15" customHeight="1" x14ac:dyDescent="0.25">
      <c r="A31" s="45">
        <v>44593</v>
      </c>
      <c r="B31" s="40">
        <f t="shared" si="4"/>
        <v>5850</v>
      </c>
      <c r="C31" s="40">
        <v>0</v>
      </c>
      <c r="E31" s="40"/>
      <c r="F31" s="40"/>
      <c r="I31" s="91">
        <f t="shared" si="2"/>
        <v>5850</v>
      </c>
      <c r="O31" s="40"/>
    </row>
    <row r="32" spans="1:20" ht="15" customHeight="1" x14ac:dyDescent="0.25">
      <c r="A32" s="45">
        <v>44562</v>
      </c>
      <c r="B32" s="40">
        <f t="shared" si="4"/>
        <v>5850</v>
      </c>
      <c r="C32" s="40">
        <v>0</v>
      </c>
      <c r="E32" s="40"/>
      <c r="F32" s="40"/>
      <c r="I32" s="91">
        <f t="shared" si="2"/>
        <v>5850</v>
      </c>
      <c r="O32" s="40"/>
    </row>
    <row r="33" spans="1:9" ht="15" customHeight="1" x14ac:dyDescent="0.25">
      <c r="A33" s="45">
        <v>44531</v>
      </c>
      <c r="E33" s="40"/>
      <c r="F33" s="40"/>
      <c r="I33" s="91">
        <f t="shared" si="2"/>
        <v>0</v>
      </c>
    </row>
    <row r="34" spans="1:9" ht="15" customHeight="1" x14ac:dyDescent="0.25">
      <c r="A34" s="45">
        <v>44501</v>
      </c>
      <c r="E34" s="40"/>
      <c r="F34" s="40"/>
      <c r="I34" s="91">
        <f t="shared" si="2"/>
        <v>0</v>
      </c>
    </row>
    <row r="35" spans="1:9" ht="15" customHeight="1" x14ac:dyDescent="0.25">
      <c r="A35" s="45">
        <v>44470</v>
      </c>
      <c r="E35" s="40"/>
      <c r="F35" s="40"/>
      <c r="I35" s="91">
        <f t="shared" si="2"/>
        <v>0</v>
      </c>
    </row>
    <row r="36" spans="1:9" ht="15" customHeight="1" x14ac:dyDescent="0.25">
      <c r="A36" s="45">
        <v>44440</v>
      </c>
      <c r="E36" s="40"/>
      <c r="F36" s="40"/>
      <c r="I36" s="91">
        <f t="shared" si="2"/>
        <v>0</v>
      </c>
    </row>
    <row r="37" spans="1:9" ht="15" customHeight="1" x14ac:dyDescent="0.25">
      <c r="A37" s="45">
        <v>44409</v>
      </c>
      <c r="E37" s="40"/>
      <c r="F37" s="40"/>
      <c r="I37" s="91">
        <f t="shared" si="2"/>
        <v>0</v>
      </c>
    </row>
    <row r="38" spans="1:9" ht="15" customHeight="1" x14ac:dyDescent="0.25">
      <c r="A38" s="45">
        <v>44378</v>
      </c>
      <c r="E38" s="40"/>
      <c r="F38" s="40"/>
      <c r="I38" s="91">
        <f t="shared" si="2"/>
        <v>0</v>
      </c>
    </row>
    <row r="39" spans="1:9" ht="15" customHeight="1" x14ac:dyDescent="0.25">
      <c r="A39" s="45">
        <v>44348</v>
      </c>
      <c r="E39" s="40"/>
      <c r="F39" s="40"/>
      <c r="I39" s="91">
        <f t="shared" si="2"/>
        <v>0</v>
      </c>
    </row>
    <row r="40" spans="1:9" ht="15" customHeight="1" x14ac:dyDescent="0.25">
      <c r="A40" s="45">
        <v>44317</v>
      </c>
      <c r="E40" s="40"/>
      <c r="F40" s="40"/>
      <c r="I40" s="91">
        <f t="shared" si="2"/>
        <v>0</v>
      </c>
    </row>
    <row r="41" spans="1:9" ht="15" customHeight="1" x14ac:dyDescent="0.25">
      <c r="A41" s="45">
        <v>44287</v>
      </c>
      <c r="E41" s="40"/>
      <c r="F41" s="40"/>
      <c r="I41" s="91">
        <f t="shared" si="2"/>
        <v>0</v>
      </c>
    </row>
    <row r="42" spans="1:9" ht="15" customHeight="1" x14ac:dyDescent="0.25">
      <c r="A42" s="45">
        <v>44256</v>
      </c>
      <c r="E42" s="40"/>
      <c r="F42" s="40"/>
      <c r="I42" s="91">
        <f t="shared" si="2"/>
        <v>0</v>
      </c>
    </row>
    <row r="43" spans="1:9" ht="15" customHeight="1" x14ac:dyDescent="0.25">
      <c r="A43" s="45">
        <v>44228</v>
      </c>
      <c r="E43" s="40"/>
      <c r="F43" s="40"/>
      <c r="I43" s="91">
        <f t="shared" si="2"/>
        <v>0</v>
      </c>
    </row>
    <row r="44" spans="1:9" ht="15" customHeight="1" x14ac:dyDescent="0.25">
      <c r="A44" s="45">
        <v>44197</v>
      </c>
      <c r="E44" s="40"/>
      <c r="F44" s="40"/>
      <c r="I44" s="91">
        <f t="shared" si="2"/>
        <v>0</v>
      </c>
    </row>
    <row r="45" spans="1:9" ht="15" customHeight="1" x14ac:dyDescent="0.25">
      <c r="A45" s="45">
        <v>44166</v>
      </c>
      <c r="E45" s="40"/>
      <c r="F45" s="40"/>
      <c r="I45" s="91">
        <f t="shared" si="2"/>
        <v>0</v>
      </c>
    </row>
    <row r="46" spans="1:9" ht="15" customHeight="1" x14ac:dyDescent="0.25">
      <c r="A46" s="45">
        <v>44136</v>
      </c>
      <c r="E46" s="40"/>
      <c r="F46" s="40"/>
      <c r="I46" s="91">
        <f t="shared" si="2"/>
        <v>0</v>
      </c>
    </row>
    <row r="47" spans="1:9" ht="15" customHeight="1" x14ac:dyDescent="0.25">
      <c r="A47" s="45">
        <v>44105</v>
      </c>
      <c r="E47" s="40"/>
      <c r="F47" s="40"/>
      <c r="I47" s="91">
        <f t="shared" si="2"/>
        <v>0</v>
      </c>
    </row>
    <row r="48" spans="1:9" ht="15" customHeight="1" x14ac:dyDescent="0.25">
      <c r="A48" s="45">
        <v>44075</v>
      </c>
      <c r="E48" s="40"/>
      <c r="F48" s="40"/>
      <c r="I48" s="91">
        <f t="shared" si="2"/>
        <v>0</v>
      </c>
    </row>
    <row r="49" spans="1:9" ht="15" customHeight="1" x14ac:dyDescent="0.25">
      <c r="A49" s="45">
        <v>44044</v>
      </c>
      <c r="E49" s="40"/>
      <c r="F49" s="40"/>
      <c r="I49" s="91">
        <f t="shared" si="2"/>
        <v>0</v>
      </c>
    </row>
    <row r="50" spans="1:9" ht="15" customHeight="1" x14ac:dyDescent="0.25">
      <c r="A50" s="45">
        <v>44013</v>
      </c>
      <c r="B50" s="40">
        <v>4900</v>
      </c>
      <c r="E50" s="40"/>
      <c r="F50" s="40"/>
      <c r="I50" s="91">
        <f t="shared" si="2"/>
        <v>4900</v>
      </c>
    </row>
    <row r="51" spans="1:9" ht="15" customHeight="1" x14ac:dyDescent="0.25">
      <c r="A51" s="45"/>
      <c r="E51" s="40"/>
      <c r="F51" s="40"/>
      <c r="I51" s="91"/>
    </row>
  </sheetData>
  <autoFilter ref="A1:I50" xr:uid="{9F860D61-D1CE-4974-A77C-97045B82B254}"/>
  <pageMargins left="0.7" right="0.7" top="0.75" bottom="0.75" header="0.3" footer="0.3"/>
  <pageSetup orientation="portrait" r:id="rId1"/>
  <ignoredErrors>
    <ignoredError sqref="I7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DF18C-5EF8-4BA7-9FF9-2758877301D1}">
  <dimension ref="B1:Q50"/>
  <sheetViews>
    <sheetView showGridLines="0" topLeftCell="A22" workbookViewId="0">
      <selection activeCell="Q48" sqref="Q47:R48"/>
    </sheetView>
  </sheetViews>
  <sheetFormatPr defaultRowHeight="15" customHeight="1" x14ac:dyDescent="0.25"/>
  <cols>
    <col min="1" max="1" width="9.140625" style="39"/>
    <col min="2" max="2" width="13.140625" style="39" customWidth="1"/>
    <col min="3" max="5" width="12.7109375" style="39" customWidth="1"/>
    <col min="6" max="6" width="9.140625" style="39"/>
    <col min="7" max="7" width="9.5703125" style="39" bestFit="1" customWidth="1"/>
    <col min="8" max="10" width="9.140625" style="39"/>
    <col min="11" max="11" width="10.28515625" style="39" bestFit="1" customWidth="1"/>
    <col min="12" max="12" width="9.140625" style="39"/>
    <col min="13" max="13" width="9.5703125" style="39" bestFit="1" customWidth="1"/>
    <col min="14" max="16384" width="9.140625" style="39"/>
  </cols>
  <sheetData>
    <row r="1" spans="2:17" ht="15" customHeight="1" x14ac:dyDescent="0.25">
      <c r="B1" s="38" t="s">
        <v>101</v>
      </c>
      <c r="C1" s="38" t="s">
        <v>113</v>
      </c>
      <c r="D1" s="38" t="s">
        <v>114</v>
      </c>
      <c r="E1" s="38" t="s">
        <v>115</v>
      </c>
    </row>
    <row r="2" spans="2:17" ht="15" customHeight="1" x14ac:dyDescent="0.25">
      <c r="B2" s="147" t="s">
        <v>102</v>
      </c>
      <c r="C2" s="147"/>
      <c r="D2" s="147"/>
      <c r="E2" s="147"/>
    </row>
    <row r="3" spans="2:17" ht="15" customHeight="1" x14ac:dyDescent="0.25">
      <c r="B3" s="39" t="s">
        <v>97</v>
      </c>
      <c r="C3" s="54">
        <v>2571.52</v>
      </c>
      <c r="D3" s="54">
        <v>2602.79</v>
      </c>
      <c r="E3" s="55">
        <f>C3-D3</f>
        <v>-31.269999999999982</v>
      </c>
      <c r="F3" s="56"/>
      <c r="L3" s="40"/>
      <c r="Q3" s="40"/>
    </row>
    <row r="4" spans="2:17" ht="15" customHeight="1" x14ac:dyDescent="0.25">
      <c r="B4" s="39" t="s">
        <v>98</v>
      </c>
      <c r="C4" s="54">
        <v>2249.83</v>
      </c>
      <c r="D4" s="54">
        <v>2294.6</v>
      </c>
      <c r="E4" s="55">
        <f>C4-D4</f>
        <v>-44.769999999999982</v>
      </c>
      <c r="F4" s="56"/>
      <c r="L4" s="40"/>
      <c r="Q4" s="40"/>
    </row>
    <row r="5" spans="2:17" ht="15" customHeight="1" x14ac:dyDescent="0.25">
      <c r="B5" s="39" t="s">
        <v>99</v>
      </c>
      <c r="C5" s="54">
        <v>86.5</v>
      </c>
      <c r="D5" s="54">
        <v>86.5</v>
      </c>
      <c r="E5" s="55">
        <f t="shared" ref="E5:E6" si="0">C5-D5</f>
        <v>0</v>
      </c>
      <c r="F5" s="56"/>
      <c r="L5" s="40"/>
    </row>
    <row r="6" spans="2:17" ht="15" customHeight="1" x14ac:dyDescent="0.25">
      <c r="B6" s="39" t="s">
        <v>100</v>
      </c>
      <c r="C6" s="54">
        <v>3418.79</v>
      </c>
      <c r="D6" s="54">
        <v>3418.79</v>
      </c>
      <c r="E6" s="55">
        <f t="shared" si="0"/>
        <v>0</v>
      </c>
      <c r="F6" s="56"/>
      <c r="L6" s="40"/>
    </row>
    <row r="7" spans="2:17" ht="15" customHeight="1" x14ac:dyDescent="0.25">
      <c r="B7" s="39" t="s">
        <v>118</v>
      </c>
      <c r="C7" s="40"/>
      <c r="D7" s="40">
        <v>10500</v>
      </c>
      <c r="E7" s="41"/>
      <c r="L7" s="40"/>
    </row>
    <row r="8" spans="2:17" ht="15" customHeight="1" x14ac:dyDescent="0.25">
      <c r="B8" s="39" t="s">
        <v>107</v>
      </c>
      <c r="C8" s="40"/>
      <c r="D8" s="40">
        <v>500</v>
      </c>
      <c r="E8" s="41"/>
      <c r="G8" s="41"/>
      <c r="L8" s="40"/>
    </row>
    <row r="9" spans="2:17" ht="15" customHeight="1" x14ac:dyDescent="0.25">
      <c r="B9" s="39" t="s">
        <v>108</v>
      </c>
      <c r="C9" s="40"/>
      <c r="D9" s="40">
        <v>1500</v>
      </c>
      <c r="E9" s="41"/>
      <c r="G9" s="41"/>
      <c r="L9" s="40"/>
    </row>
    <row r="10" spans="2:17" ht="15" customHeight="1" x14ac:dyDescent="0.25">
      <c r="B10" s="39" t="s">
        <v>109</v>
      </c>
      <c r="C10" s="40"/>
      <c r="D10" s="40">
        <v>1400</v>
      </c>
      <c r="E10" s="41"/>
      <c r="G10" s="41"/>
    </row>
    <row r="11" spans="2:17" ht="15" customHeight="1" x14ac:dyDescent="0.25">
      <c r="B11" s="39" t="s">
        <v>110</v>
      </c>
      <c r="C11" s="40"/>
      <c r="D11" s="40">
        <v>1400</v>
      </c>
      <c r="E11" s="41"/>
      <c r="G11" s="41"/>
    </row>
    <row r="12" spans="2:17" ht="15" customHeight="1" x14ac:dyDescent="0.25">
      <c r="B12" s="39" t="s">
        <v>111</v>
      </c>
      <c r="C12" s="40"/>
      <c r="D12" s="40">
        <v>1400</v>
      </c>
      <c r="E12" s="41"/>
      <c r="G12" s="40"/>
    </row>
    <row r="13" spans="2:17" ht="15" customHeight="1" x14ac:dyDescent="0.25">
      <c r="B13" s="39" t="s">
        <v>112</v>
      </c>
      <c r="C13" s="40"/>
      <c r="D13" s="40">
        <v>1400</v>
      </c>
      <c r="E13" s="40"/>
      <c r="F13" s="40"/>
    </row>
    <row r="14" spans="2:17" ht="15" customHeight="1" x14ac:dyDescent="0.25">
      <c r="B14" s="39" t="s">
        <v>117</v>
      </c>
      <c r="C14" s="40"/>
      <c r="D14" s="40">
        <v>1400</v>
      </c>
      <c r="E14" s="40"/>
      <c r="F14" s="40"/>
    </row>
    <row r="15" spans="2:17" ht="15" customHeight="1" x14ac:dyDescent="0.25">
      <c r="B15" s="39" t="s">
        <v>144</v>
      </c>
      <c r="C15" s="40"/>
      <c r="D15" s="40">
        <v>1400</v>
      </c>
      <c r="E15" s="40"/>
      <c r="F15" s="40"/>
    </row>
    <row r="16" spans="2:17" ht="15" customHeight="1" x14ac:dyDescent="0.25">
      <c r="B16" s="39" t="s">
        <v>145</v>
      </c>
      <c r="C16" s="40"/>
      <c r="D16" s="40">
        <v>1400</v>
      </c>
      <c r="E16" s="40"/>
      <c r="F16" s="40"/>
    </row>
    <row r="17" spans="2:13" ht="15" customHeight="1" x14ac:dyDescent="0.25">
      <c r="B17" s="39" t="s">
        <v>146</v>
      </c>
      <c r="C17" s="40"/>
      <c r="D17" s="40">
        <v>1400</v>
      </c>
      <c r="E17" s="40"/>
      <c r="F17" s="40"/>
    </row>
    <row r="18" spans="2:13" ht="15" customHeight="1" x14ac:dyDescent="0.25">
      <c r="B18" s="39" t="s">
        <v>147</v>
      </c>
      <c r="C18" s="40"/>
      <c r="D18" s="40">
        <f>1400+900</f>
        <v>2300</v>
      </c>
      <c r="E18" s="40"/>
      <c r="F18" s="40"/>
    </row>
    <row r="19" spans="2:13" ht="15" customHeight="1" x14ac:dyDescent="0.25">
      <c r="B19" s="39" t="s">
        <v>119</v>
      </c>
      <c r="C19" s="40"/>
      <c r="D19" s="40">
        <v>35800</v>
      </c>
      <c r="E19" s="40"/>
      <c r="F19" s="40"/>
    </row>
    <row r="20" spans="2:13" ht="15" customHeight="1" x14ac:dyDescent="0.25">
      <c r="B20" s="39" t="s">
        <v>120</v>
      </c>
      <c r="C20" s="40"/>
      <c r="D20" s="40">
        <f>3875+800</f>
        <v>4675</v>
      </c>
      <c r="E20" s="40"/>
      <c r="F20" s="40"/>
    </row>
    <row r="21" spans="2:13" ht="15" customHeight="1" thickBot="1" x14ac:dyDescent="0.3">
      <c r="B21" s="42" t="s">
        <v>89</v>
      </c>
      <c r="C21" s="43"/>
      <c r="D21" s="43">
        <f>SUM(D3:D20)</f>
        <v>74877.679999999993</v>
      </c>
      <c r="E21" s="44"/>
      <c r="F21" s="40"/>
    </row>
    <row r="22" spans="2:13" ht="9.9499999999999993" customHeight="1" x14ac:dyDescent="0.25">
      <c r="D22" s="40"/>
      <c r="E22" s="40"/>
      <c r="F22" s="40"/>
    </row>
    <row r="23" spans="2:13" ht="15" customHeight="1" x14ac:dyDescent="0.25">
      <c r="B23" s="147" t="s">
        <v>103</v>
      </c>
      <c r="C23" s="147"/>
      <c r="D23" s="147"/>
      <c r="E23" s="147"/>
      <c r="F23" s="40"/>
    </row>
    <row r="24" spans="2:13" ht="15" customHeight="1" x14ac:dyDescent="0.25">
      <c r="B24" s="51">
        <v>44256</v>
      </c>
      <c r="D24" s="40">
        <v>2779</v>
      </c>
      <c r="E24" s="41"/>
      <c r="F24" s="41"/>
      <c r="G24" s="41"/>
    </row>
    <row r="25" spans="2:13" ht="15" customHeight="1" x14ac:dyDescent="0.25">
      <c r="B25" s="51">
        <v>44287</v>
      </c>
      <c r="D25" s="40">
        <v>2591.5</v>
      </c>
      <c r="G25" s="41"/>
    </row>
    <row r="26" spans="2:13" ht="15" customHeight="1" x14ac:dyDescent="0.25">
      <c r="B26" s="51">
        <v>44317</v>
      </c>
      <c r="D26" s="40">
        <v>1591.5</v>
      </c>
    </row>
    <row r="27" spans="2:13" ht="15" customHeight="1" x14ac:dyDescent="0.25">
      <c r="B27" s="51">
        <v>44348</v>
      </c>
      <c r="D27" s="40">
        <v>500</v>
      </c>
    </row>
    <row r="28" spans="2:13" ht="15" customHeight="1" thickBot="1" x14ac:dyDescent="0.3">
      <c r="B28" s="42" t="s">
        <v>89</v>
      </c>
      <c r="C28" s="46"/>
      <c r="D28" s="47">
        <f>SUM(D24:D27)</f>
        <v>7462</v>
      </c>
      <c r="E28" s="46"/>
      <c r="K28" s="40"/>
      <c r="M28" s="40"/>
    </row>
    <row r="29" spans="2:13" ht="9.9499999999999993" customHeight="1" x14ac:dyDescent="0.25">
      <c r="B29" s="45"/>
      <c r="K29" s="41"/>
      <c r="M29" s="41"/>
    </row>
    <row r="30" spans="2:13" ht="15" customHeight="1" x14ac:dyDescent="0.25">
      <c r="B30" s="147" t="s">
        <v>104</v>
      </c>
      <c r="C30" s="147"/>
      <c r="D30" s="147"/>
      <c r="E30" s="147"/>
    </row>
    <row r="31" spans="2:13" ht="15" customHeight="1" x14ac:dyDescent="0.25">
      <c r="B31" s="51">
        <v>44256</v>
      </c>
      <c r="D31" s="40">
        <v>1000</v>
      </c>
    </row>
    <row r="32" spans="2:13" ht="15" customHeight="1" x14ac:dyDescent="0.25">
      <c r="B32" s="51">
        <v>44287</v>
      </c>
      <c r="D32" s="40">
        <v>1000</v>
      </c>
    </row>
    <row r="33" spans="2:5" ht="15" customHeight="1" x14ac:dyDescent="0.25">
      <c r="B33" s="51">
        <v>44317</v>
      </c>
      <c r="D33" s="40">
        <v>1000</v>
      </c>
    </row>
    <row r="34" spans="2:5" ht="15" customHeight="1" x14ac:dyDescent="0.25">
      <c r="B34" s="51">
        <v>44348</v>
      </c>
      <c r="D34" s="40">
        <v>1000</v>
      </c>
    </row>
    <row r="35" spans="2:5" ht="15" customHeight="1" x14ac:dyDescent="0.25">
      <c r="B35" s="51">
        <v>44378</v>
      </c>
      <c r="D35" s="40">
        <v>1000</v>
      </c>
    </row>
    <row r="36" spans="2:5" ht="15" customHeight="1" x14ac:dyDescent="0.25">
      <c r="B36" s="51">
        <v>44409</v>
      </c>
      <c r="D36" s="40">
        <v>1000</v>
      </c>
    </row>
    <row r="37" spans="2:5" ht="15" customHeight="1" x14ac:dyDescent="0.25">
      <c r="B37" s="51">
        <v>44440</v>
      </c>
      <c r="D37" s="40">
        <v>1000</v>
      </c>
    </row>
    <row r="38" spans="2:5" ht="15" customHeight="1" x14ac:dyDescent="0.25">
      <c r="B38" s="51">
        <v>44470</v>
      </c>
      <c r="D38" s="40">
        <v>1000</v>
      </c>
    </row>
    <row r="39" spans="2:5" ht="15" customHeight="1" thickBot="1" x14ac:dyDescent="0.3">
      <c r="B39" s="42" t="s">
        <v>89</v>
      </c>
      <c r="C39" s="42"/>
      <c r="D39" s="48">
        <f>SUM(D31:D38)</f>
        <v>8000</v>
      </c>
      <c r="E39" s="42"/>
    </row>
    <row r="40" spans="2:5" ht="9.9499999999999993" customHeight="1" x14ac:dyDescent="0.25"/>
    <row r="41" spans="2:5" ht="15" customHeight="1" x14ac:dyDescent="0.25">
      <c r="B41" s="147" t="s">
        <v>105</v>
      </c>
      <c r="C41" s="147"/>
      <c r="D41" s="147"/>
      <c r="E41" s="147"/>
    </row>
    <row r="42" spans="2:5" ht="15" customHeight="1" x14ac:dyDescent="0.25">
      <c r="B42" s="39" t="s">
        <v>106</v>
      </c>
      <c r="D42" s="40">
        <v>1000</v>
      </c>
    </row>
    <row r="43" spans="2:5" ht="15" customHeight="1" thickBot="1" x14ac:dyDescent="0.3">
      <c r="B43" s="42" t="s">
        <v>89</v>
      </c>
      <c r="C43" s="42"/>
      <c r="D43" s="48">
        <f>SUM(D42)</f>
        <v>1000</v>
      </c>
      <c r="E43" s="42"/>
    </row>
    <row r="45" spans="2:5" ht="20.100000000000001" customHeight="1" thickBot="1" x14ac:dyDescent="0.3">
      <c r="B45" s="49" t="s">
        <v>116</v>
      </c>
      <c r="C45" s="50"/>
      <c r="D45" s="53">
        <f>D21+D28+D39+D43</f>
        <v>91339.68</v>
      </c>
      <c r="E45" s="50"/>
    </row>
    <row r="46" spans="2:5" ht="15" customHeight="1" x14ac:dyDescent="0.25">
      <c r="D46" s="40"/>
    </row>
    <row r="47" spans="2:5" ht="15" customHeight="1" x14ac:dyDescent="0.25">
      <c r="D47" s="40"/>
    </row>
    <row r="48" spans="2:5" ht="15" customHeight="1" x14ac:dyDescent="0.25">
      <c r="D48" s="40"/>
    </row>
    <row r="49" spans="4:4" ht="15" customHeight="1" x14ac:dyDescent="0.25">
      <c r="D49" s="40"/>
    </row>
    <row r="50" spans="4:4" ht="15" customHeight="1" x14ac:dyDescent="0.25">
      <c r="D50" s="52"/>
    </row>
  </sheetData>
  <mergeCells count="4">
    <mergeCell ref="B2:E2"/>
    <mergeCell ref="B23:E23"/>
    <mergeCell ref="B30:E30"/>
    <mergeCell ref="B41:E41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C7763-410C-44AF-98E7-4399C966F776}">
  <dimension ref="A1:O7"/>
  <sheetViews>
    <sheetView workbookViewId="0">
      <selection activeCell="K22" sqref="K22"/>
    </sheetView>
  </sheetViews>
  <sheetFormatPr defaultRowHeight="11.25" x14ac:dyDescent="0.2"/>
  <cols>
    <col min="1" max="1" width="12.28515625" style="23" bestFit="1" customWidth="1"/>
    <col min="2" max="16384" width="9.140625" style="23"/>
  </cols>
  <sheetData>
    <row r="1" spans="1:15" x14ac:dyDescent="0.2">
      <c r="A1" s="22" t="s">
        <v>83</v>
      </c>
      <c r="B1" s="22" t="s">
        <v>85</v>
      </c>
      <c r="C1" s="22" t="s">
        <v>86</v>
      </c>
      <c r="D1" s="22" t="s">
        <v>87</v>
      </c>
      <c r="E1" s="22" t="s">
        <v>88</v>
      </c>
    </row>
    <row r="2" spans="1:15" x14ac:dyDescent="0.2">
      <c r="A2" s="22" t="s">
        <v>89</v>
      </c>
      <c r="B2" s="26">
        <f t="shared" ref="B2:D2" si="0">SUM(B3:B12)</f>
        <v>3700</v>
      </c>
      <c r="C2" s="26">
        <f t="shared" si="0"/>
        <v>140.85000000000002</v>
      </c>
      <c r="D2" s="26">
        <f t="shared" si="0"/>
        <v>3840.85</v>
      </c>
      <c r="E2" s="27">
        <f>SUM(E3:E12)</f>
        <v>38.408500000000004</v>
      </c>
      <c r="F2" s="25">
        <f>E2-C2</f>
        <v>-102.44150000000002</v>
      </c>
    </row>
    <row r="3" spans="1:15" x14ac:dyDescent="0.2">
      <c r="A3" s="23" t="s">
        <v>84</v>
      </c>
      <c r="B3" s="24">
        <v>1000</v>
      </c>
      <c r="C3" s="24">
        <f>B3*3.99%</f>
        <v>39.900000000000006</v>
      </c>
      <c r="D3" s="24">
        <f>B3+C3</f>
        <v>1039.9000000000001</v>
      </c>
      <c r="E3" s="24">
        <f>D3/100</f>
        <v>10.399000000000001</v>
      </c>
    </row>
    <row r="4" spans="1:15" x14ac:dyDescent="0.2">
      <c r="A4" s="23" t="s">
        <v>96</v>
      </c>
      <c r="B4" s="24">
        <v>2500</v>
      </c>
      <c r="C4" s="24">
        <f>B4*3.99%</f>
        <v>99.750000000000014</v>
      </c>
      <c r="D4" s="24">
        <f>B4+C4</f>
        <v>2599.75</v>
      </c>
      <c r="E4" s="24">
        <f t="shared" ref="E4:E7" si="1">D4/100</f>
        <v>25.997499999999999</v>
      </c>
    </row>
    <row r="5" spans="1:15" x14ac:dyDescent="0.2">
      <c r="A5" s="23" t="s">
        <v>90</v>
      </c>
      <c r="B5" s="24">
        <v>120</v>
      </c>
      <c r="C5" s="24">
        <v>0</v>
      </c>
      <c r="D5" s="24">
        <f>B5+C5</f>
        <v>120</v>
      </c>
      <c r="E5" s="24">
        <f t="shared" si="1"/>
        <v>1.2</v>
      </c>
      <c r="N5" s="30"/>
      <c r="O5" s="31"/>
    </row>
    <row r="6" spans="1:15" x14ac:dyDescent="0.2">
      <c r="A6" s="23" t="s">
        <v>91</v>
      </c>
      <c r="B6" s="24">
        <v>80</v>
      </c>
      <c r="C6" s="24">
        <f>B6*1.5%</f>
        <v>1.2</v>
      </c>
      <c r="D6" s="24">
        <f t="shared" ref="D6:D7" si="2">B6+C6</f>
        <v>81.2</v>
      </c>
      <c r="E6" s="24">
        <f t="shared" si="1"/>
        <v>0.81200000000000006</v>
      </c>
      <c r="N6" s="24"/>
    </row>
    <row r="7" spans="1:15" x14ac:dyDescent="0.2">
      <c r="A7" s="23" t="s">
        <v>92</v>
      </c>
      <c r="B7" s="24">
        <v>0</v>
      </c>
      <c r="C7" s="24">
        <f>B7*3.99%</f>
        <v>0</v>
      </c>
      <c r="D7" s="24">
        <f t="shared" si="2"/>
        <v>0</v>
      </c>
      <c r="E7" s="24">
        <f t="shared" si="1"/>
        <v>0</v>
      </c>
      <c r="N7" s="25"/>
    </row>
  </sheetData>
  <pageMargins left="0.511811024" right="0.511811024" top="0.78740157499999996" bottom="0.78740157499999996" header="0.31496062000000002" footer="0.31496062000000002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F5DCA-119D-41D2-B7EF-648E6414DFF6}">
  <dimension ref="A1:W30"/>
  <sheetViews>
    <sheetView workbookViewId="0">
      <selection activeCell="F25" sqref="F25"/>
    </sheetView>
  </sheetViews>
  <sheetFormatPr defaultRowHeight="15" x14ac:dyDescent="0.25"/>
  <cols>
    <col min="3" max="4" width="10.5703125" bestFit="1" customWidth="1"/>
    <col min="5" max="5" width="9.85546875" bestFit="1" customWidth="1"/>
    <col min="6" max="6" width="11.5703125" bestFit="1" customWidth="1"/>
    <col min="7" max="7" width="9.5703125" bestFit="1" customWidth="1"/>
    <col min="8" max="8" width="15.140625" bestFit="1" customWidth="1"/>
    <col min="9" max="9" width="9.5703125" bestFit="1" customWidth="1"/>
    <col min="13" max="14" width="10.5703125" bestFit="1" customWidth="1"/>
    <col min="19" max="19" width="9.5703125" bestFit="1" customWidth="1"/>
    <col min="20" max="20" width="11.28515625" bestFit="1" customWidth="1"/>
    <col min="21" max="21" width="9.5703125" bestFit="1" customWidth="1"/>
    <col min="22" max="22" width="10.7109375" bestFit="1" customWidth="1"/>
  </cols>
  <sheetData>
    <row r="1" spans="1:23" x14ac:dyDescent="0.25">
      <c r="V1" s="59" t="s">
        <v>122</v>
      </c>
      <c r="W1" s="59">
        <f>-100-85-200+10</f>
        <v>-375</v>
      </c>
    </row>
    <row r="2" spans="1:23" x14ac:dyDescent="0.25">
      <c r="C2" s="148" t="s">
        <v>69</v>
      </c>
      <c r="D2" s="149"/>
      <c r="H2" s="150" t="s">
        <v>82</v>
      </c>
      <c r="I2" s="151"/>
      <c r="N2" s="5">
        <v>60000</v>
      </c>
      <c r="V2" s="1">
        <v>44621</v>
      </c>
      <c r="W2">
        <v>50</v>
      </c>
    </row>
    <row r="3" spans="1:23" x14ac:dyDescent="0.25">
      <c r="C3" s="67" t="s">
        <v>71</v>
      </c>
      <c r="D3" s="68" t="s">
        <v>72</v>
      </c>
      <c r="H3" s="67" t="s">
        <v>71</v>
      </c>
      <c r="I3" s="68" t="s">
        <v>72</v>
      </c>
      <c r="N3" s="5">
        <f>N2*7.75%</f>
        <v>4650</v>
      </c>
      <c r="O3" s="7">
        <f>N3/365</f>
        <v>12.739726027397261</v>
      </c>
      <c r="V3" s="1">
        <v>44652</v>
      </c>
      <c r="W3">
        <v>50</v>
      </c>
    </row>
    <row r="4" spans="1:23" x14ac:dyDescent="0.25">
      <c r="C4" s="13">
        <v>1</v>
      </c>
      <c r="D4" s="14">
        <v>1</v>
      </c>
      <c r="E4" t="s">
        <v>70</v>
      </c>
      <c r="H4" s="13">
        <v>6.1</v>
      </c>
      <c r="I4" s="14">
        <v>2</v>
      </c>
      <c r="N4" s="5"/>
      <c r="O4" s="7"/>
      <c r="S4" s="5"/>
      <c r="V4" s="58">
        <v>44682</v>
      </c>
      <c r="W4">
        <v>50</v>
      </c>
    </row>
    <row r="5" spans="1:23" x14ac:dyDescent="0.25">
      <c r="C5" s="18">
        <f>C4/100</f>
        <v>0.01</v>
      </c>
      <c r="D5" s="15">
        <v>1</v>
      </c>
      <c r="E5" t="s">
        <v>74</v>
      </c>
      <c r="H5" s="109">
        <f>(I5*H4/I4)</f>
        <v>3.05</v>
      </c>
      <c r="I5" s="15">
        <v>1</v>
      </c>
      <c r="K5">
        <v>5</v>
      </c>
      <c r="L5">
        <v>2</v>
      </c>
      <c r="N5" s="5"/>
      <c r="R5" s="19"/>
      <c r="S5" s="5"/>
      <c r="U5" s="5"/>
      <c r="V5" s="58">
        <v>44713</v>
      </c>
      <c r="W5">
        <v>50</v>
      </c>
    </row>
    <row r="6" spans="1:23" x14ac:dyDescent="0.25">
      <c r="K6">
        <v>0.19</v>
      </c>
      <c r="L6">
        <f>K6*L5/K5</f>
        <v>7.5999999999999998E-2</v>
      </c>
      <c r="V6" s="1">
        <v>44743</v>
      </c>
      <c r="W6">
        <v>50</v>
      </c>
    </row>
    <row r="7" spans="1:23" x14ac:dyDescent="0.25">
      <c r="G7" s="5"/>
      <c r="V7" s="1">
        <v>44774</v>
      </c>
      <c r="W7">
        <v>50</v>
      </c>
    </row>
    <row r="8" spans="1:23" x14ac:dyDescent="0.25">
      <c r="F8" s="17"/>
      <c r="G8" s="7"/>
      <c r="V8" s="1">
        <v>44805</v>
      </c>
      <c r="W8">
        <v>50</v>
      </c>
    </row>
    <row r="9" spans="1:23" x14ac:dyDescent="0.25">
      <c r="A9" t="s">
        <v>73</v>
      </c>
      <c r="C9" s="5">
        <f>D9*C5/D5</f>
        <v>840</v>
      </c>
      <c r="D9" s="5">
        <v>84000</v>
      </c>
      <c r="H9" s="12">
        <v>84000</v>
      </c>
      <c r="I9" s="20">
        <f>H9*I5/H5</f>
        <v>27540.98360655738</v>
      </c>
      <c r="V9" s="1">
        <v>44835</v>
      </c>
      <c r="W9">
        <v>50</v>
      </c>
    </row>
    <row r="10" spans="1:23" x14ac:dyDescent="0.25">
      <c r="A10" t="s">
        <v>75</v>
      </c>
      <c r="C10" s="17"/>
      <c r="D10" s="7"/>
      <c r="H10" s="12"/>
      <c r="I10" s="7">
        <f>I9*I22</f>
        <v>688.52459016393459</v>
      </c>
      <c r="V10" s="1">
        <v>44866</v>
      </c>
      <c r="W10">
        <v>50</v>
      </c>
    </row>
    <row r="11" spans="1:23" x14ac:dyDescent="0.25">
      <c r="M11" s="5">
        <v>2.2000000000000002</v>
      </c>
      <c r="N11">
        <v>1</v>
      </c>
      <c r="V11" s="1">
        <v>44896</v>
      </c>
      <c r="W11">
        <v>50</v>
      </c>
    </row>
    <row r="12" spans="1:23" x14ac:dyDescent="0.25">
      <c r="A12" t="s">
        <v>76</v>
      </c>
      <c r="C12" s="5">
        <v>0</v>
      </c>
      <c r="H12" s="5">
        <f>(-85*12)-91.2</f>
        <v>-1111.2</v>
      </c>
      <c r="M12" s="5">
        <f>6000*12</f>
        <v>72000</v>
      </c>
      <c r="N12" s="5">
        <f>M12*N11/M11</f>
        <v>32727.272727272724</v>
      </c>
      <c r="R12">
        <v>100</v>
      </c>
      <c r="S12" s="5">
        <v>2.8</v>
      </c>
      <c r="V12" s="58">
        <v>44927</v>
      </c>
      <c r="W12">
        <v>50</v>
      </c>
    </row>
    <row r="13" spans="1:23" x14ac:dyDescent="0.25">
      <c r="N13" s="5">
        <v>12000</v>
      </c>
      <c r="R13">
        <v>1000</v>
      </c>
      <c r="S13" s="5">
        <f>R13*S12/R12</f>
        <v>28</v>
      </c>
      <c r="U13" s="16"/>
      <c r="V13" s="58">
        <v>44958</v>
      </c>
      <c r="W13">
        <v>50</v>
      </c>
    </row>
    <row r="14" spans="1:23" x14ac:dyDescent="0.25">
      <c r="C14" s="5">
        <f>C9+C12</f>
        <v>840</v>
      </c>
      <c r="H14" s="12">
        <f>H9+H12</f>
        <v>82888.800000000003</v>
      </c>
      <c r="N14" s="5">
        <v>6000</v>
      </c>
      <c r="R14">
        <v>5000</v>
      </c>
      <c r="S14" s="7">
        <f>R14*S13/R13</f>
        <v>140</v>
      </c>
      <c r="V14" s="1">
        <v>44986</v>
      </c>
      <c r="W14">
        <v>50</v>
      </c>
    </row>
    <row r="15" spans="1:23" x14ac:dyDescent="0.25">
      <c r="R15">
        <v>10000</v>
      </c>
      <c r="S15" s="7">
        <f>R15*S14/R14</f>
        <v>280</v>
      </c>
      <c r="V15" s="1">
        <v>45017</v>
      </c>
      <c r="W15">
        <v>50</v>
      </c>
    </row>
    <row r="16" spans="1:23" x14ac:dyDescent="0.25">
      <c r="E16" s="32"/>
      <c r="R16">
        <v>1</v>
      </c>
      <c r="S16" s="21">
        <f>R16*S15/R15</f>
        <v>2.8000000000000001E-2</v>
      </c>
      <c r="V16" s="1">
        <v>45047</v>
      </c>
      <c r="W16">
        <v>50</v>
      </c>
    </row>
    <row r="17" spans="7:23" x14ac:dyDescent="0.25">
      <c r="R17">
        <v>50028.47</v>
      </c>
      <c r="S17" s="7">
        <f>R17*S16/R16</f>
        <v>1400.7971600000001</v>
      </c>
      <c r="V17" s="1">
        <v>45078</v>
      </c>
      <c r="W17">
        <v>50</v>
      </c>
    </row>
    <row r="18" spans="7:23" x14ac:dyDescent="0.25">
      <c r="S18" s="7"/>
      <c r="V18" s="1">
        <v>45108</v>
      </c>
      <c r="W18">
        <v>50</v>
      </c>
    </row>
    <row r="19" spans="7:23" x14ac:dyDescent="0.25">
      <c r="V19" s="1">
        <v>45139</v>
      </c>
      <c r="W19">
        <v>50</v>
      </c>
    </row>
    <row r="21" spans="7:23" x14ac:dyDescent="0.25">
      <c r="H21" s="5">
        <v>10000</v>
      </c>
      <c r="I21" s="5">
        <v>250</v>
      </c>
    </row>
    <row r="22" spans="7:23" x14ac:dyDescent="0.25">
      <c r="G22" s="5"/>
      <c r="H22" s="7">
        <v>1</v>
      </c>
      <c r="I22" s="7">
        <f>H22*I21/H21</f>
        <v>2.5000000000000001E-2</v>
      </c>
    </row>
    <row r="24" spans="7:23" x14ac:dyDescent="0.25">
      <c r="L24" t="s">
        <v>77</v>
      </c>
      <c r="M24" s="5">
        <v>750</v>
      </c>
    </row>
    <row r="25" spans="7:23" x14ac:dyDescent="0.25">
      <c r="L25" t="s">
        <v>78</v>
      </c>
      <c r="M25" s="5">
        <v>2100</v>
      </c>
    </row>
    <row r="26" spans="7:23" x14ac:dyDescent="0.25">
      <c r="L26" t="s">
        <v>79</v>
      </c>
      <c r="M26" s="5">
        <v>110</v>
      </c>
    </row>
    <row r="27" spans="7:23" x14ac:dyDescent="0.25">
      <c r="L27" t="s">
        <v>80</v>
      </c>
      <c r="M27" s="5">
        <v>100</v>
      </c>
    </row>
    <row r="28" spans="7:23" x14ac:dyDescent="0.25">
      <c r="L28" t="s">
        <v>81</v>
      </c>
      <c r="M28" s="5">
        <v>1500</v>
      </c>
    </row>
    <row r="29" spans="7:23" x14ac:dyDescent="0.25">
      <c r="M29" s="5"/>
      <c r="T29" s="5"/>
    </row>
    <row r="30" spans="7:23" x14ac:dyDescent="0.25">
      <c r="T30" s="5"/>
    </row>
  </sheetData>
  <mergeCells count="2">
    <mergeCell ref="C2:D2"/>
    <mergeCell ref="H2:I2"/>
  </mergeCells>
  <pageMargins left="0.511811024" right="0.511811024" top="0.78740157499999996" bottom="0.78740157499999996" header="0.31496062000000002" footer="0.31496062000000002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AE17B-5C47-4542-B458-1D1FDCD8B125}">
  <dimension ref="B1:I9"/>
  <sheetViews>
    <sheetView workbookViewId="0">
      <selection activeCell="E4" sqref="E4:E8"/>
    </sheetView>
  </sheetViews>
  <sheetFormatPr defaultRowHeight="15" x14ac:dyDescent="0.25"/>
  <cols>
    <col min="3" max="3" width="10.7109375" bestFit="1" customWidth="1"/>
    <col min="4" max="4" width="28.42578125" bestFit="1" customWidth="1"/>
  </cols>
  <sheetData>
    <row r="1" spans="2:9" x14ac:dyDescent="0.25">
      <c r="B1" s="60" t="s">
        <v>134</v>
      </c>
      <c r="C1" s="60" t="s">
        <v>2</v>
      </c>
      <c r="D1" s="60" t="s">
        <v>135</v>
      </c>
      <c r="E1" s="60" t="s">
        <v>136</v>
      </c>
      <c r="F1" s="23"/>
      <c r="I1" t="s">
        <v>140</v>
      </c>
    </row>
    <row r="2" spans="2:9" x14ac:dyDescent="0.25">
      <c r="B2" s="23" t="s">
        <v>125</v>
      </c>
      <c r="C2" s="61">
        <v>44856</v>
      </c>
      <c r="D2" s="23" t="s">
        <v>123</v>
      </c>
      <c r="E2" s="23">
        <v>0</v>
      </c>
      <c r="F2" s="23"/>
      <c r="I2" t="s">
        <v>141</v>
      </c>
    </row>
    <row r="3" spans="2:9" x14ac:dyDescent="0.25">
      <c r="B3" s="23" t="s">
        <v>126</v>
      </c>
      <c r="C3" s="61">
        <v>44857</v>
      </c>
      <c r="D3" s="23" t="s">
        <v>124</v>
      </c>
      <c r="E3" s="23">
        <v>0</v>
      </c>
      <c r="F3" s="23"/>
    </row>
    <row r="4" spans="2:9" x14ac:dyDescent="0.25">
      <c r="B4" s="23" t="s">
        <v>127</v>
      </c>
      <c r="C4" s="61">
        <v>44858</v>
      </c>
      <c r="D4" s="23" t="s">
        <v>132</v>
      </c>
      <c r="E4" s="23">
        <v>80</v>
      </c>
      <c r="F4" s="23" t="s">
        <v>137</v>
      </c>
    </row>
    <row r="5" spans="2:9" x14ac:dyDescent="0.25">
      <c r="B5" s="23" t="s">
        <v>128</v>
      </c>
      <c r="C5" s="61">
        <v>44859</v>
      </c>
      <c r="D5" s="23" t="s">
        <v>133</v>
      </c>
      <c r="E5" s="23">
        <v>80</v>
      </c>
      <c r="F5" s="23" t="s">
        <v>137</v>
      </c>
    </row>
    <row r="6" spans="2:9" x14ac:dyDescent="0.25">
      <c r="B6" s="23" t="s">
        <v>129</v>
      </c>
      <c r="C6" s="61">
        <v>44860</v>
      </c>
      <c r="D6" s="62" t="s">
        <v>138</v>
      </c>
      <c r="E6" s="23">
        <v>50</v>
      </c>
      <c r="F6" s="23" t="s">
        <v>137</v>
      </c>
    </row>
    <row r="7" spans="2:9" x14ac:dyDescent="0.25">
      <c r="B7" s="23" t="s">
        <v>130</v>
      </c>
      <c r="C7" s="61">
        <v>44861</v>
      </c>
      <c r="D7" s="23" t="s">
        <v>139</v>
      </c>
      <c r="E7" s="23">
        <v>140</v>
      </c>
      <c r="F7" s="23" t="s">
        <v>137</v>
      </c>
    </row>
    <row r="8" spans="2:9" x14ac:dyDescent="0.25">
      <c r="B8" s="23" t="s">
        <v>131</v>
      </c>
      <c r="C8" s="61">
        <v>44862</v>
      </c>
      <c r="D8" s="23" t="s">
        <v>142</v>
      </c>
      <c r="E8" s="23">
        <v>50</v>
      </c>
      <c r="F8" s="23" t="s">
        <v>137</v>
      </c>
    </row>
    <row r="9" spans="2:9" x14ac:dyDescent="0.25">
      <c r="B9" s="23" t="s">
        <v>125</v>
      </c>
      <c r="C9" s="61">
        <v>44863</v>
      </c>
      <c r="D9" s="23" t="s">
        <v>143</v>
      </c>
      <c r="E9" s="23"/>
      <c r="F9" s="23"/>
    </row>
  </sheetData>
  <pageMargins left="0.511811024" right="0.511811024" top="0.78740157499999996" bottom="0.78740157499999996" header="0.31496062000000002" footer="0.31496062000000002"/>
  <pageSetup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AA9DE-3B15-4294-AE50-D003853023FC}">
  <dimension ref="A3:K13"/>
  <sheetViews>
    <sheetView workbookViewId="0">
      <selection activeCell="B8" sqref="B8:I8"/>
    </sheetView>
  </sheetViews>
  <sheetFormatPr defaultRowHeight="15" x14ac:dyDescent="0.25"/>
  <cols>
    <col min="1" max="1" width="13.140625" bestFit="1" customWidth="1"/>
    <col min="2" max="2" width="12.140625" bestFit="1" customWidth="1"/>
    <col min="3" max="3" width="12.85546875" bestFit="1" customWidth="1"/>
    <col min="4" max="4" width="12.28515625" bestFit="1" customWidth="1"/>
    <col min="5" max="5" width="13.85546875" bestFit="1" customWidth="1"/>
    <col min="6" max="6" width="16.42578125" bestFit="1" customWidth="1"/>
    <col min="7" max="7" width="15.140625" bestFit="1" customWidth="1"/>
    <col min="8" max="8" width="17.28515625" bestFit="1" customWidth="1"/>
    <col min="9" max="9" width="16.85546875" bestFit="1" customWidth="1"/>
    <col min="10" max="10" width="14.140625" bestFit="1" customWidth="1"/>
    <col min="11" max="11" width="16.28515625" bestFit="1" customWidth="1"/>
  </cols>
  <sheetData>
    <row r="3" spans="1:11" x14ac:dyDescent="0.25">
      <c r="A3" s="79" t="s">
        <v>206</v>
      </c>
      <c r="B3" s="73" t="s">
        <v>208</v>
      </c>
      <c r="C3" s="73" t="s">
        <v>209</v>
      </c>
      <c r="D3" s="73" t="s">
        <v>218</v>
      </c>
      <c r="E3" s="73" t="s">
        <v>219</v>
      </c>
      <c r="F3" s="73" t="s">
        <v>220</v>
      </c>
      <c r="G3" s="73" t="s">
        <v>221</v>
      </c>
      <c r="H3" s="73" t="s">
        <v>222</v>
      </c>
      <c r="I3" s="73" t="s">
        <v>223</v>
      </c>
      <c r="J3" s="73" t="s">
        <v>224</v>
      </c>
      <c r="K3" s="73" t="s">
        <v>225</v>
      </c>
    </row>
    <row r="4" spans="1:11" x14ac:dyDescent="0.25">
      <c r="A4" s="80" t="s">
        <v>199</v>
      </c>
      <c r="B4" s="73">
        <v>975.48</v>
      </c>
      <c r="C4" s="73">
        <v>376.29</v>
      </c>
      <c r="D4" s="73">
        <v>96.37</v>
      </c>
      <c r="E4" s="73">
        <v>96.37</v>
      </c>
      <c r="F4" s="73">
        <v>96.37</v>
      </c>
      <c r="G4" s="73"/>
      <c r="H4" s="73"/>
      <c r="I4" s="73"/>
      <c r="J4" s="73"/>
      <c r="K4" s="73"/>
    </row>
    <row r="5" spans="1:11" x14ac:dyDescent="0.25">
      <c r="A5" s="80" t="s">
        <v>180</v>
      </c>
      <c r="B5" s="73">
        <v>1550.9900000000002</v>
      </c>
      <c r="C5" s="73">
        <v>4370.49</v>
      </c>
      <c r="D5" s="73">
        <v>173.18</v>
      </c>
      <c r="E5" s="73">
        <v>76.7</v>
      </c>
      <c r="F5" s="73"/>
      <c r="G5" s="73"/>
      <c r="H5" s="73"/>
      <c r="I5" s="73"/>
      <c r="J5" s="73"/>
      <c r="K5" s="73"/>
    </row>
    <row r="6" spans="1:11" x14ac:dyDescent="0.25">
      <c r="A6" s="80" t="s">
        <v>201</v>
      </c>
      <c r="B6" s="73">
        <v>1392</v>
      </c>
      <c r="C6" s="73">
        <v>1422.16</v>
      </c>
      <c r="D6" s="73"/>
      <c r="E6" s="73"/>
      <c r="F6" s="73"/>
      <c r="G6" s="73"/>
      <c r="H6" s="73"/>
      <c r="I6" s="73"/>
      <c r="J6" s="73"/>
      <c r="K6" s="73"/>
    </row>
    <row r="7" spans="1:11" x14ac:dyDescent="0.25">
      <c r="A7" s="80" t="s">
        <v>203</v>
      </c>
      <c r="B7" s="73">
        <v>787.49999999999989</v>
      </c>
      <c r="C7" s="73">
        <v>1461.29</v>
      </c>
      <c r="D7" s="73">
        <v>192.89999999999998</v>
      </c>
      <c r="E7" s="73">
        <v>192.89999999999998</v>
      </c>
      <c r="F7" s="73">
        <v>31.25</v>
      </c>
      <c r="G7" s="73"/>
      <c r="H7" s="73"/>
      <c r="I7" s="73"/>
      <c r="J7" s="73"/>
      <c r="K7" s="73"/>
    </row>
    <row r="8" spans="1:11" x14ac:dyDescent="0.25">
      <c r="A8" s="80" t="s">
        <v>195</v>
      </c>
      <c r="B8" s="73">
        <v>245.66</v>
      </c>
      <c r="C8" s="73">
        <v>565.81999999999994</v>
      </c>
      <c r="D8" s="73">
        <v>166.51999999999998</v>
      </c>
      <c r="E8" s="73">
        <v>53.66</v>
      </c>
      <c r="F8" s="73">
        <v>53.66</v>
      </c>
      <c r="G8" s="73">
        <v>53.66</v>
      </c>
      <c r="H8" s="73">
        <v>53.66</v>
      </c>
      <c r="I8" s="73">
        <v>0</v>
      </c>
      <c r="J8" s="73"/>
      <c r="K8" s="73"/>
    </row>
    <row r="9" spans="1:11" x14ac:dyDescent="0.25">
      <c r="A9" s="80" t="s">
        <v>200</v>
      </c>
      <c r="B9" s="73">
        <v>452.55</v>
      </c>
      <c r="C9" s="73">
        <v>563.98000000000013</v>
      </c>
      <c r="D9" s="73">
        <v>403.06</v>
      </c>
      <c r="E9" s="73">
        <v>301.58</v>
      </c>
      <c r="F9" s="73">
        <v>301.58</v>
      </c>
      <c r="G9" s="73">
        <v>250</v>
      </c>
      <c r="H9" s="73">
        <v>250</v>
      </c>
      <c r="I9" s="73">
        <v>250</v>
      </c>
      <c r="J9" s="73"/>
      <c r="K9" s="73"/>
    </row>
    <row r="10" spans="1:11" x14ac:dyDescent="0.25">
      <c r="A10" s="80" t="s">
        <v>197</v>
      </c>
      <c r="B10" s="73">
        <v>106.46000000000001</v>
      </c>
      <c r="C10" s="73">
        <v>0</v>
      </c>
      <c r="D10" s="73">
        <v>0</v>
      </c>
      <c r="E10" s="73">
        <v>0</v>
      </c>
      <c r="F10" s="73">
        <v>0</v>
      </c>
      <c r="G10" s="73">
        <v>0</v>
      </c>
      <c r="H10" s="73">
        <v>0</v>
      </c>
      <c r="I10" s="73">
        <v>0</v>
      </c>
      <c r="J10" s="73"/>
      <c r="K10" s="73"/>
    </row>
    <row r="11" spans="1:11" x14ac:dyDescent="0.25">
      <c r="A11" s="80" t="s">
        <v>194</v>
      </c>
      <c r="B11" s="73">
        <v>122.13</v>
      </c>
      <c r="C11" s="73">
        <v>0</v>
      </c>
      <c r="D11" s="73"/>
      <c r="E11" s="73"/>
      <c r="F11" s="73"/>
      <c r="G11" s="73"/>
      <c r="H11" s="73"/>
      <c r="I11" s="73"/>
      <c r="J11" s="73"/>
      <c r="K11" s="73"/>
    </row>
    <row r="12" spans="1:11" x14ac:dyDescent="0.25">
      <c r="A12" s="80" t="s">
        <v>196</v>
      </c>
      <c r="B12" s="73">
        <v>1663.6000000000008</v>
      </c>
      <c r="C12" s="73">
        <v>1491.1600000000003</v>
      </c>
      <c r="D12" s="73">
        <v>1056.56</v>
      </c>
      <c r="E12" s="73">
        <v>150</v>
      </c>
      <c r="F12" s="73">
        <v>150</v>
      </c>
      <c r="G12" s="73">
        <v>150</v>
      </c>
      <c r="H12" s="73">
        <v>150</v>
      </c>
      <c r="I12" s="73">
        <v>150</v>
      </c>
      <c r="J12" s="73">
        <v>150</v>
      </c>
      <c r="K12" s="73">
        <v>150</v>
      </c>
    </row>
    <row r="13" spans="1:11" x14ac:dyDescent="0.25">
      <c r="A13" s="80" t="s">
        <v>207</v>
      </c>
      <c r="B13" s="73">
        <v>7296.3700000000008</v>
      </c>
      <c r="C13" s="73">
        <v>10251.189999999999</v>
      </c>
      <c r="D13" s="73">
        <v>2088.59</v>
      </c>
      <c r="E13" s="73">
        <v>871.21</v>
      </c>
      <c r="F13" s="73">
        <v>632.86</v>
      </c>
      <c r="G13" s="73">
        <v>453.65999999999997</v>
      </c>
      <c r="H13" s="73">
        <v>453.65999999999997</v>
      </c>
      <c r="I13" s="73">
        <v>400</v>
      </c>
      <c r="J13" s="73">
        <v>150</v>
      </c>
      <c r="K13" s="73">
        <v>150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ECE3B-6F17-41CE-ADA2-70F00080B4E1}">
  <dimension ref="B1:AH103"/>
  <sheetViews>
    <sheetView showGridLines="0" zoomScaleNormal="100" workbookViewId="0">
      <selection activeCell="M39" sqref="M39"/>
    </sheetView>
  </sheetViews>
  <sheetFormatPr defaultRowHeight="15" x14ac:dyDescent="0.25"/>
  <cols>
    <col min="2" max="2" width="11.5703125" bestFit="1" customWidth="1"/>
    <col min="3" max="3" width="16.140625" customWidth="1"/>
    <col min="4" max="4" width="10.5703125" bestFit="1" customWidth="1"/>
    <col min="6" max="6" width="13.7109375" customWidth="1"/>
    <col min="7" max="7" width="5" bestFit="1" customWidth="1"/>
    <col min="8" max="8" width="4" bestFit="1" customWidth="1"/>
    <col min="9" max="9" width="7.28515625" hidden="1" customWidth="1"/>
    <col min="10" max="10" width="0" hidden="1" customWidth="1"/>
    <col min="11" max="11" width="9.5703125" bestFit="1" customWidth="1"/>
    <col min="12" max="12" width="10.28515625" bestFit="1" customWidth="1"/>
    <col min="13" max="13" width="23" bestFit="1" customWidth="1"/>
    <col min="14" max="14" width="9.5703125" customWidth="1"/>
    <col min="15" max="15" width="10" style="5" customWidth="1"/>
    <col min="16" max="16" width="10.28515625" customWidth="1"/>
    <col min="17" max="17" width="9.140625" customWidth="1"/>
    <col min="18" max="18" width="9.5703125" customWidth="1"/>
    <col min="19" max="21" width="9.140625" customWidth="1"/>
    <col min="22" max="22" width="1.5703125" customWidth="1"/>
    <col min="28" max="28" width="9.5703125" bestFit="1" customWidth="1"/>
  </cols>
  <sheetData>
    <row r="1" spans="2:34" ht="15.75" thickBot="1" x14ac:dyDescent="0.3">
      <c r="B1" s="42" t="s">
        <v>234</v>
      </c>
      <c r="C1" s="44">
        <v>11100</v>
      </c>
      <c r="D1" s="39"/>
      <c r="E1" s="39"/>
      <c r="F1" s="39"/>
    </row>
    <row r="2" spans="2:34" ht="15.75" thickBot="1" x14ac:dyDescent="0.3">
      <c r="B2" s="39"/>
      <c r="C2" s="40"/>
      <c r="D2" s="40"/>
      <c r="E2" s="152" t="s">
        <v>253</v>
      </c>
      <c r="F2" s="152"/>
    </row>
    <row r="3" spans="2:34" x14ac:dyDescent="0.25">
      <c r="B3" s="97" t="s">
        <v>96</v>
      </c>
      <c r="C3" s="40">
        <v>-1925.45</v>
      </c>
      <c r="D3" s="40"/>
      <c r="E3" s="95">
        <v>99</v>
      </c>
      <c r="F3" s="40">
        <v>55674.95</v>
      </c>
      <c r="AB3" s="5"/>
    </row>
    <row r="4" spans="2:34" x14ac:dyDescent="0.25">
      <c r="B4" s="97" t="s">
        <v>235</v>
      </c>
      <c r="C4" s="40">
        <v>-350</v>
      </c>
      <c r="D4" s="40"/>
      <c r="E4" s="96" t="s">
        <v>236</v>
      </c>
      <c r="F4" s="40">
        <v>110000</v>
      </c>
      <c r="AB4" s="5"/>
    </row>
    <row r="5" spans="2:34" x14ac:dyDescent="0.25">
      <c r="B5" s="97" t="s">
        <v>237</v>
      </c>
      <c r="C5" s="40">
        <v>-60</v>
      </c>
      <c r="D5" s="40"/>
      <c r="E5" s="96" t="s">
        <v>238</v>
      </c>
      <c r="F5" s="40">
        <v>23</v>
      </c>
      <c r="AB5" s="5"/>
    </row>
    <row r="6" spans="2:34" ht="15.75" thickBot="1" x14ac:dyDescent="0.3">
      <c r="B6" s="97" t="s">
        <v>239</v>
      </c>
      <c r="C6" s="40">
        <v>-180</v>
      </c>
      <c r="D6" s="40"/>
      <c r="E6" s="40"/>
      <c r="F6" s="43">
        <f>SUM(F3:F5)</f>
        <v>165697.95000000001</v>
      </c>
      <c r="K6" s="69"/>
      <c r="N6" s="153">
        <v>2023</v>
      </c>
      <c r="O6" s="153"/>
      <c r="P6" s="153"/>
      <c r="Q6" s="153"/>
      <c r="R6" s="153"/>
      <c r="S6" s="153"/>
      <c r="T6" s="153"/>
      <c r="U6" s="153"/>
      <c r="W6" s="153">
        <v>2024</v>
      </c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</row>
    <row r="7" spans="2:34" ht="15.75" thickBot="1" x14ac:dyDescent="0.3">
      <c r="B7" s="42" t="s">
        <v>240</v>
      </c>
      <c r="C7" s="48">
        <f>SUM(C2:C6)</f>
        <v>-2515.4499999999998</v>
      </c>
      <c r="D7" s="39"/>
      <c r="E7" s="40" t="s">
        <v>241</v>
      </c>
      <c r="F7" s="41">
        <v>53000</v>
      </c>
      <c r="L7" s="23" t="s">
        <v>204</v>
      </c>
      <c r="M7" s="23" t="s">
        <v>205</v>
      </c>
      <c r="N7" s="23" t="s">
        <v>193</v>
      </c>
      <c r="O7" s="23" t="s">
        <v>170</v>
      </c>
      <c r="P7" s="24" t="s">
        <v>171</v>
      </c>
      <c r="Q7" s="23" t="s">
        <v>192</v>
      </c>
      <c r="R7" s="23" t="s">
        <v>210</v>
      </c>
      <c r="S7" s="23" t="s">
        <v>211</v>
      </c>
      <c r="T7" s="23" t="s">
        <v>212</v>
      </c>
      <c r="U7" s="23" t="s">
        <v>213</v>
      </c>
      <c r="W7" s="23" t="s">
        <v>255</v>
      </c>
      <c r="X7" s="23" t="s">
        <v>217</v>
      </c>
      <c r="Y7" s="23" t="s">
        <v>254</v>
      </c>
      <c r="Z7" s="23" t="s">
        <v>256</v>
      </c>
      <c r="AA7" s="23" t="s">
        <v>193</v>
      </c>
      <c r="AB7" s="23" t="s">
        <v>170</v>
      </c>
      <c r="AC7" s="23" t="s">
        <v>171</v>
      </c>
      <c r="AD7" s="23" t="s">
        <v>192</v>
      </c>
      <c r="AE7" s="23" t="s">
        <v>210</v>
      </c>
      <c r="AF7" s="23" t="s">
        <v>211</v>
      </c>
      <c r="AG7" s="23" t="s">
        <v>212</v>
      </c>
      <c r="AH7" s="23" t="s">
        <v>213</v>
      </c>
    </row>
    <row r="8" spans="2:34" x14ac:dyDescent="0.25">
      <c r="B8" s="39"/>
      <c r="C8" s="39"/>
      <c r="D8" s="39"/>
      <c r="E8" s="40" t="s">
        <v>242</v>
      </c>
      <c r="F8" s="40">
        <v>9305.61</v>
      </c>
      <c r="I8" s="70"/>
      <c r="J8" s="71"/>
      <c r="K8" s="72"/>
      <c r="L8" s="23" t="s">
        <v>199</v>
      </c>
      <c r="M8" s="23" t="s">
        <v>158</v>
      </c>
      <c r="N8" s="24">
        <f>341.29*2</f>
        <v>682.58</v>
      </c>
      <c r="O8" s="24">
        <v>341.29</v>
      </c>
      <c r="P8" s="23"/>
      <c r="Q8" s="23"/>
      <c r="R8" s="23"/>
      <c r="S8" s="23"/>
      <c r="T8" s="23"/>
      <c r="U8" s="23"/>
      <c r="W8" s="23">
        <v>341.29</v>
      </c>
      <c r="X8" s="23"/>
      <c r="Y8" s="23"/>
      <c r="Z8" s="23"/>
      <c r="AA8" s="23"/>
    </row>
    <row r="9" spans="2:34" x14ac:dyDescent="0.25">
      <c r="B9" s="39"/>
      <c r="C9" s="39"/>
      <c r="D9" s="39"/>
      <c r="E9" s="40" t="s">
        <v>244</v>
      </c>
      <c r="F9" s="40">
        <v>15000</v>
      </c>
      <c r="I9" s="70"/>
      <c r="L9" s="23" t="s">
        <v>199</v>
      </c>
      <c r="M9" s="23" t="s">
        <v>186</v>
      </c>
      <c r="N9" s="74">
        <v>35</v>
      </c>
      <c r="O9" s="74">
        <v>35</v>
      </c>
      <c r="P9" s="23"/>
      <c r="Q9" s="23"/>
      <c r="R9" s="23"/>
      <c r="S9" s="23"/>
      <c r="T9" s="23"/>
      <c r="U9" s="23"/>
      <c r="W9" s="23"/>
      <c r="X9" s="23"/>
      <c r="Y9" s="23"/>
      <c r="Z9" s="23"/>
      <c r="AA9" s="23"/>
    </row>
    <row r="10" spans="2:34" ht="15.75" thickBot="1" x14ac:dyDescent="0.3">
      <c r="B10" s="39"/>
      <c r="C10" s="39"/>
      <c r="D10" s="39"/>
      <c r="E10" s="39"/>
      <c r="F10" s="48">
        <f>SUM(F7:F9)</f>
        <v>77305.61</v>
      </c>
      <c r="I10" s="70"/>
      <c r="L10" s="23" t="s">
        <v>199</v>
      </c>
      <c r="M10" s="23" t="s">
        <v>215</v>
      </c>
      <c r="N10" s="24">
        <f>116+36.9</f>
        <v>152.9</v>
      </c>
      <c r="O10" s="24">
        <v>0</v>
      </c>
      <c r="P10" s="23">
        <v>96.37</v>
      </c>
      <c r="Q10" s="23">
        <v>96.37</v>
      </c>
      <c r="R10" s="23">
        <v>96.37</v>
      </c>
      <c r="S10" s="23"/>
      <c r="T10" s="23"/>
      <c r="U10" s="23"/>
      <c r="W10" s="23"/>
      <c r="X10" s="23"/>
      <c r="Y10" s="23"/>
      <c r="Z10" s="23"/>
      <c r="AA10" s="23"/>
    </row>
    <row r="11" spans="2:34" x14ac:dyDescent="0.25">
      <c r="B11" s="39" t="s">
        <v>243</v>
      </c>
      <c r="C11" s="40">
        <f>8000*6</f>
        <v>48000</v>
      </c>
      <c r="D11" s="39"/>
      <c r="I11" s="70"/>
      <c r="L11" s="23" t="s">
        <v>199</v>
      </c>
      <c r="M11" s="23" t="s">
        <v>190</v>
      </c>
      <c r="N11" s="24">
        <v>105</v>
      </c>
      <c r="O11" s="24"/>
      <c r="P11" s="23"/>
      <c r="Q11" s="24"/>
      <c r="R11" s="23"/>
      <c r="S11" s="23"/>
      <c r="T11" s="23"/>
      <c r="U11" s="23"/>
      <c r="W11" s="23">
        <f>150+155</f>
        <v>305</v>
      </c>
      <c r="X11" s="23"/>
      <c r="Y11" s="23"/>
      <c r="Z11" s="23"/>
      <c r="AA11" s="23"/>
    </row>
    <row r="12" spans="2:34" x14ac:dyDescent="0.25">
      <c r="B12" s="39"/>
      <c r="C12" s="39"/>
      <c r="D12" s="39"/>
      <c r="E12" s="39"/>
      <c r="F12" s="41">
        <f>F6+F10</f>
        <v>243003.56</v>
      </c>
      <c r="I12" s="70"/>
      <c r="L12" s="23" t="s">
        <v>199</v>
      </c>
      <c r="M12" s="23" t="s">
        <v>258</v>
      </c>
      <c r="N12" s="23"/>
      <c r="O12" s="24"/>
      <c r="P12" s="23"/>
      <c r="Q12" s="23"/>
      <c r="R12" s="24"/>
      <c r="S12" s="23"/>
      <c r="T12" s="23"/>
      <c r="U12" s="23"/>
      <c r="W12" s="23">
        <v>53.3</v>
      </c>
      <c r="X12" s="23"/>
      <c r="Y12" s="23"/>
      <c r="Z12" s="23"/>
      <c r="AA12" s="23"/>
    </row>
    <row r="13" spans="2:34" x14ac:dyDescent="0.25">
      <c r="B13" s="39" t="s">
        <v>245</v>
      </c>
      <c r="C13" s="40">
        <f>-8000*20%</f>
        <v>-1600</v>
      </c>
      <c r="D13" s="39"/>
      <c r="E13" s="39"/>
      <c r="F13" s="5">
        <v>-200000</v>
      </c>
      <c r="I13" s="70"/>
      <c r="L13" s="23" t="s">
        <v>180</v>
      </c>
      <c r="M13" s="23" t="s">
        <v>168</v>
      </c>
      <c r="N13" s="24">
        <v>76.7</v>
      </c>
      <c r="O13" s="24">
        <v>76.7</v>
      </c>
      <c r="P13" s="24">
        <v>76.7</v>
      </c>
      <c r="Q13" s="24">
        <v>76.7</v>
      </c>
      <c r="R13" s="23"/>
      <c r="S13" s="23"/>
      <c r="T13" s="23"/>
      <c r="U13" s="23"/>
      <c r="W13" s="23"/>
      <c r="X13" s="23"/>
      <c r="Y13" s="23"/>
      <c r="Z13" s="23"/>
      <c r="AA13" s="23"/>
      <c r="AB13" s="5"/>
    </row>
    <row r="14" spans="2:34" x14ac:dyDescent="0.25">
      <c r="B14" s="39"/>
      <c r="C14" s="39"/>
      <c r="D14" s="39"/>
      <c r="E14" s="39"/>
      <c r="F14" s="41">
        <f>F12+F13</f>
        <v>43003.56</v>
      </c>
      <c r="L14" s="23" t="s">
        <v>198</v>
      </c>
      <c r="M14" s="23" t="s">
        <v>159</v>
      </c>
      <c r="N14" s="24">
        <v>1142.08</v>
      </c>
      <c r="O14" s="75">
        <v>1193.05</v>
      </c>
      <c r="P14" s="24">
        <v>0</v>
      </c>
      <c r="Q14" s="23"/>
      <c r="R14" s="23"/>
      <c r="S14" s="23"/>
      <c r="T14" s="23"/>
      <c r="U14" s="23"/>
      <c r="W14" s="23">
        <v>1145.5</v>
      </c>
      <c r="X14" s="23"/>
      <c r="Y14" s="23"/>
      <c r="Z14" s="23"/>
      <c r="AA14" s="23"/>
    </row>
    <row r="15" spans="2:34" x14ac:dyDescent="0.25">
      <c r="B15" s="39" t="s">
        <v>246</v>
      </c>
      <c r="C15" s="41">
        <f>C1+C7+C13</f>
        <v>6984.5499999999993</v>
      </c>
      <c r="D15" s="39"/>
      <c r="E15" s="39"/>
      <c r="F15" s="39"/>
      <c r="I15" s="70"/>
      <c r="L15" s="23" t="s">
        <v>180</v>
      </c>
      <c r="M15" s="23" t="s">
        <v>156</v>
      </c>
      <c r="N15" s="24">
        <v>49.9</v>
      </c>
      <c r="O15" s="24">
        <v>49.9</v>
      </c>
      <c r="P15" s="24">
        <v>49.9</v>
      </c>
      <c r="Q15" s="23"/>
      <c r="R15" s="23"/>
      <c r="S15" s="23"/>
      <c r="T15" s="23"/>
      <c r="U15" s="23"/>
      <c r="W15" s="23"/>
      <c r="X15" s="23"/>
      <c r="Y15" s="23"/>
      <c r="Z15" s="23"/>
      <c r="AA15" s="23"/>
    </row>
    <row r="16" spans="2:34" x14ac:dyDescent="0.25">
      <c r="B16" s="98" t="s">
        <v>247</v>
      </c>
      <c r="C16" s="99">
        <f>280000</f>
        <v>280000</v>
      </c>
      <c r="D16" s="39"/>
      <c r="E16" s="39"/>
      <c r="F16" s="41">
        <f>SUM(F14:F15)</f>
        <v>43003.56</v>
      </c>
      <c r="I16" s="70"/>
      <c r="L16" s="62" t="s">
        <v>180</v>
      </c>
      <c r="M16" s="23" t="s">
        <v>155</v>
      </c>
      <c r="N16" s="24">
        <v>32.380000000000003</v>
      </c>
      <c r="O16" s="76">
        <v>95.38</v>
      </c>
      <c r="P16" s="23"/>
      <c r="Q16" s="23"/>
      <c r="R16" s="23"/>
      <c r="S16" s="23"/>
      <c r="T16" s="23"/>
      <c r="U16" s="23"/>
      <c r="W16" s="23"/>
      <c r="X16" s="23"/>
      <c r="Y16" s="23"/>
      <c r="Z16" s="23"/>
      <c r="AA16" s="23"/>
    </row>
    <row r="17" spans="2:27" x14ac:dyDescent="0.25">
      <c r="B17" s="100" t="s">
        <v>248</v>
      </c>
      <c r="C17" s="101">
        <v>51000</v>
      </c>
      <c r="D17" s="39"/>
      <c r="E17" s="39"/>
      <c r="L17" s="23" t="s">
        <v>180</v>
      </c>
      <c r="M17" s="23" t="s">
        <v>79</v>
      </c>
      <c r="N17" s="24">
        <v>111.55</v>
      </c>
      <c r="O17" s="75">
        <v>116.78</v>
      </c>
      <c r="P17" s="24">
        <v>114</v>
      </c>
      <c r="Q17" s="23"/>
      <c r="R17" s="23"/>
      <c r="S17" s="23"/>
      <c r="T17" s="23"/>
      <c r="U17" s="23"/>
      <c r="W17" s="23">
        <v>113.82</v>
      </c>
      <c r="X17" s="23"/>
      <c r="Y17" s="23"/>
      <c r="Z17" s="23"/>
      <c r="AA17" s="23"/>
    </row>
    <row r="18" spans="2:27" x14ac:dyDescent="0.25">
      <c r="B18" s="100" t="s">
        <v>249</v>
      </c>
      <c r="C18" s="101">
        <v>220000</v>
      </c>
      <c r="D18" s="39"/>
      <c r="E18" s="39"/>
      <c r="F18" s="39"/>
      <c r="I18" s="70"/>
      <c r="L18" s="23" t="s">
        <v>180</v>
      </c>
      <c r="M18" s="23" t="s">
        <v>184</v>
      </c>
      <c r="N18" s="24">
        <v>82.48</v>
      </c>
      <c r="O18" s="75">
        <v>84.61</v>
      </c>
      <c r="P18" s="23"/>
      <c r="Q18" s="23"/>
      <c r="R18" s="23"/>
      <c r="S18" s="23"/>
      <c r="T18" s="23"/>
      <c r="U18" s="23"/>
      <c r="W18" s="23"/>
      <c r="X18" s="23"/>
      <c r="Y18" s="23"/>
      <c r="Z18" s="23"/>
      <c r="AA18" s="23"/>
    </row>
    <row r="19" spans="2:27" x14ac:dyDescent="0.25">
      <c r="B19" s="100" t="s">
        <v>250</v>
      </c>
      <c r="C19" s="102">
        <v>0.08</v>
      </c>
      <c r="D19" s="39"/>
      <c r="E19" s="39"/>
      <c r="F19" s="39"/>
      <c r="I19" s="70"/>
      <c r="L19" s="23" t="s">
        <v>180</v>
      </c>
      <c r="M19" s="23" t="s">
        <v>154</v>
      </c>
      <c r="N19" s="24">
        <v>55.9</v>
      </c>
      <c r="O19" s="75">
        <v>55.9</v>
      </c>
      <c r="P19" s="23"/>
      <c r="Q19" s="23"/>
      <c r="R19" s="23"/>
      <c r="S19" s="23"/>
      <c r="T19" s="23"/>
      <c r="U19" s="23"/>
      <c r="W19" s="23">
        <v>55.9</v>
      </c>
      <c r="X19" s="23"/>
      <c r="Y19" s="23"/>
      <c r="Z19" s="23"/>
      <c r="AA19" s="23"/>
    </row>
    <row r="20" spans="2:27" ht="15.75" thickBot="1" x14ac:dyDescent="0.3">
      <c r="B20" s="103" t="s">
        <v>251</v>
      </c>
      <c r="C20" s="104">
        <v>1628.06</v>
      </c>
      <c r="D20" s="23" t="s">
        <v>252</v>
      </c>
      <c r="I20" s="70"/>
      <c r="L20" s="23" t="s">
        <v>180</v>
      </c>
      <c r="M20" s="23" t="s">
        <v>96</v>
      </c>
      <c r="N20" s="24">
        <v>0</v>
      </c>
      <c r="O20" s="75">
        <v>2624.94</v>
      </c>
      <c r="P20" s="23"/>
      <c r="Q20" s="23"/>
      <c r="R20" s="23"/>
      <c r="S20" s="23"/>
      <c r="T20" s="23"/>
      <c r="U20" s="23"/>
      <c r="W20" s="24">
        <v>3126.62</v>
      </c>
      <c r="X20" s="23"/>
      <c r="Y20" s="23"/>
      <c r="Z20" s="23"/>
      <c r="AA20" s="23"/>
    </row>
    <row r="21" spans="2:27" x14ac:dyDescent="0.25">
      <c r="I21" s="70"/>
      <c r="L21" s="23" t="s">
        <v>180</v>
      </c>
      <c r="M21" s="23" t="s">
        <v>214</v>
      </c>
      <c r="N21" s="24">
        <v>0</v>
      </c>
      <c r="O21" s="24">
        <v>0</v>
      </c>
      <c r="P21" s="23">
        <v>46.58</v>
      </c>
      <c r="Q21" s="24"/>
      <c r="R21" s="23"/>
      <c r="S21" s="23"/>
      <c r="T21" s="23"/>
      <c r="U21" s="23"/>
      <c r="W21" s="23"/>
      <c r="X21" s="23"/>
      <c r="Y21" s="23"/>
      <c r="Z21" s="23"/>
      <c r="AA21" s="23"/>
    </row>
    <row r="22" spans="2:27" x14ac:dyDescent="0.25">
      <c r="C22" s="105">
        <v>6577</v>
      </c>
      <c r="I22" s="70"/>
      <c r="L22" s="23" t="s">
        <v>180</v>
      </c>
      <c r="M22" s="23" t="s">
        <v>181</v>
      </c>
      <c r="N22" s="23"/>
      <c r="O22" s="75">
        <v>73.23</v>
      </c>
      <c r="P22" s="23"/>
      <c r="Q22" s="23"/>
      <c r="R22" s="23"/>
      <c r="S22" s="23"/>
      <c r="T22" s="23"/>
      <c r="U22" s="23"/>
      <c r="W22" s="23"/>
      <c r="X22" s="23"/>
      <c r="Y22" s="23"/>
      <c r="Z22" s="23"/>
      <c r="AA22" s="23"/>
    </row>
    <row r="23" spans="2:27" x14ac:dyDescent="0.25">
      <c r="C23" s="7">
        <f>C22*30%</f>
        <v>1973.1</v>
      </c>
      <c r="I23" s="70"/>
      <c r="L23" s="23" t="s">
        <v>201</v>
      </c>
      <c r="M23" s="23" t="s">
        <v>152</v>
      </c>
      <c r="N23" s="24">
        <v>1392</v>
      </c>
      <c r="O23" s="24">
        <v>1422.16</v>
      </c>
      <c r="P23" s="23">
        <v>1392</v>
      </c>
      <c r="Q23" s="23"/>
      <c r="R23" s="23"/>
      <c r="S23" s="23"/>
      <c r="T23" s="23"/>
      <c r="U23" s="23"/>
      <c r="W23" s="23"/>
      <c r="X23" s="23"/>
      <c r="Y23" s="23"/>
      <c r="Z23" s="23"/>
      <c r="AA23" s="23"/>
    </row>
    <row r="24" spans="2:27" x14ac:dyDescent="0.25">
      <c r="L24" s="23" t="s">
        <v>203</v>
      </c>
      <c r="M24" s="23" t="s">
        <v>150</v>
      </c>
      <c r="N24" s="24">
        <v>64.16</v>
      </c>
      <c r="O24" s="24">
        <v>64.16</v>
      </c>
      <c r="P24" s="24">
        <v>64.16</v>
      </c>
      <c r="Q24" s="24">
        <v>64.16</v>
      </c>
      <c r="R24" s="23"/>
      <c r="S24" s="23"/>
      <c r="T24" s="23"/>
      <c r="U24" s="23"/>
      <c r="W24" s="23"/>
      <c r="X24" s="23"/>
      <c r="Y24" s="23"/>
      <c r="Z24" s="23"/>
      <c r="AA24" s="23"/>
    </row>
    <row r="25" spans="2:27" x14ac:dyDescent="0.25">
      <c r="I25" s="70"/>
      <c r="L25" s="23" t="s">
        <v>203</v>
      </c>
      <c r="M25" s="23" t="s">
        <v>150</v>
      </c>
      <c r="N25" s="24">
        <v>64.16</v>
      </c>
      <c r="O25" s="24">
        <v>64.16</v>
      </c>
      <c r="P25" s="24">
        <v>64.16</v>
      </c>
      <c r="Q25" s="24">
        <v>64.16</v>
      </c>
      <c r="R25" s="23"/>
      <c r="S25" s="23"/>
      <c r="T25" s="23"/>
      <c r="U25" s="23"/>
      <c r="W25" s="23"/>
      <c r="X25" s="23"/>
      <c r="Y25" s="23"/>
      <c r="Z25" s="23"/>
      <c r="AA25" s="23"/>
    </row>
    <row r="26" spans="2:27" x14ac:dyDescent="0.25">
      <c r="I26" s="70"/>
      <c r="L26" s="23" t="s">
        <v>203</v>
      </c>
      <c r="M26" s="23" t="s">
        <v>187</v>
      </c>
      <c r="N26" s="24">
        <f>21.9+22+22</f>
        <v>65.900000000000006</v>
      </c>
      <c r="O26" s="24">
        <v>0</v>
      </c>
      <c r="P26" s="23"/>
      <c r="Q26" s="24"/>
      <c r="R26" s="23"/>
      <c r="S26" s="23"/>
      <c r="T26" s="23"/>
      <c r="U26" s="23"/>
      <c r="W26" s="23"/>
      <c r="X26" s="23"/>
      <c r="Y26" s="23"/>
      <c r="Z26" s="23"/>
      <c r="AA26" s="23"/>
    </row>
    <row r="27" spans="2:27" x14ac:dyDescent="0.25">
      <c r="I27" s="70"/>
      <c r="L27" s="23" t="s">
        <v>203</v>
      </c>
      <c r="M27" s="23" t="s">
        <v>188</v>
      </c>
      <c r="N27" s="24">
        <v>21</v>
      </c>
      <c r="O27" s="24">
        <v>0</v>
      </c>
      <c r="P27" s="23"/>
      <c r="Q27" s="24"/>
      <c r="R27" s="23"/>
      <c r="S27" s="23"/>
      <c r="T27" s="23"/>
      <c r="U27" s="23"/>
      <c r="W27" s="23">
        <v>27</v>
      </c>
      <c r="X27" s="23"/>
      <c r="Y27" s="23"/>
      <c r="Z27" s="23"/>
      <c r="AA27" s="23"/>
    </row>
    <row r="28" spans="2:27" x14ac:dyDescent="0.25">
      <c r="L28" s="23" t="s">
        <v>203</v>
      </c>
      <c r="M28" s="23" t="s">
        <v>189</v>
      </c>
      <c r="N28" s="74">
        <v>289.17</v>
      </c>
      <c r="O28" s="24">
        <v>0</v>
      </c>
      <c r="P28" s="23"/>
      <c r="Q28" s="24"/>
      <c r="R28" s="23"/>
      <c r="S28" s="23"/>
      <c r="T28" s="23"/>
      <c r="U28" s="23"/>
      <c r="W28" s="23"/>
      <c r="X28" s="23"/>
      <c r="Y28" s="23"/>
      <c r="Z28" s="23"/>
      <c r="AA28" s="23"/>
    </row>
    <row r="29" spans="2:27" x14ac:dyDescent="0.25">
      <c r="L29" s="62" t="s">
        <v>203</v>
      </c>
      <c r="M29" s="23" t="s">
        <v>172</v>
      </c>
      <c r="N29" s="24">
        <v>0</v>
      </c>
      <c r="O29" s="24">
        <v>62.99</v>
      </c>
      <c r="P29" s="23"/>
      <c r="Q29" s="23"/>
      <c r="R29" s="23"/>
      <c r="S29" s="23"/>
      <c r="T29" s="23"/>
      <c r="U29" s="23"/>
      <c r="W29" s="23"/>
      <c r="X29" s="23"/>
      <c r="Y29" s="23"/>
      <c r="Z29" s="23"/>
      <c r="AA29" s="23"/>
    </row>
    <row r="30" spans="2:27" x14ac:dyDescent="0.25">
      <c r="I30" s="70"/>
      <c r="L30" s="62" t="s">
        <v>203</v>
      </c>
      <c r="M30" s="23" t="s">
        <v>172</v>
      </c>
      <c r="N30" s="24">
        <v>31.25</v>
      </c>
      <c r="O30" s="24">
        <v>31.25</v>
      </c>
      <c r="P30" s="24">
        <v>31.25</v>
      </c>
      <c r="Q30" s="24">
        <v>31.25</v>
      </c>
      <c r="R30" s="24">
        <v>31.25</v>
      </c>
      <c r="S30" s="23"/>
      <c r="T30" s="23"/>
      <c r="U30" s="23"/>
      <c r="W30" s="23"/>
      <c r="X30" s="23"/>
      <c r="Y30" s="23"/>
      <c r="Z30" s="23"/>
      <c r="AA30" s="23"/>
    </row>
    <row r="31" spans="2:27" x14ac:dyDescent="0.25">
      <c r="I31" s="70"/>
      <c r="L31" s="62" t="s">
        <v>203</v>
      </c>
      <c r="M31" s="23" t="s">
        <v>172</v>
      </c>
      <c r="N31" s="23"/>
      <c r="O31" s="24">
        <v>33.33</v>
      </c>
      <c r="P31" s="24">
        <v>33.33</v>
      </c>
      <c r="Q31" s="24">
        <v>33.33</v>
      </c>
      <c r="R31" s="23"/>
      <c r="S31" s="23"/>
      <c r="T31" s="23"/>
      <c r="U31" s="23"/>
      <c r="W31" s="23"/>
      <c r="X31" s="23"/>
      <c r="Y31" s="23"/>
      <c r="Z31" s="23"/>
      <c r="AA31" s="23"/>
    </row>
    <row r="32" spans="2:27" x14ac:dyDescent="0.25">
      <c r="I32" s="70"/>
      <c r="L32" s="23" t="s">
        <v>203</v>
      </c>
      <c r="M32" s="23" t="s">
        <v>174</v>
      </c>
      <c r="N32" s="23">
        <v>106.29</v>
      </c>
      <c r="O32" s="24">
        <v>108.29</v>
      </c>
      <c r="P32" s="23"/>
      <c r="Q32" s="23"/>
      <c r="R32" s="23"/>
      <c r="S32" s="23"/>
      <c r="T32" s="23"/>
      <c r="U32" s="23"/>
      <c r="W32" s="23"/>
      <c r="X32" s="23"/>
      <c r="Y32" s="23"/>
      <c r="Z32" s="23"/>
      <c r="AA32" s="23"/>
    </row>
    <row r="33" spans="9:28" x14ac:dyDescent="0.25">
      <c r="I33" s="70"/>
      <c r="L33" s="23" t="s">
        <v>203</v>
      </c>
      <c r="M33" s="23" t="s">
        <v>174</v>
      </c>
      <c r="N33" s="23">
        <v>58.43</v>
      </c>
      <c r="O33" s="24">
        <v>34.9</v>
      </c>
      <c r="P33" s="23"/>
      <c r="Q33" s="23"/>
      <c r="R33" s="23"/>
      <c r="S33" s="23"/>
      <c r="T33" s="23"/>
      <c r="U33" s="23"/>
      <c r="W33" s="23">
        <f>274.38+85.38+24.9</f>
        <v>384.65999999999997</v>
      </c>
      <c r="X33" s="23"/>
      <c r="Y33" s="23"/>
      <c r="Z33" s="23"/>
      <c r="AA33" s="23"/>
    </row>
    <row r="34" spans="9:28" x14ac:dyDescent="0.25">
      <c r="I34" s="70"/>
      <c r="L34" s="23" t="s">
        <v>203</v>
      </c>
      <c r="M34" s="23" t="s">
        <v>174</v>
      </c>
      <c r="N34" s="23">
        <v>87.14</v>
      </c>
      <c r="O34" s="24">
        <v>56.71</v>
      </c>
      <c r="P34" s="23"/>
      <c r="Q34" s="23"/>
      <c r="R34" s="23"/>
      <c r="S34" s="23"/>
      <c r="T34" s="23"/>
      <c r="U34" s="23"/>
      <c r="W34" s="23"/>
      <c r="X34" s="23"/>
      <c r="Y34" s="23"/>
      <c r="Z34" s="23"/>
      <c r="AA34" s="23"/>
    </row>
    <row r="35" spans="9:28" x14ac:dyDescent="0.25">
      <c r="I35" s="70"/>
      <c r="L35" s="23" t="s">
        <v>203</v>
      </c>
      <c r="M35" s="23" t="s">
        <v>177</v>
      </c>
      <c r="N35" s="23"/>
      <c r="O35" s="24">
        <v>70.8</v>
      </c>
      <c r="P35" s="23"/>
      <c r="Q35" s="23"/>
      <c r="R35" s="23"/>
      <c r="S35" s="23"/>
      <c r="T35" s="23"/>
      <c r="U35" s="23"/>
      <c r="W35" s="23">
        <v>43.6</v>
      </c>
      <c r="X35" s="23"/>
      <c r="Y35" s="23"/>
      <c r="Z35" s="23"/>
      <c r="AA35" s="23"/>
    </row>
    <row r="36" spans="9:28" x14ac:dyDescent="0.25">
      <c r="I36" s="70"/>
      <c r="L36" s="23" t="s">
        <v>203</v>
      </c>
      <c r="M36" s="23" t="s">
        <v>179</v>
      </c>
      <c r="N36" s="23"/>
      <c r="O36" s="24">
        <v>123.85</v>
      </c>
      <c r="P36" s="23"/>
      <c r="Q36" s="23"/>
      <c r="R36" s="23"/>
      <c r="S36" s="23"/>
      <c r="T36" s="23"/>
      <c r="U36" s="23"/>
      <c r="W36" s="23"/>
      <c r="X36" s="23"/>
      <c r="Y36" s="23"/>
      <c r="Z36" s="23"/>
      <c r="AA36" s="23"/>
    </row>
    <row r="37" spans="9:28" x14ac:dyDescent="0.25">
      <c r="I37" s="70"/>
      <c r="L37" s="23" t="s">
        <v>203</v>
      </c>
      <c r="M37" s="23" t="s">
        <v>179</v>
      </c>
      <c r="N37" s="23"/>
      <c r="O37" s="24">
        <v>110.31</v>
      </c>
      <c r="P37" s="23"/>
      <c r="Q37" s="23"/>
      <c r="R37" s="23"/>
      <c r="S37" s="23"/>
      <c r="T37" s="23"/>
      <c r="U37" s="23"/>
      <c r="W37" s="23"/>
      <c r="X37" s="23"/>
      <c r="Y37" s="23"/>
      <c r="Z37" s="23"/>
      <c r="AA37" s="23"/>
    </row>
    <row r="38" spans="9:28" x14ac:dyDescent="0.25">
      <c r="I38" s="70"/>
      <c r="L38" s="23" t="s">
        <v>203</v>
      </c>
      <c r="M38" s="23" t="s">
        <v>178</v>
      </c>
      <c r="N38" s="23"/>
      <c r="O38" s="24">
        <f>85+130</f>
        <v>215</v>
      </c>
      <c r="P38" s="23"/>
      <c r="Q38" s="23"/>
      <c r="R38" s="23"/>
      <c r="S38" s="23"/>
      <c r="T38" s="23"/>
      <c r="U38" s="23"/>
      <c r="W38" s="23"/>
      <c r="X38" s="23"/>
      <c r="Y38" s="23"/>
      <c r="Z38" s="23"/>
      <c r="AA38" s="23"/>
    </row>
    <row r="39" spans="9:28" x14ac:dyDescent="0.25">
      <c r="I39" s="70"/>
      <c r="L39" s="23" t="s">
        <v>203</v>
      </c>
      <c r="M39" s="23" t="s">
        <v>175</v>
      </c>
      <c r="N39" s="23"/>
      <c r="O39" s="24">
        <f>88+202.54+34.97+12.03+60+16+40+12.5+8+11.5</f>
        <v>485.53999999999996</v>
      </c>
      <c r="P39" s="23"/>
      <c r="Q39" s="23"/>
      <c r="R39" s="24"/>
      <c r="S39" s="23"/>
      <c r="T39" s="23"/>
      <c r="U39" s="23"/>
      <c r="W39" s="23"/>
      <c r="X39" s="23"/>
      <c r="Y39" s="23"/>
      <c r="Z39" s="23"/>
      <c r="AA39" s="23"/>
    </row>
    <row r="40" spans="9:28" x14ac:dyDescent="0.25">
      <c r="L40" s="23" t="s">
        <v>203</v>
      </c>
      <c r="M40" s="23" t="s">
        <v>259</v>
      </c>
      <c r="N40" s="23"/>
      <c r="O40" s="24"/>
      <c r="P40" s="23"/>
      <c r="Q40" s="23"/>
      <c r="R40" s="24"/>
      <c r="S40" s="23"/>
      <c r="T40" s="23"/>
      <c r="U40" s="23"/>
      <c r="W40" s="23">
        <v>833.34</v>
      </c>
      <c r="X40" s="23">
        <v>833.34</v>
      </c>
      <c r="Y40" s="23">
        <v>833.34</v>
      </c>
      <c r="Z40" s="23"/>
      <c r="AA40" s="23"/>
    </row>
    <row r="41" spans="9:28" x14ac:dyDescent="0.25">
      <c r="L41" s="23" t="s">
        <v>203</v>
      </c>
      <c r="M41" s="23" t="s">
        <v>261</v>
      </c>
      <c r="N41" s="23"/>
      <c r="O41" s="24"/>
      <c r="P41" s="23"/>
      <c r="Q41" s="23"/>
      <c r="R41" s="24"/>
      <c r="S41" s="23"/>
      <c r="T41" s="23"/>
      <c r="U41" s="23"/>
      <c r="W41" s="23">
        <f>64.3+47.96</f>
        <v>112.25999999999999</v>
      </c>
      <c r="X41" s="23"/>
      <c r="Y41" s="23"/>
      <c r="Z41" s="23"/>
      <c r="AA41" s="23"/>
    </row>
    <row r="42" spans="9:28" x14ac:dyDescent="0.25">
      <c r="L42" s="23" t="s">
        <v>203</v>
      </c>
      <c r="M42" s="23" t="s">
        <v>262</v>
      </c>
      <c r="N42" s="23"/>
      <c r="O42" s="24"/>
      <c r="P42" s="23"/>
      <c r="Q42" s="23"/>
      <c r="R42" s="24"/>
      <c r="S42" s="23"/>
      <c r="T42" s="23"/>
      <c r="U42" s="23"/>
      <c r="W42" s="23">
        <v>410</v>
      </c>
      <c r="X42" s="23"/>
      <c r="Y42" s="23"/>
      <c r="Z42" s="23"/>
      <c r="AA42" s="23"/>
    </row>
    <row r="43" spans="9:28" x14ac:dyDescent="0.25">
      <c r="L43" s="23" t="s">
        <v>203</v>
      </c>
      <c r="M43" s="23" t="s">
        <v>263</v>
      </c>
      <c r="N43" s="23"/>
      <c r="O43" s="24"/>
      <c r="P43" s="23"/>
      <c r="Q43" s="23"/>
      <c r="R43" s="24"/>
      <c r="S43" s="23"/>
      <c r="T43" s="23"/>
      <c r="U43" s="23"/>
      <c r="W43" s="23">
        <v>185.9</v>
      </c>
      <c r="X43" s="23"/>
      <c r="Y43" s="23"/>
      <c r="Z43" s="23"/>
      <c r="AA43" s="23"/>
    </row>
    <row r="44" spans="9:28" x14ac:dyDescent="0.25">
      <c r="L44" s="23" t="s">
        <v>195</v>
      </c>
      <c r="M44" s="23" t="s">
        <v>167</v>
      </c>
      <c r="N44" s="24">
        <v>53.66</v>
      </c>
      <c r="O44" s="24">
        <v>53.66</v>
      </c>
      <c r="P44" s="24">
        <v>53.66</v>
      </c>
      <c r="Q44" s="24">
        <v>53.66</v>
      </c>
      <c r="R44" s="24">
        <v>53.66</v>
      </c>
      <c r="S44" s="24">
        <v>53.66</v>
      </c>
      <c r="T44" s="24">
        <v>53.66</v>
      </c>
      <c r="U44" s="23"/>
      <c r="W44" s="23"/>
      <c r="X44" s="23"/>
      <c r="Y44" s="23"/>
      <c r="Z44" s="23"/>
      <c r="AA44" s="23"/>
      <c r="AB44" s="5"/>
    </row>
    <row r="45" spans="9:28" x14ac:dyDescent="0.25">
      <c r="L45" s="23" t="s">
        <v>195</v>
      </c>
      <c r="M45" s="23" t="s">
        <v>151</v>
      </c>
      <c r="N45" s="74">
        <v>192</v>
      </c>
      <c r="O45" s="24">
        <v>0</v>
      </c>
      <c r="P45" s="24">
        <v>0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  <c r="W45" s="23"/>
      <c r="X45" s="23"/>
      <c r="Y45" s="23"/>
      <c r="Z45" s="23"/>
      <c r="AA45" s="23"/>
    </row>
    <row r="46" spans="9:28" x14ac:dyDescent="0.25">
      <c r="L46" s="23" t="s">
        <v>195</v>
      </c>
      <c r="M46" s="23" t="s">
        <v>173</v>
      </c>
      <c r="N46" s="23"/>
      <c r="O46" s="24">
        <v>12.99</v>
      </c>
      <c r="P46" s="23"/>
      <c r="Q46" s="23"/>
      <c r="R46" s="23"/>
      <c r="S46" s="23"/>
      <c r="T46" s="23"/>
      <c r="U46" s="23"/>
      <c r="W46" s="23"/>
      <c r="X46" s="23"/>
      <c r="Y46" s="23"/>
      <c r="Z46" s="23"/>
      <c r="AA46" s="23"/>
    </row>
    <row r="47" spans="9:28" x14ac:dyDescent="0.25">
      <c r="L47" s="23" t="s">
        <v>195</v>
      </c>
      <c r="M47" s="23" t="s">
        <v>176</v>
      </c>
      <c r="N47" s="23"/>
      <c r="O47" s="24">
        <f>28+51.5+55.44</f>
        <v>134.94</v>
      </c>
      <c r="P47" s="23">
        <v>112.86</v>
      </c>
      <c r="Q47" s="23"/>
      <c r="R47" s="23"/>
      <c r="S47" s="23"/>
      <c r="T47" s="23"/>
      <c r="U47" s="23"/>
      <c r="W47" s="23"/>
      <c r="X47" s="23"/>
      <c r="Y47" s="23"/>
      <c r="Z47" s="23"/>
      <c r="AA47" s="23"/>
    </row>
    <row r="48" spans="9:28" x14ac:dyDescent="0.25">
      <c r="L48" s="23" t="s">
        <v>195</v>
      </c>
      <c r="M48" s="23" t="s">
        <v>182</v>
      </c>
      <c r="N48" s="23"/>
      <c r="O48" s="74">
        <f>364.23</f>
        <v>364.23</v>
      </c>
      <c r="P48" s="23"/>
      <c r="Q48" s="23"/>
      <c r="R48" s="23"/>
      <c r="S48" s="23"/>
      <c r="T48" s="23"/>
      <c r="U48" s="23"/>
      <c r="W48" s="23"/>
      <c r="X48" s="23"/>
      <c r="Y48" s="23"/>
      <c r="Z48" s="23"/>
      <c r="AA48" s="23"/>
    </row>
    <row r="49" spans="12:29" x14ac:dyDescent="0.25">
      <c r="L49" s="23" t="s">
        <v>195</v>
      </c>
      <c r="M49" s="23" t="s">
        <v>260</v>
      </c>
      <c r="N49" s="23"/>
      <c r="O49" s="24"/>
      <c r="P49" s="23"/>
      <c r="Q49" s="23"/>
      <c r="R49" s="24"/>
      <c r="S49" s="23"/>
      <c r="T49" s="23"/>
      <c r="U49" s="23"/>
      <c r="W49" s="23">
        <f>16.01+18.5</f>
        <v>34.510000000000005</v>
      </c>
      <c r="X49" s="23"/>
      <c r="Y49" s="23"/>
      <c r="Z49" s="23"/>
      <c r="AA49" s="23"/>
    </row>
    <row r="50" spans="12:29" x14ac:dyDescent="0.25">
      <c r="L50" s="23" t="s">
        <v>200</v>
      </c>
      <c r="M50" s="23" t="s">
        <v>165</v>
      </c>
      <c r="N50" s="24">
        <v>3.5</v>
      </c>
      <c r="O50" s="24">
        <v>3.5</v>
      </c>
      <c r="P50" s="23"/>
      <c r="Q50" s="23"/>
      <c r="R50" s="23"/>
      <c r="S50" s="23"/>
      <c r="T50" s="23"/>
      <c r="U50" s="23"/>
      <c r="W50" s="23">
        <v>4.9000000000000004</v>
      </c>
      <c r="X50" s="23"/>
      <c r="Y50" s="23"/>
      <c r="Z50" s="23"/>
      <c r="AA50" s="23"/>
      <c r="AB50" s="5"/>
    </row>
    <row r="51" spans="12:29" x14ac:dyDescent="0.25">
      <c r="L51" s="23" t="s">
        <v>200</v>
      </c>
      <c r="M51" s="23" t="s">
        <v>160</v>
      </c>
      <c r="N51" s="24">
        <v>250</v>
      </c>
      <c r="O51" s="24">
        <v>250</v>
      </c>
      <c r="P51" s="24">
        <v>250</v>
      </c>
      <c r="Q51" s="24">
        <v>250</v>
      </c>
      <c r="R51" s="24">
        <v>250</v>
      </c>
      <c r="S51" s="24">
        <v>250</v>
      </c>
      <c r="T51" s="24">
        <v>250</v>
      </c>
      <c r="U51" s="24">
        <v>250</v>
      </c>
      <c r="W51" s="23"/>
      <c r="X51" s="23"/>
      <c r="Y51" s="23"/>
      <c r="Z51" s="23"/>
      <c r="AA51" s="23"/>
    </row>
    <row r="52" spans="12:29" x14ac:dyDescent="0.25">
      <c r="L52" s="23" t="s">
        <v>200</v>
      </c>
      <c r="M52" s="23" t="s">
        <v>157</v>
      </c>
      <c r="N52" s="24">
        <v>87.47</v>
      </c>
      <c r="O52" s="24">
        <v>87.47</v>
      </c>
      <c r="P52" s="23"/>
      <c r="Q52" s="23"/>
      <c r="R52" s="23"/>
      <c r="S52" s="23"/>
      <c r="T52" s="23"/>
      <c r="U52" s="23"/>
      <c r="W52" s="23"/>
      <c r="X52" s="23"/>
      <c r="Y52" s="23"/>
      <c r="Z52" s="23"/>
      <c r="AA52" s="23"/>
    </row>
    <row r="53" spans="12:29" x14ac:dyDescent="0.25">
      <c r="L53" s="23" t="s">
        <v>200</v>
      </c>
      <c r="M53" s="23" t="s">
        <v>185</v>
      </c>
      <c r="N53" s="24">
        <v>0</v>
      </c>
      <c r="O53" s="74">
        <v>111.43</v>
      </c>
      <c r="P53" s="23">
        <v>101.48</v>
      </c>
      <c r="Q53" s="24">
        <v>0</v>
      </c>
      <c r="R53" s="24">
        <v>0</v>
      </c>
      <c r="S53" s="24">
        <v>0</v>
      </c>
      <c r="T53" s="24">
        <v>0</v>
      </c>
      <c r="U53" s="24">
        <v>0</v>
      </c>
      <c r="W53" s="23"/>
      <c r="X53" s="23"/>
      <c r="Y53" s="23"/>
      <c r="Z53" s="23"/>
      <c r="AA53" s="23"/>
    </row>
    <row r="54" spans="12:29" x14ac:dyDescent="0.25">
      <c r="L54" s="23" t="s">
        <v>200</v>
      </c>
      <c r="M54" s="23" t="s">
        <v>183</v>
      </c>
      <c r="N54" s="74">
        <v>60</v>
      </c>
      <c r="O54" s="74">
        <v>60</v>
      </c>
      <c r="P54" s="23"/>
      <c r="Q54" s="23"/>
      <c r="R54" s="23"/>
      <c r="S54" s="23"/>
      <c r="T54" s="23"/>
      <c r="U54" s="23"/>
      <c r="W54" s="23">
        <v>60</v>
      </c>
      <c r="X54" s="23"/>
      <c r="Y54" s="23"/>
      <c r="Z54" s="23"/>
      <c r="AA54" s="23"/>
    </row>
    <row r="55" spans="12:29" x14ac:dyDescent="0.25">
      <c r="L55" s="23" t="s">
        <v>200</v>
      </c>
      <c r="M55" s="23" t="s">
        <v>148</v>
      </c>
      <c r="N55" s="24">
        <v>51.58</v>
      </c>
      <c r="O55" s="24">
        <v>51.58</v>
      </c>
      <c r="P55" s="24">
        <v>51.58</v>
      </c>
      <c r="Q55" s="24">
        <v>51.58</v>
      </c>
      <c r="R55" s="24">
        <v>51.58</v>
      </c>
      <c r="S55" s="23"/>
      <c r="T55" s="23"/>
      <c r="U55" s="23"/>
      <c r="W55" s="23"/>
      <c r="X55" s="23"/>
      <c r="Y55" s="23"/>
      <c r="Z55" s="23"/>
      <c r="AA55" s="23"/>
    </row>
    <row r="56" spans="12:29" x14ac:dyDescent="0.25">
      <c r="L56" s="23" t="s">
        <v>197</v>
      </c>
      <c r="M56" s="23" t="s">
        <v>162</v>
      </c>
      <c r="N56" s="74">
        <v>46.63</v>
      </c>
      <c r="O56" s="24">
        <v>0</v>
      </c>
      <c r="P56" s="23"/>
      <c r="Q56" s="23"/>
      <c r="R56" s="23"/>
      <c r="S56" s="23"/>
      <c r="T56" s="23"/>
      <c r="U56" s="23"/>
      <c r="W56" s="23"/>
      <c r="X56" s="23"/>
      <c r="Y56" s="23"/>
      <c r="Z56" s="23"/>
      <c r="AA56" s="23"/>
    </row>
    <row r="57" spans="12:29" x14ac:dyDescent="0.25">
      <c r="L57" s="23" t="s">
        <v>202</v>
      </c>
      <c r="M57" s="23" t="s">
        <v>153</v>
      </c>
      <c r="N57" s="74">
        <v>59.83</v>
      </c>
      <c r="O57" s="24">
        <v>0</v>
      </c>
      <c r="P57" s="24">
        <v>0</v>
      </c>
      <c r="Q57" s="24">
        <v>0</v>
      </c>
      <c r="R57" s="24">
        <v>0</v>
      </c>
      <c r="S57" s="24">
        <v>0</v>
      </c>
      <c r="T57" s="24">
        <v>0</v>
      </c>
      <c r="U57" s="24">
        <v>0</v>
      </c>
      <c r="W57" s="23"/>
      <c r="X57" s="23"/>
      <c r="Y57" s="23"/>
      <c r="Z57" s="23"/>
      <c r="AA57" s="23"/>
    </row>
    <row r="58" spans="12:29" x14ac:dyDescent="0.25">
      <c r="L58" s="23" t="s">
        <v>194</v>
      </c>
      <c r="M58" s="23" t="s">
        <v>169</v>
      </c>
      <c r="N58" s="24">
        <v>122.13</v>
      </c>
      <c r="O58" s="24">
        <v>0</v>
      </c>
      <c r="P58" s="23"/>
      <c r="Q58" s="23"/>
      <c r="R58" s="23"/>
      <c r="S58" s="23"/>
      <c r="T58" s="23"/>
      <c r="U58" s="23"/>
      <c r="W58" s="23"/>
      <c r="X58" s="23"/>
      <c r="Y58" s="23"/>
      <c r="Z58" s="23"/>
      <c r="AA58" s="23"/>
      <c r="AB58" s="5"/>
    </row>
    <row r="59" spans="12:29" x14ac:dyDescent="0.25">
      <c r="L59" s="23" t="s">
        <v>194</v>
      </c>
      <c r="M59" s="23" t="s">
        <v>257</v>
      </c>
      <c r="N59" s="23"/>
      <c r="O59" s="24"/>
      <c r="P59" s="23"/>
      <c r="Q59" s="23"/>
      <c r="R59" s="24"/>
      <c r="S59" s="23"/>
      <c r="T59" s="23"/>
      <c r="U59" s="23"/>
      <c r="W59" s="23">
        <v>50</v>
      </c>
      <c r="X59" s="23"/>
      <c r="Y59" s="23"/>
      <c r="Z59" s="23"/>
      <c r="AA59" s="23"/>
    </row>
    <row r="60" spans="12:29" x14ac:dyDescent="0.25">
      <c r="L60" s="23" t="s">
        <v>196</v>
      </c>
      <c r="M60" s="23" t="s">
        <v>166</v>
      </c>
      <c r="N60" s="24">
        <v>19.899999999999999</v>
      </c>
      <c r="O60" s="24">
        <v>19.989999999999998</v>
      </c>
      <c r="P60" s="23"/>
      <c r="Q60" s="23"/>
      <c r="R60" s="23"/>
      <c r="S60" s="23"/>
      <c r="T60" s="23"/>
      <c r="U60" s="23"/>
      <c r="W60" s="23"/>
      <c r="X60" s="23"/>
      <c r="Y60" s="23"/>
      <c r="Z60" s="23"/>
      <c r="AA60" s="23"/>
      <c r="AB60" s="5"/>
    </row>
    <row r="61" spans="12:29" x14ac:dyDescent="0.25">
      <c r="L61" s="23" t="s">
        <v>196</v>
      </c>
      <c r="M61" s="23" t="s">
        <v>164</v>
      </c>
      <c r="N61" s="24">
        <v>150</v>
      </c>
      <c r="O61" s="24">
        <v>150</v>
      </c>
      <c r="P61" s="24">
        <v>150</v>
      </c>
      <c r="Q61" s="24">
        <v>150</v>
      </c>
      <c r="R61" s="24">
        <v>150</v>
      </c>
      <c r="S61" s="24">
        <v>150</v>
      </c>
      <c r="T61" s="24">
        <v>150</v>
      </c>
      <c r="U61" s="24">
        <v>150</v>
      </c>
      <c r="W61" s="24">
        <v>150</v>
      </c>
      <c r="X61" s="24">
        <v>150</v>
      </c>
      <c r="Y61" s="23"/>
      <c r="Z61" s="23"/>
      <c r="AA61" s="23"/>
      <c r="AB61" s="5"/>
    </row>
    <row r="62" spans="12:29" x14ac:dyDescent="0.25">
      <c r="L62" s="23" t="s">
        <v>196</v>
      </c>
      <c r="M62" s="23" t="s">
        <v>163</v>
      </c>
      <c r="N62" s="24">
        <v>20</v>
      </c>
      <c r="O62" s="24">
        <v>20</v>
      </c>
      <c r="P62" s="23"/>
      <c r="Q62" s="23"/>
      <c r="R62" s="23"/>
      <c r="S62" s="23"/>
      <c r="T62" s="23"/>
      <c r="U62" s="23"/>
      <c r="W62" s="23"/>
      <c r="X62" s="23"/>
      <c r="Y62" s="23"/>
      <c r="Z62" s="23"/>
      <c r="AA62" s="23"/>
      <c r="AB62" s="7"/>
      <c r="AC62" s="5"/>
    </row>
    <row r="63" spans="12:29" x14ac:dyDescent="0.25">
      <c r="L63" s="23" t="s">
        <v>196</v>
      </c>
      <c r="M63" s="23" t="s">
        <v>163</v>
      </c>
      <c r="N63" s="24">
        <v>20</v>
      </c>
      <c r="O63" s="24">
        <v>20</v>
      </c>
      <c r="P63" s="23"/>
      <c r="Q63" s="23"/>
      <c r="R63" s="23"/>
      <c r="S63" s="23"/>
      <c r="T63" s="23"/>
      <c r="U63" s="23"/>
      <c r="W63" s="23">
        <v>20</v>
      </c>
      <c r="X63" s="23"/>
      <c r="Y63" s="23"/>
      <c r="Z63" s="23"/>
      <c r="AA63" s="23"/>
      <c r="AC63" s="5"/>
    </row>
    <row r="64" spans="12:29" x14ac:dyDescent="0.25">
      <c r="L64" s="23" t="s">
        <v>196</v>
      </c>
      <c r="M64" s="23" t="s">
        <v>163</v>
      </c>
      <c r="N64" s="24">
        <v>20</v>
      </c>
      <c r="O64" s="24">
        <v>20</v>
      </c>
      <c r="P64" s="23"/>
      <c r="Q64" s="23"/>
      <c r="R64" s="23"/>
      <c r="S64" s="23"/>
      <c r="T64" s="23"/>
      <c r="U64" s="23"/>
      <c r="W64" s="23">
        <v>20</v>
      </c>
      <c r="X64" s="23"/>
      <c r="Y64" s="23"/>
      <c r="Z64" s="23"/>
      <c r="AA64" s="23"/>
    </row>
    <row r="65" spans="12:28" x14ac:dyDescent="0.25">
      <c r="L65" s="23" t="s">
        <v>196</v>
      </c>
      <c r="M65" s="23" t="s">
        <v>163</v>
      </c>
      <c r="N65" s="24">
        <v>20</v>
      </c>
      <c r="O65" s="24">
        <v>20</v>
      </c>
      <c r="P65" s="23"/>
      <c r="Q65" s="23"/>
      <c r="R65" s="23"/>
      <c r="S65" s="23"/>
      <c r="T65" s="23"/>
      <c r="U65" s="23"/>
      <c r="W65" s="23">
        <v>20</v>
      </c>
      <c r="X65" s="23"/>
      <c r="Y65" s="23"/>
      <c r="Z65" s="23"/>
      <c r="AA65" s="23"/>
    </row>
    <row r="66" spans="12:28" x14ac:dyDescent="0.25">
      <c r="L66" s="23" t="s">
        <v>196</v>
      </c>
      <c r="M66" s="23" t="s">
        <v>163</v>
      </c>
      <c r="N66" s="24">
        <v>20</v>
      </c>
      <c r="O66" s="24">
        <v>20</v>
      </c>
      <c r="P66" s="23"/>
      <c r="Q66" s="23"/>
      <c r="R66" s="23"/>
      <c r="S66" s="23"/>
      <c r="T66" s="23"/>
      <c r="U66" s="23"/>
      <c r="W66" s="23">
        <v>20</v>
      </c>
      <c r="X66" s="23"/>
      <c r="Y66" s="23"/>
      <c r="Z66" s="23"/>
      <c r="AA66" s="23"/>
    </row>
    <row r="67" spans="12:28" x14ac:dyDescent="0.25">
      <c r="L67" s="23" t="s">
        <v>196</v>
      </c>
      <c r="M67" s="23" t="s">
        <v>163</v>
      </c>
      <c r="N67" s="24">
        <v>20</v>
      </c>
      <c r="O67" s="24">
        <v>20</v>
      </c>
      <c r="P67" s="23"/>
      <c r="Q67" s="23"/>
      <c r="R67" s="23"/>
      <c r="S67" s="23"/>
      <c r="T67" s="23"/>
      <c r="U67" s="23"/>
      <c r="W67" s="23"/>
      <c r="X67" s="23"/>
      <c r="Y67" s="23"/>
      <c r="Z67" s="23"/>
      <c r="AA67" s="23"/>
    </row>
    <row r="68" spans="12:28" x14ac:dyDescent="0.25">
      <c r="L68" s="23" t="s">
        <v>196</v>
      </c>
      <c r="M68" s="23" t="s">
        <v>163</v>
      </c>
      <c r="N68" s="24">
        <v>20</v>
      </c>
      <c r="O68" s="24">
        <v>0</v>
      </c>
      <c r="P68" s="23"/>
      <c r="Q68" s="23"/>
      <c r="R68" s="23"/>
      <c r="S68" s="23"/>
      <c r="T68" s="23"/>
      <c r="U68" s="23"/>
      <c r="W68" s="23"/>
      <c r="X68" s="23"/>
      <c r="Y68" s="23"/>
      <c r="Z68" s="23"/>
      <c r="AA68" s="23"/>
      <c r="AB68" s="5"/>
    </row>
    <row r="69" spans="12:28" x14ac:dyDescent="0.25">
      <c r="L69" s="23" t="s">
        <v>196</v>
      </c>
      <c r="M69" s="23" t="s">
        <v>163</v>
      </c>
      <c r="N69" s="24">
        <v>20</v>
      </c>
      <c r="O69" s="24">
        <v>0</v>
      </c>
      <c r="P69" s="23"/>
      <c r="Q69" s="23"/>
      <c r="R69" s="23"/>
      <c r="S69" s="23"/>
      <c r="T69" s="23"/>
      <c r="U69" s="23"/>
      <c r="W69" s="23"/>
      <c r="X69" s="23"/>
      <c r="Y69" s="23"/>
      <c r="Z69" s="23"/>
      <c r="AA69" s="23"/>
    </row>
    <row r="70" spans="12:28" x14ac:dyDescent="0.25">
      <c r="L70" s="23" t="s">
        <v>196</v>
      </c>
      <c r="M70" s="23" t="s">
        <v>163</v>
      </c>
      <c r="N70" s="24">
        <v>20</v>
      </c>
      <c r="O70" s="24">
        <v>0</v>
      </c>
      <c r="P70" s="23"/>
      <c r="Q70" s="23"/>
      <c r="R70" s="23"/>
      <c r="S70" s="23"/>
      <c r="T70" s="23"/>
      <c r="U70" s="23"/>
      <c r="W70" s="23">
        <v>20</v>
      </c>
      <c r="X70" s="23"/>
      <c r="Y70" s="23"/>
      <c r="Z70" s="23"/>
      <c r="AA70" s="23"/>
      <c r="AB70" s="7"/>
    </row>
    <row r="71" spans="12:28" x14ac:dyDescent="0.25">
      <c r="L71" s="23" t="s">
        <v>196</v>
      </c>
      <c r="M71" s="23" t="s">
        <v>163</v>
      </c>
      <c r="N71" s="24">
        <v>20</v>
      </c>
      <c r="O71" s="24">
        <v>0</v>
      </c>
      <c r="P71" s="23"/>
      <c r="Q71" s="23"/>
      <c r="R71" s="23"/>
      <c r="S71" s="23"/>
      <c r="T71" s="23"/>
      <c r="U71" s="23"/>
      <c r="W71" s="23">
        <v>20</v>
      </c>
      <c r="X71" s="23"/>
      <c r="Y71" s="23"/>
      <c r="Z71" s="23"/>
      <c r="AA71" s="23"/>
    </row>
    <row r="72" spans="12:28" x14ac:dyDescent="0.25">
      <c r="L72" s="23" t="s">
        <v>196</v>
      </c>
      <c r="M72" s="23" t="s">
        <v>161</v>
      </c>
      <c r="N72" s="24">
        <v>875</v>
      </c>
      <c r="O72" s="24">
        <v>875</v>
      </c>
      <c r="P72" s="24">
        <v>875</v>
      </c>
      <c r="Q72" s="23"/>
      <c r="R72" s="23"/>
      <c r="S72" s="23"/>
      <c r="T72" s="23"/>
      <c r="U72" s="23"/>
      <c r="W72" s="23"/>
      <c r="X72" s="23"/>
      <c r="Y72" s="23"/>
      <c r="Z72" s="23"/>
      <c r="AA72" s="23"/>
    </row>
    <row r="73" spans="12:28" x14ac:dyDescent="0.25">
      <c r="L73" s="23" t="s">
        <v>196</v>
      </c>
      <c r="M73" s="23" t="s">
        <v>149</v>
      </c>
      <c r="N73" s="24">
        <v>26.38</v>
      </c>
      <c r="O73" s="24">
        <v>38.17</v>
      </c>
      <c r="P73" s="77">
        <v>31.56</v>
      </c>
      <c r="Q73" s="23"/>
      <c r="R73" s="23"/>
      <c r="S73" s="23"/>
      <c r="T73" s="23"/>
      <c r="U73" s="23"/>
      <c r="W73" s="23">
        <v>14.4</v>
      </c>
      <c r="X73" s="23"/>
      <c r="Y73" s="23"/>
      <c r="Z73" s="23"/>
      <c r="AA73" s="23"/>
    </row>
    <row r="74" spans="12:28" x14ac:dyDescent="0.25">
      <c r="L74" s="23" t="s">
        <v>196</v>
      </c>
      <c r="M74" s="23" t="s">
        <v>149</v>
      </c>
      <c r="N74" s="24">
        <v>30.72</v>
      </c>
      <c r="O74" s="24">
        <v>31.57</v>
      </c>
      <c r="P74" s="23"/>
      <c r="Q74" s="23"/>
      <c r="R74" s="23"/>
      <c r="S74" s="23"/>
      <c r="T74" s="23"/>
      <c r="U74" s="23"/>
      <c r="W74" s="23">
        <v>28.19</v>
      </c>
      <c r="X74" s="23"/>
      <c r="Y74" s="23"/>
      <c r="Z74" s="23"/>
      <c r="AA74" s="23"/>
    </row>
    <row r="75" spans="12:28" x14ac:dyDescent="0.25">
      <c r="L75" s="23" t="s">
        <v>196</v>
      </c>
      <c r="M75" s="23" t="s">
        <v>149</v>
      </c>
      <c r="N75" s="24">
        <v>29.91</v>
      </c>
      <c r="O75" s="24">
        <v>37.020000000000003</v>
      </c>
      <c r="P75" s="23"/>
      <c r="Q75" s="23"/>
      <c r="R75" s="23"/>
      <c r="S75" s="23"/>
      <c r="T75" s="23"/>
      <c r="U75" s="23"/>
      <c r="W75" s="23">
        <v>16.850000000000001</v>
      </c>
      <c r="X75" s="23"/>
      <c r="Y75" s="23"/>
      <c r="Z75" s="23"/>
      <c r="AA75" s="23"/>
    </row>
    <row r="76" spans="12:28" x14ac:dyDescent="0.25">
      <c r="L76" s="23" t="s">
        <v>196</v>
      </c>
      <c r="M76" s="23" t="s">
        <v>149</v>
      </c>
      <c r="N76" s="24">
        <v>34.67</v>
      </c>
      <c r="O76" s="24">
        <v>41.14</v>
      </c>
      <c r="P76" s="23"/>
      <c r="Q76" s="23"/>
      <c r="R76" s="23"/>
      <c r="S76" s="23"/>
      <c r="T76" s="23"/>
      <c r="U76" s="23"/>
      <c r="W76" s="23">
        <v>42.93</v>
      </c>
      <c r="X76" s="23"/>
      <c r="Y76" s="23"/>
      <c r="Z76" s="23"/>
      <c r="AA76" s="23"/>
    </row>
    <row r="77" spans="12:28" x14ac:dyDescent="0.25">
      <c r="L77" s="23" t="s">
        <v>196</v>
      </c>
      <c r="M77" s="23" t="s">
        <v>149</v>
      </c>
      <c r="N77" s="24">
        <v>24.94</v>
      </c>
      <c r="O77" s="24">
        <v>34.729999999999997</v>
      </c>
      <c r="P77" s="23"/>
      <c r="Q77" s="23"/>
      <c r="R77" s="23"/>
      <c r="S77" s="23"/>
      <c r="T77" s="23"/>
      <c r="U77" s="23"/>
      <c r="W77" s="23">
        <v>25.63</v>
      </c>
      <c r="X77" s="23"/>
      <c r="Y77" s="23"/>
      <c r="Z77" s="23"/>
      <c r="AA77" s="23"/>
    </row>
    <row r="78" spans="12:28" x14ac:dyDescent="0.25">
      <c r="L78" s="23" t="s">
        <v>196</v>
      </c>
      <c r="M78" s="23" t="s">
        <v>149</v>
      </c>
      <c r="N78" s="24">
        <v>22.75</v>
      </c>
      <c r="O78" s="24">
        <v>44.9</v>
      </c>
      <c r="P78" s="23"/>
      <c r="Q78" s="23"/>
      <c r="R78" s="23"/>
      <c r="S78" s="23"/>
      <c r="T78" s="23"/>
      <c r="U78" s="23"/>
      <c r="W78" s="23">
        <v>46.4</v>
      </c>
      <c r="X78" s="23"/>
      <c r="Y78" s="23"/>
      <c r="Z78" s="23"/>
      <c r="AA78" s="23"/>
    </row>
    <row r="79" spans="12:28" x14ac:dyDescent="0.25">
      <c r="L79" s="23" t="s">
        <v>196</v>
      </c>
      <c r="M79" s="23" t="s">
        <v>149</v>
      </c>
      <c r="N79" s="24">
        <v>27.97</v>
      </c>
      <c r="O79" s="24">
        <v>46.76</v>
      </c>
      <c r="P79" s="23"/>
      <c r="Q79" s="23"/>
      <c r="R79" s="23"/>
      <c r="S79" s="23"/>
      <c r="T79" s="23"/>
      <c r="U79" s="23"/>
      <c r="W79" s="23">
        <v>43.12</v>
      </c>
      <c r="X79" s="23"/>
      <c r="Y79" s="23"/>
      <c r="Z79" s="23"/>
      <c r="AA79" s="23"/>
    </row>
    <row r="80" spans="12:28" x14ac:dyDescent="0.25">
      <c r="L80" s="23" t="s">
        <v>196</v>
      </c>
      <c r="M80" s="23" t="s">
        <v>149</v>
      </c>
      <c r="N80" s="24">
        <v>44.93</v>
      </c>
      <c r="O80" s="24">
        <v>8.4700000000000006</v>
      </c>
      <c r="P80" s="23"/>
      <c r="Q80" s="23"/>
      <c r="R80" s="23"/>
      <c r="S80" s="23"/>
      <c r="T80" s="23"/>
      <c r="U80" s="23"/>
      <c r="W80" s="23">
        <v>36.76</v>
      </c>
      <c r="X80" s="23"/>
      <c r="Y80" s="23"/>
      <c r="Z80" s="23"/>
      <c r="AA80" s="23"/>
    </row>
    <row r="81" spans="12:27" x14ac:dyDescent="0.25">
      <c r="L81" s="23" t="s">
        <v>196</v>
      </c>
      <c r="M81" s="23" t="s">
        <v>149</v>
      </c>
      <c r="N81" s="24">
        <v>9.92</v>
      </c>
      <c r="O81" s="24">
        <v>27.93</v>
      </c>
      <c r="P81" s="23"/>
      <c r="Q81" s="23"/>
      <c r="R81" s="23"/>
      <c r="S81" s="23"/>
      <c r="T81" s="23"/>
      <c r="U81" s="23"/>
      <c r="W81" s="23">
        <v>11.93</v>
      </c>
      <c r="X81" s="23"/>
      <c r="Y81" s="23"/>
      <c r="Z81" s="23"/>
      <c r="AA81" s="23"/>
    </row>
    <row r="82" spans="12:27" x14ac:dyDescent="0.25">
      <c r="L82" s="23" t="s">
        <v>196</v>
      </c>
      <c r="M82" s="23" t="s">
        <v>149</v>
      </c>
      <c r="N82" s="24">
        <v>34.99</v>
      </c>
      <c r="O82" s="75">
        <v>15.48</v>
      </c>
      <c r="P82" s="23"/>
      <c r="Q82" s="23"/>
      <c r="R82" s="23"/>
      <c r="S82" s="23"/>
      <c r="T82" s="23"/>
      <c r="U82" s="23"/>
      <c r="W82" s="23">
        <v>18.5</v>
      </c>
      <c r="X82" s="23"/>
      <c r="Y82" s="23"/>
      <c r="Z82" s="23"/>
      <c r="AA82" s="23"/>
    </row>
    <row r="83" spans="12:27" x14ac:dyDescent="0.25">
      <c r="L83" s="23" t="s">
        <v>196</v>
      </c>
      <c r="M83" s="23" t="s">
        <v>149</v>
      </c>
      <c r="N83" s="24">
        <v>35.85</v>
      </c>
      <c r="O83" s="24">
        <v>0</v>
      </c>
      <c r="P83" s="23"/>
      <c r="Q83" s="24"/>
      <c r="R83" s="23"/>
      <c r="S83" s="23"/>
      <c r="T83" s="23"/>
      <c r="U83" s="23"/>
      <c r="W83" s="23">
        <v>47.03</v>
      </c>
      <c r="X83" s="23"/>
      <c r="Y83" s="23"/>
      <c r="Z83" s="23"/>
      <c r="AA83" s="23"/>
    </row>
    <row r="84" spans="12:27" x14ac:dyDescent="0.25">
      <c r="L84" s="23" t="s">
        <v>196</v>
      </c>
      <c r="M84" s="23" t="s">
        <v>149</v>
      </c>
      <c r="N84" s="24">
        <v>24.91</v>
      </c>
      <c r="O84" s="24">
        <v>0</v>
      </c>
      <c r="P84" s="23"/>
      <c r="Q84" s="24"/>
      <c r="R84" s="23"/>
      <c r="S84" s="23"/>
      <c r="T84" s="23"/>
      <c r="U84" s="23"/>
      <c r="W84" s="23">
        <v>30.6</v>
      </c>
      <c r="X84" s="23"/>
      <c r="Y84" s="23"/>
      <c r="Z84" s="23"/>
      <c r="AA84" s="23"/>
    </row>
    <row r="85" spans="12:27" x14ac:dyDescent="0.25">
      <c r="L85" s="23" t="s">
        <v>196</v>
      </c>
      <c r="M85" s="23" t="s">
        <v>149</v>
      </c>
      <c r="N85" s="24">
        <v>19.98</v>
      </c>
      <c r="O85" s="24">
        <v>0</v>
      </c>
      <c r="P85" s="23"/>
      <c r="Q85" s="24"/>
      <c r="R85" s="23"/>
      <c r="S85" s="23"/>
      <c r="T85" s="23"/>
      <c r="U85" s="23"/>
      <c r="W85" s="23">
        <v>20.12</v>
      </c>
      <c r="X85" s="23"/>
      <c r="Y85" s="23"/>
      <c r="Z85" s="23"/>
      <c r="AA85" s="23"/>
    </row>
    <row r="86" spans="12:27" x14ac:dyDescent="0.25">
      <c r="L86" s="23" t="s">
        <v>196</v>
      </c>
      <c r="M86" s="23" t="s">
        <v>149</v>
      </c>
      <c r="N86" s="24">
        <v>14.9</v>
      </c>
      <c r="O86" s="24">
        <v>0</v>
      </c>
      <c r="P86" s="23"/>
      <c r="Q86" s="24"/>
      <c r="R86" s="23"/>
      <c r="S86" s="23"/>
      <c r="T86" s="23"/>
      <c r="U86" s="23"/>
      <c r="W86" s="23"/>
      <c r="X86" s="23"/>
      <c r="Y86" s="23"/>
      <c r="Z86" s="23"/>
      <c r="AA86" s="23"/>
    </row>
    <row r="87" spans="12:27" x14ac:dyDescent="0.25">
      <c r="L87" s="23" t="s">
        <v>196</v>
      </c>
      <c r="M87" s="23" t="s">
        <v>149</v>
      </c>
      <c r="N87" s="24">
        <v>35.880000000000003</v>
      </c>
      <c r="O87" s="24">
        <v>0</v>
      </c>
      <c r="P87" s="23"/>
      <c r="Q87" s="24"/>
      <c r="R87" s="23"/>
      <c r="S87" s="23"/>
      <c r="T87" s="23"/>
      <c r="U87" s="23"/>
      <c r="W87" s="23"/>
      <c r="X87" s="23"/>
      <c r="Y87" s="23"/>
      <c r="Z87" s="23"/>
      <c r="AA87" s="23"/>
    </row>
    <row r="88" spans="12:27" x14ac:dyDescent="0.25">
      <c r="L88" s="23" t="s">
        <v>196</v>
      </c>
      <c r="M88" s="23" t="s">
        <v>102</v>
      </c>
      <c r="N88" s="23"/>
      <c r="O88" s="24"/>
      <c r="P88" s="23"/>
      <c r="Q88" s="23"/>
      <c r="R88" s="24"/>
      <c r="S88" s="23"/>
      <c r="T88" s="23"/>
      <c r="U88" s="23"/>
      <c r="W88" s="23">
        <v>85.64</v>
      </c>
      <c r="X88" s="23"/>
      <c r="Y88" s="23"/>
      <c r="Z88" s="23"/>
      <c r="AA88" s="23"/>
    </row>
    <row r="89" spans="12:27" x14ac:dyDescent="0.25">
      <c r="L89" s="23"/>
      <c r="M89" s="23" t="s">
        <v>264</v>
      </c>
      <c r="N89" s="23"/>
      <c r="O89" s="24"/>
      <c r="P89" s="23"/>
      <c r="Q89" s="23"/>
      <c r="R89" s="24"/>
      <c r="S89" s="23"/>
      <c r="T89" s="23"/>
      <c r="U89" s="23"/>
      <c r="W89" s="23">
        <f>38.9+63.56</f>
        <v>102.46000000000001</v>
      </c>
      <c r="X89" s="23"/>
      <c r="Y89" s="23"/>
      <c r="Z89" s="23"/>
      <c r="AA89" s="23"/>
    </row>
    <row r="90" spans="12:27" x14ac:dyDescent="0.25">
      <c r="L90" s="23"/>
      <c r="M90" s="23" t="s">
        <v>265</v>
      </c>
      <c r="N90" s="23"/>
      <c r="O90" s="24"/>
      <c r="P90" s="23"/>
      <c r="Q90" s="23"/>
      <c r="R90" s="24"/>
      <c r="S90" s="23"/>
      <c r="T90" s="23"/>
      <c r="U90" s="23"/>
      <c r="W90" s="23">
        <v>100.02</v>
      </c>
      <c r="X90" s="23">
        <v>100.02</v>
      </c>
      <c r="Y90" s="23">
        <v>100.02</v>
      </c>
      <c r="Z90" s="23">
        <v>100.02</v>
      </c>
      <c r="AA90" s="23"/>
    </row>
    <row r="91" spans="12:27" x14ac:dyDescent="0.25">
      <c r="L91" s="23"/>
      <c r="M91" s="23" t="s">
        <v>266</v>
      </c>
      <c r="N91" s="23"/>
      <c r="O91" s="24"/>
      <c r="P91" s="23"/>
      <c r="Q91" s="23"/>
      <c r="R91" s="24"/>
      <c r="S91" s="23"/>
      <c r="T91" s="23"/>
      <c r="U91" s="23"/>
      <c r="W91" s="23">
        <v>490.22</v>
      </c>
      <c r="X91" s="23"/>
      <c r="Y91" s="23"/>
      <c r="Z91" s="23"/>
      <c r="AA91" s="23"/>
    </row>
    <row r="92" spans="12:27" x14ac:dyDescent="0.25">
      <c r="L92" s="23"/>
      <c r="M92" s="23" t="s">
        <v>271</v>
      </c>
      <c r="N92" s="23"/>
      <c r="O92" s="24"/>
      <c r="P92" s="23"/>
      <c r="Q92" s="23"/>
      <c r="R92" s="24"/>
      <c r="S92" s="23"/>
      <c r="T92" s="23"/>
      <c r="U92" s="23"/>
      <c r="W92" s="23">
        <f>29.9+53.21</f>
        <v>83.11</v>
      </c>
      <c r="X92" s="23"/>
      <c r="Y92" s="23"/>
      <c r="Z92" s="23"/>
      <c r="AA92" s="23"/>
    </row>
    <row r="93" spans="12:27" x14ac:dyDescent="0.25">
      <c r="L93" s="23"/>
      <c r="M93" s="23" t="s">
        <v>267</v>
      </c>
      <c r="N93" s="23"/>
      <c r="O93" s="24"/>
      <c r="P93" s="23"/>
      <c r="Q93" s="23"/>
      <c r="R93" s="24"/>
      <c r="S93" s="23"/>
      <c r="T93" s="23"/>
      <c r="U93" s="23"/>
      <c r="W93" s="23">
        <v>49.72</v>
      </c>
      <c r="X93" s="23"/>
      <c r="Y93" s="23"/>
      <c r="Z93" s="23"/>
      <c r="AA93" s="23"/>
    </row>
    <row r="94" spans="12:27" x14ac:dyDescent="0.25">
      <c r="L94" s="23"/>
      <c r="M94" s="23" t="s">
        <v>268</v>
      </c>
      <c r="N94" s="23"/>
      <c r="O94" s="24"/>
      <c r="P94" s="23"/>
      <c r="Q94" s="23"/>
      <c r="R94" s="24"/>
      <c r="S94" s="23"/>
      <c r="T94" s="23"/>
      <c r="U94" s="23"/>
      <c r="W94" s="23">
        <v>49.99</v>
      </c>
      <c r="X94" s="23"/>
      <c r="Y94" s="23"/>
      <c r="Z94" s="23"/>
      <c r="AA94" s="23"/>
    </row>
    <row r="95" spans="12:27" x14ac:dyDescent="0.25">
      <c r="L95" s="23"/>
      <c r="M95" s="23" t="s">
        <v>269</v>
      </c>
      <c r="N95" s="23"/>
      <c r="O95" s="24"/>
      <c r="P95" s="23"/>
      <c r="Q95" s="23"/>
      <c r="R95" s="24"/>
      <c r="S95" s="23"/>
      <c r="T95" s="23"/>
      <c r="U95" s="23"/>
      <c r="W95" s="23">
        <v>29.9</v>
      </c>
      <c r="X95" s="23"/>
      <c r="Y95" s="23"/>
      <c r="Z95" s="23"/>
      <c r="AA95" s="23"/>
    </row>
    <row r="96" spans="12:27" x14ac:dyDescent="0.25">
      <c r="L96" s="23"/>
      <c r="M96" s="23" t="s">
        <v>270</v>
      </c>
      <c r="N96" s="23"/>
      <c r="O96" s="24"/>
      <c r="P96" s="23"/>
      <c r="Q96" s="23"/>
      <c r="R96" s="24"/>
      <c r="S96" s="23"/>
      <c r="T96" s="23"/>
      <c r="U96" s="23"/>
      <c r="W96" s="23">
        <v>30</v>
      </c>
      <c r="X96" s="23"/>
      <c r="Y96" s="23"/>
      <c r="Z96" s="23"/>
      <c r="AA96" s="23"/>
    </row>
    <row r="97" spans="12:27" x14ac:dyDescent="0.25">
      <c r="L97" s="23"/>
      <c r="M97" s="23"/>
      <c r="N97" s="23"/>
      <c r="O97" s="24"/>
      <c r="P97" s="23"/>
      <c r="Q97" s="23"/>
      <c r="R97" s="24"/>
      <c r="S97" s="23"/>
      <c r="T97" s="23"/>
      <c r="U97" s="23"/>
      <c r="W97" s="23"/>
      <c r="X97" s="23"/>
      <c r="Y97" s="23"/>
      <c r="Z97" s="23"/>
      <c r="AA97" s="23"/>
    </row>
    <row r="98" spans="12:27" x14ac:dyDescent="0.25">
      <c r="L98" s="23"/>
      <c r="M98" s="23"/>
      <c r="N98" s="23"/>
      <c r="O98" s="24"/>
      <c r="P98" s="23"/>
      <c r="Q98" s="23"/>
      <c r="R98" s="24"/>
      <c r="S98" s="23"/>
      <c r="T98" s="23"/>
      <c r="U98" s="23"/>
      <c r="W98" s="23"/>
      <c r="X98" s="23"/>
      <c r="Y98" s="23"/>
      <c r="Z98" s="23"/>
      <c r="AA98" s="23"/>
    </row>
    <row r="99" spans="12:27" x14ac:dyDescent="0.25">
      <c r="L99" s="23"/>
      <c r="M99" s="23"/>
      <c r="N99" s="23"/>
      <c r="O99" s="24"/>
      <c r="P99" s="23"/>
      <c r="Q99" s="23"/>
      <c r="R99" s="24"/>
      <c r="S99" s="23"/>
      <c r="T99" s="23"/>
      <c r="U99" s="23"/>
      <c r="W99" s="23"/>
      <c r="X99" s="23"/>
      <c r="Y99" s="23"/>
      <c r="Z99" s="23"/>
      <c r="AA99" s="23"/>
    </row>
    <row r="100" spans="12:27" x14ac:dyDescent="0.25">
      <c r="L100" s="23"/>
      <c r="M100" s="23"/>
      <c r="N100" s="24">
        <f t="shared" ref="N100:U100" si="0">SUM(N8:N80)</f>
        <v>7119.9400000000014</v>
      </c>
      <c r="O100" s="24">
        <f t="shared" si="0"/>
        <v>10207.779999999997</v>
      </c>
      <c r="P100" s="24">
        <f t="shared" si="0"/>
        <v>3594.59</v>
      </c>
      <c r="Q100" s="24">
        <f t="shared" si="0"/>
        <v>871.21</v>
      </c>
      <c r="R100" s="24">
        <f t="shared" si="0"/>
        <v>632.8599999999999</v>
      </c>
      <c r="S100" s="24">
        <f t="shared" si="0"/>
        <v>453.65999999999997</v>
      </c>
      <c r="T100" s="24">
        <f t="shared" si="0"/>
        <v>453.65999999999997</v>
      </c>
      <c r="U100" s="24">
        <f t="shared" si="0"/>
        <v>400</v>
      </c>
      <c r="W100" s="24">
        <f>SUM(W8:W96)</f>
        <v>8961.119999999999</v>
      </c>
      <c r="X100" s="24">
        <f>SUM(X8:X80)</f>
        <v>983.34</v>
      </c>
      <c r="Y100" s="23"/>
      <c r="Z100" s="23"/>
      <c r="AA100" s="23"/>
    </row>
    <row r="101" spans="12:27" x14ac:dyDescent="0.25">
      <c r="L101" s="23"/>
      <c r="M101" s="23" t="s">
        <v>191</v>
      </c>
      <c r="N101" s="25">
        <f>N27+N32+N33+N34+N35</f>
        <v>272.86</v>
      </c>
      <c r="O101" s="24">
        <f>O27+O32+O33+O34+O35+O54+O74</f>
        <v>362.27</v>
      </c>
      <c r="P101" s="76">
        <v>700</v>
      </c>
      <c r="Q101" s="23"/>
      <c r="R101" s="23"/>
      <c r="S101" s="23"/>
      <c r="T101" s="23"/>
      <c r="U101" s="23"/>
      <c r="W101" s="25">
        <f>W100-8804.92</f>
        <v>156.19999999999891</v>
      </c>
      <c r="X101" s="23"/>
      <c r="Y101" s="23"/>
      <c r="Z101" s="23"/>
      <c r="AA101" s="23"/>
    </row>
    <row r="102" spans="12:27" x14ac:dyDescent="0.25">
      <c r="L102" s="23"/>
      <c r="M102" s="23"/>
      <c r="N102" s="25">
        <f>N100-N101</f>
        <v>6847.0800000000017</v>
      </c>
      <c r="O102" s="25">
        <f>O100-O101</f>
        <v>9845.5099999999966</v>
      </c>
      <c r="P102" s="78" t="s">
        <v>216</v>
      </c>
      <c r="Q102" s="23"/>
      <c r="R102" s="23"/>
      <c r="S102" s="23"/>
      <c r="T102" s="23"/>
      <c r="U102" s="23"/>
      <c r="W102" s="23"/>
      <c r="X102" s="23"/>
      <c r="Y102" s="23"/>
      <c r="Z102" s="23"/>
      <c r="AA102" s="23"/>
    </row>
    <row r="103" spans="12:27" x14ac:dyDescent="0.25">
      <c r="L103" s="23"/>
      <c r="M103" s="23"/>
      <c r="N103" s="23"/>
      <c r="O103" s="24"/>
      <c r="P103" s="23"/>
      <c r="Q103" s="23"/>
      <c r="R103" s="23"/>
      <c r="S103" s="23"/>
      <c r="T103" s="23"/>
      <c r="U103" s="23"/>
      <c r="W103" s="23"/>
      <c r="X103" s="23"/>
      <c r="Y103" s="23"/>
      <c r="Z103" s="23"/>
      <c r="AA103" s="23"/>
    </row>
  </sheetData>
  <autoFilter ref="L7:AH102" xr:uid="{D91ECE3B-6F17-41CE-ADA2-70F00080B4E1}">
    <sortState xmlns:xlrd2="http://schemas.microsoft.com/office/spreadsheetml/2017/richdata2" ref="L8:AH102">
      <sortCondition ref="L7:L102"/>
    </sortState>
  </autoFilter>
  <mergeCells count="4">
    <mergeCell ref="E2:F2"/>
    <mergeCell ref="N6:U6"/>
    <mergeCell ref="W6:AD6"/>
    <mergeCell ref="AE6:AH6"/>
  </mergeCells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F8616-3676-4CD8-8346-1C4F1C8A9BF6}">
  <dimension ref="B1:Z43"/>
  <sheetViews>
    <sheetView showGridLines="0" zoomScaleNormal="100" workbookViewId="0">
      <selection activeCell="E2" sqref="E2:F2"/>
    </sheetView>
  </sheetViews>
  <sheetFormatPr defaultRowHeight="15" x14ac:dyDescent="0.25"/>
  <cols>
    <col min="2" max="2" width="11.5703125" bestFit="1" customWidth="1"/>
    <col min="3" max="3" width="16.140625" customWidth="1"/>
    <col min="4" max="5" width="10.5703125" bestFit="1" customWidth="1"/>
    <col min="6" max="6" width="13.7109375" customWidth="1"/>
    <col min="7" max="7" width="10.5703125" bestFit="1" customWidth="1"/>
    <col min="8" max="8" width="4" bestFit="1" customWidth="1"/>
    <col min="9" max="9" width="7.28515625" hidden="1" customWidth="1"/>
    <col min="10" max="10" width="0" hidden="1" customWidth="1"/>
    <col min="11" max="11" width="10.5703125" bestFit="1" customWidth="1"/>
    <col min="12" max="12" width="10.28515625" bestFit="1" customWidth="1"/>
    <col min="13" max="13" width="23" bestFit="1" customWidth="1"/>
    <col min="14" max="14" width="1.5703125" customWidth="1"/>
    <col min="15" max="15" width="10.5703125" bestFit="1" customWidth="1"/>
    <col min="18" max="18" width="11.5703125" bestFit="1" customWidth="1"/>
    <col min="20" max="20" width="11.5703125" bestFit="1" customWidth="1"/>
    <col min="25" max="25" width="10.5703125" bestFit="1" customWidth="1"/>
  </cols>
  <sheetData>
    <row r="1" spans="2:26" ht="15.75" thickBot="1" x14ac:dyDescent="0.3">
      <c r="B1" s="42" t="s">
        <v>234</v>
      </c>
      <c r="C1" s="44">
        <v>11100</v>
      </c>
      <c r="D1" s="39"/>
      <c r="E1" s="39"/>
      <c r="F1" s="39"/>
      <c r="O1" s="24">
        <v>241088.96</v>
      </c>
      <c r="P1" s="110">
        <v>45413</v>
      </c>
      <c r="R1" s="24">
        <f>O1-6500</f>
        <v>234588.96</v>
      </c>
      <c r="S1" s="24"/>
      <c r="T1" s="7"/>
    </row>
    <row r="2" spans="2:26" ht="15.75" thickBot="1" x14ac:dyDescent="0.3">
      <c r="B2" s="39"/>
      <c r="C2" s="40"/>
      <c r="D2" s="40"/>
      <c r="E2" s="152" t="s">
        <v>253</v>
      </c>
      <c r="F2" s="152"/>
      <c r="O2" s="24">
        <v>212573.18</v>
      </c>
      <c r="P2" s="110">
        <v>45474</v>
      </c>
      <c r="R2" s="24">
        <v>204395.35</v>
      </c>
      <c r="Y2" s="5">
        <v>31164.23</v>
      </c>
    </row>
    <row r="3" spans="2:26" x14ac:dyDescent="0.25">
      <c r="B3" s="97" t="s">
        <v>96</v>
      </c>
      <c r="C3" s="40">
        <v>-1925.45</v>
      </c>
      <c r="D3" s="40"/>
      <c r="E3" s="95">
        <v>99</v>
      </c>
      <c r="F3" s="94">
        <v>31209.42</v>
      </c>
      <c r="G3" s="94">
        <v>80000</v>
      </c>
      <c r="K3" s="94">
        <f>-F3+G3</f>
        <v>48790.58</v>
      </c>
      <c r="O3" s="26">
        <f>O2-O1</f>
        <v>-28515.78</v>
      </c>
      <c r="R3" s="26">
        <f>R2-R1</f>
        <v>-30193.609999999986</v>
      </c>
      <c r="T3" s="5"/>
    </row>
    <row r="4" spans="2:26" x14ac:dyDescent="0.25">
      <c r="B4" s="97" t="s">
        <v>235</v>
      </c>
      <c r="C4" s="40">
        <v>-350</v>
      </c>
      <c r="D4" s="40"/>
      <c r="E4" s="96" t="s">
        <v>236</v>
      </c>
      <c r="F4" s="94">
        <v>110765.03</v>
      </c>
      <c r="G4" s="94">
        <f>10126.33+59575.43</f>
        <v>69701.759999999995</v>
      </c>
      <c r="K4" s="94">
        <f t="shared" ref="K4:K10" si="0">-F4+G4</f>
        <v>-41063.270000000004</v>
      </c>
      <c r="L4" s="11"/>
      <c r="T4" s="5"/>
    </row>
    <row r="5" spans="2:26" x14ac:dyDescent="0.25">
      <c r="B5" s="97" t="s">
        <v>237</v>
      </c>
      <c r="C5" s="40">
        <v>-60</v>
      </c>
      <c r="D5" s="40"/>
      <c r="E5" s="96" t="s">
        <v>238</v>
      </c>
      <c r="F5" s="94">
        <v>20</v>
      </c>
      <c r="G5" s="94">
        <f>13025+10000</f>
        <v>23025</v>
      </c>
      <c r="K5" s="94">
        <f t="shared" si="0"/>
        <v>23005</v>
      </c>
      <c r="T5" s="5"/>
    </row>
    <row r="6" spans="2:26" ht="15.75" thickBot="1" x14ac:dyDescent="0.3">
      <c r="B6" s="97" t="s">
        <v>239</v>
      </c>
      <c r="C6" s="40">
        <v>-180</v>
      </c>
      <c r="D6" s="40"/>
      <c r="E6" s="40"/>
      <c r="F6" s="43">
        <f>SUM(F3:F5)</f>
        <v>141994.45000000001</v>
      </c>
      <c r="G6" s="43">
        <f>SUM(G3:G5)</f>
        <v>172726.76</v>
      </c>
      <c r="K6" s="43">
        <f t="shared" si="0"/>
        <v>30732.309999999998</v>
      </c>
      <c r="O6" s="153">
        <v>2024</v>
      </c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</row>
    <row r="7" spans="2:26" ht="15.75" thickBot="1" x14ac:dyDescent="0.3">
      <c r="B7" s="42" t="s">
        <v>240</v>
      </c>
      <c r="C7" s="48">
        <f>SUM(C2:C6)</f>
        <v>-2515.4499999999998</v>
      </c>
      <c r="D7" s="39"/>
      <c r="E7" s="40" t="s">
        <v>241</v>
      </c>
      <c r="F7" s="41">
        <v>47732.33</v>
      </c>
      <c r="G7" s="94">
        <v>30049.279999999999</v>
      </c>
      <c r="K7" s="94">
        <f t="shared" si="0"/>
        <v>-17683.050000000003</v>
      </c>
      <c r="L7" s="23" t="s">
        <v>204</v>
      </c>
      <c r="M7" s="23" t="s">
        <v>289</v>
      </c>
      <c r="O7" s="23" t="s">
        <v>255</v>
      </c>
      <c r="P7" s="23" t="s">
        <v>217</v>
      </c>
      <c r="Q7" s="23" t="s">
        <v>254</v>
      </c>
      <c r="R7" s="23" t="s">
        <v>256</v>
      </c>
      <c r="S7" s="23" t="s">
        <v>193</v>
      </c>
      <c r="T7" s="23" t="s">
        <v>170</v>
      </c>
      <c r="U7" s="23" t="s">
        <v>171</v>
      </c>
      <c r="V7" s="23" t="s">
        <v>192</v>
      </c>
      <c r="W7" s="23" t="s">
        <v>210</v>
      </c>
      <c r="X7" s="23" t="s">
        <v>211</v>
      </c>
      <c r="Y7" s="23" t="s">
        <v>212</v>
      </c>
      <c r="Z7" s="23" t="s">
        <v>213</v>
      </c>
    </row>
    <row r="8" spans="2:26" x14ac:dyDescent="0.25">
      <c r="B8" s="39"/>
      <c r="C8" s="39"/>
      <c r="D8" s="39"/>
      <c r="E8" s="40" t="s">
        <v>242</v>
      </c>
      <c r="F8" s="94">
        <v>8561.31</v>
      </c>
      <c r="G8" s="94">
        <v>1733.07</v>
      </c>
      <c r="I8" s="70"/>
      <c r="J8" s="71"/>
      <c r="K8" s="94">
        <f t="shared" si="0"/>
        <v>-6828.24</v>
      </c>
      <c r="L8" s="23" t="s">
        <v>290</v>
      </c>
      <c r="M8" s="23" t="s">
        <v>274</v>
      </c>
      <c r="O8" s="24">
        <v>341.29</v>
      </c>
      <c r="P8" s="24">
        <v>0</v>
      </c>
      <c r="Q8" s="24">
        <f>341.29+341.29</f>
        <v>682.58</v>
      </c>
      <c r="R8" s="24">
        <v>0</v>
      </c>
      <c r="S8" s="24">
        <f>341.29+341.29</f>
        <v>682.58</v>
      </c>
      <c r="T8" s="24"/>
      <c r="U8" s="5"/>
      <c r="V8" s="5"/>
      <c r="W8" s="5"/>
      <c r="X8" s="5"/>
      <c r="Y8" s="5"/>
      <c r="Z8" s="5"/>
    </row>
    <row r="9" spans="2:26" x14ac:dyDescent="0.25">
      <c r="B9" s="39"/>
      <c r="C9" s="39"/>
      <c r="D9" s="39"/>
      <c r="E9" s="40" t="s">
        <v>244</v>
      </c>
      <c r="F9" s="94">
        <v>14285.09</v>
      </c>
      <c r="G9" s="94">
        <v>5493.42</v>
      </c>
      <c r="I9" s="70"/>
      <c r="K9" s="94">
        <f t="shared" si="0"/>
        <v>-8791.67</v>
      </c>
      <c r="L9" s="23" t="s">
        <v>290</v>
      </c>
      <c r="M9" s="23" t="s">
        <v>275</v>
      </c>
      <c r="O9" s="24">
        <f>150+155</f>
        <v>305</v>
      </c>
      <c r="P9" s="24">
        <f>50+28</f>
        <v>78</v>
      </c>
      <c r="Q9" s="24">
        <v>35</v>
      </c>
      <c r="R9" s="24">
        <v>55</v>
      </c>
      <c r="S9" s="24">
        <f>55+35</f>
        <v>90</v>
      </c>
      <c r="T9" s="24"/>
      <c r="U9" s="5"/>
      <c r="V9" s="5"/>
      <c r="W9" s="5"/>
      <c r="X9" s="5"/>
      <c r="Y9" s="5"/>
      <c r="Z9" s="5"/>
    </row>
    <row r="10" spans="2:26" ht="15.75" thickBot="1" x14ac:dyDescent="0.3">
      <c r="B10" s="39"/>
      <c r="C10" s="39"/>
      <c r="D10" s="39"/>
      <c r="E10" s="39"/>
      <c r="F10" s="48">
        <f>SUM(F7:F9)</f>
        <v>70578.73</v>
      </c>
      <c r="G10" s="48">
        <f>SUM(G7:G9)</f>
        <v>37275.769999999997</v>
      </c>
      <c r="I10" s="70"/>
      <c r="K10" s="43">
        <f t="shared" si="0"/>
        <v>-33302.959999999999</v>
      </c>
      <c r="L10" s="23" t="s">
        <v>290</v>
      </c>
      <c r="M10" s="23" t="s">
        <v>258</v>
      </c>
      <c r="O10" s="24">
        <v>649.20000000000005</v>
      </c>
      <c r="P10" s="24">
        <v>53.3</v>
      </c>
      <c r="Q10" s="24">
        <v>0</v>
      </c>
      <c r="R10" s="24">
        <v>0</v>
      </c>
      <c r="S10" s="24">
        <v>0</v>
      </c>
      <c r="T10" s="24"/>
      <c r="U10" s="5"/>
      <c r="V10" s="5"/>
      <c r="W10" s="5"/>
      <c r="X10" s="5"/>
      <c r="Y10" s="5"/>
      <c r="Z10" s="5"/>
    </row>
    <row r="11" spans="2:26" x14ac:dyDescent="0.25">
      <c r="B11" s="39" t="s">
        <v>243</v>
      </c>
      <c r="C11" s="40">
        <f>8000*6</f>
        <v>48000</v>
      </c>
      <c r="D11" s="39"/>
      <c r="I11" s="70"/>
      <c r="L11" s="23" t="s">
        <v>180</v>
      </c>
      <c r="M11" s="23" t="s">
        <v>77</v>
      </c>
      <c r="O11" s="24">
        <v>1145.5</v>
      </c>
      <c r="P11" s="24">
        <v>0</v>
      </c>
      <c r="Q11" s="24">
        <f>1150.11</f>
        <v>1150.1099999999999</v>
      </c>
      <c r="R11" s="24">
        <v>1165.96</v>
      </c>
      <c r="S11" s="24">
        <v>1061.3399999999999</v>
      </c>
      <c r="T11" s="24">
        <v>1077.53</v>
      </c>
      <c r="U11" s="5"/>
      <c r="V11" s="5"/>
      <c r="W11" s="5"/>
      <c r="X11" s="5"/>
      <c r="Y11" s="5"/>
      <c r="Z11" s="5"/>
    </row>
    <row r="12" spans="2:26" x14ac:dyDescent="0.25">
      <c r="B12" s="39"/>
      <c r="C12" s="39"/>
      <c r="D12" s="39"/>
      <c r="E12" s="39"/>
      <c r="F12" s="41">
        <f>F6+F10</f>
        <v>212573.18</v>
      </c>
      <c r="G12" s="41">
        <f>G6+G10</f>
        <v>210002.53</v>
      </c>
      <c r="I12" s="70"/>
      <c r="K12" s="41">
        <f>K6+K10</f>
        <v>-2570.6500000000015</v>
      </c>
      <c r="L12" s="23" t="s">
        <v>180</v>
      </c>
      <c r="M12" s="23" t="s">
        <v>90</v>
      </c>
      <c r="O12" s="24">
        <v>113.82</v>
      </c>
      <c r="P12" s="24">
        <v>0</v>
      </c>
      <c r="Q12" s="106">
        <v>114.55</v>
      </c>
      <c r="R12" s="24">
        <v>111.55</v>
      </c>
      <c r="S12" s="24">
        <v>117.01</v>
      </c>
      <c r="T12" s="24"/>
      <c r="U12" s="5"/>
      <c r="V12" s="5"/>
      <c r="W12" s="5"/>
      <c r="X12" s="5"/>
      <c r="Y12" s="5"/>
      <c r="Z12" s="5"/>
    </row>
    <row r="13" spans="2:26" x14ac:dyDescent="0.25">
      <c r="B13" s="39" t="s">
        <v>245</v>
      </c>
      <c r="C13" s="40">
        <f>-8000*20%</f>
        <v>-1600</v>
      </c>
      <c r="D13" s="39"/>
      <c r="E13" s="39"/>
      <c r="F13" s="5">
        <v>-8177.83</v>
      </c>
      <c r="I13" s="70"/>
      <c r="K13" s="11"/>
      <c r="L13" s="23" t="s">
        <v>180</v>
      </c>
      <c r="M13" s="23" t="s">
        <v>91</v>
      </c>
      <c r="O13" s="24">
        <v>0</v>
      </c>
      <c r="P13" s="24">
        <v>81.48</v>
      </c>
      <c r="Q13" s="24">
        <v>85.9</v>
      </c>
      <c r="R13" s="24">
        <v>94.19</v>
      </c>
      <c r="S13" s="24">
        <v>85.32</v>
      </c>
      <c r="T13" s="24"/>
      <c r="U13" s="5"/>
      <c r="V13" s="5"/>
      <c r="W13" s="5"/>
      <c r="X13" s="5"/>
      <c r="Y13" s="5"/>
      <c r="Z13" s="5"/>
    </row>
    <row r="14" spans="2:26" x14ac:dyDescent="0.25">
      <c r="B14" s="39"/>
      <c r="C14" s="39"/>
      <c r="D14" s="39"/>
      <c r="E14" s="39"/>
      <c r="F14" s="41">
        <f>SUM(F12:F13)</f>
        <v>204395.35</v>
      </c>
      <c r="L14" s="23" t="s">
        <v>180</v>
      </c>
      <c r="M14" s="23" t="s">
        <v>276</v>
      </c>
      <c r="O14" s="24">
        <v>25.9</v>
      </c>
      <c r="P14" s="24">
        <v>25.9</v>
      </c>
      <c r="Q14" s="24">
        <v>25.9</v>
      </c>
      <c r="R14" s="24">
        <v>25.9</v>
      </c>
      <c r="S14" s="24">
        <v>39.9</v>
      </c>
      <c r="T14" s="24">
        <v>39.9</v>
      </c>
      <c r="U14" s="5"/>
      <c r="V14" s="5"/>
      <c r="W14" s="5"/>
      <c r="X14" s="5"/>
      <c r="Y14" s="5"/>
      <c r="Z14" s="5"/>
    </row>
    <row r="15" spans="2:26" x14ac:dyDescent="0.25">
      <c r="B15" s="39" t="s">
        <v>246</v>
      </c>
      <c r="C15" s="41">
        <f>C1+C7+C13</f>
        <v>6984.5499999999993</v>
      </c>
      <c r="D15" s="39"/>
      <c r="E15" s="39"/>
      <c r="F15" s="40"/>
      <c r="I15" s="70"/>
      <c r="L15" s="23" t="s">
        <v>180</v>
      </c>
      <c r="M15" s="23" t="s">
        <v>247</v>
      </c>
      <c r="O15" s="24">
        <v>3126.62</v>
      </c>
      <c r="P15" s="24">
        <v>0</v>
      </c>
      <c r="Q15" s="24">
        <v>0</v>
      </c>
      <c r="R15" s="24">
        <v>0</v>
      </c>
      <c r="S15" s="24">
        <v>0</v>
      </c>
      <c r="T15" s="24"/>
      <c r="U15" s="5"/>
      <c r="V15" s="5"/>
      <c r="W15" s="5"/>
      <c r="X15" s="5"/>
      <c r="Y15" s="5"/>
      <c r="Z15" s="5"/>
    </row>
    <row r="16" spans="2:26" x14ac:dyDescent="0.25">
      <c r="B16" s="98" t="s">
        <v>247</v>
      </c>
      <c r="C16" s="99">
        <f>280000</f>
        <v>280000</v>
      </c>
      <c r="D16" s="39"/>
      <c r="E16" s="39"/>
      <c r="F16" s="41"/>
      <c r="I16" s="70"/>
      <c r="L16" s="23" t="s">
        <v>180</v>
      </c>
      <c r="M16" s="23" t="s">
        <v>277</v>
      </c>
      <c r="O16" s="24">
        <v>29.9</v>
      </c>
      <c r="P16" s="24">
        <f>69.99+93.15</f>
        <v>163.13999999999999</v>
      </c>
      <c r="Q16" s="24">
        <v>0</v>
      </c>
      <c r="R16" s="24">
        <f>108.48+75.54+29.9</f>
        <v>213.92000000000002</v>
      </c>
      <c r="S16" s="24">
        <v>0</v>
      </c>
      <c r="T16" s="24"/>
      <c r="U16" s="5"/>
      <c r="V16" s="5"/>
      <c r="W16" s="5"/>
      <c r="X16" s="5"/>
      <c r="Y16" s="5"/>
      <c r="Z16" s="5"/>
    </row>
    <row r="17" spans="2:26" x14ac:dyDescent="0.25">
      <c r="B17" s="100" t="s">
        <v>248</v>
      </c>
      <c r="C17" s="101">
        <v>51000</v>
      </c>
      <c r="D17" s="39"/>
      <c r="E17" s="39"/>
      <c r="L17" s="23" t="s">
        <v>201</v>
      </c>
      <c r="M17" s="23" t="s">
        <v>272</v>
      </c>
      <c r="O17" s="24">
        <v>0</v>
      </c>
      <c r="P17" s="24">
        <f>1433.28+1300.92</f>
        <v>2734.2</v>
      </c>
      <c r="Q17" s="24">
        <v>1424.94</v>
      </c>
      <c r="R17" s="24">
        <v>1423.55</v>
      </c>
      <c r="S17" s="24">
        <v>1392</v>
      </c>
      <c r="T17" s="24">
        <v>1392</v>
      </c>
      <c r="U17" s="5"/>
      <c r="V17" s="5"/>
      <c r="W17" s="5"/>
      <c r="X17" s="5"/>
      <c r="Y17" s="5"/>
      <c r="Z17" s="5"/>
    </row>
    <row r="18" spans="2:26" x14ac:dyDescent="0.25">
      <c r="B18" s="100" t="s">
        <v>249</v>
      </c>
      <c r="C18" s="101">
        <v>220000</v>
      </c>
      <c r="D18" s="39"/>
      <c r="E18" s="39"/>
      <c r="F18" s="39"/>
      <c r="I18" s="70"/>
      <c r="L18" s="23" t="s">
        <v>203</v>
      </c>
      <c r="M18" s="23" t="s">
        <v>273</v>
      </c>
      <c r="O18" s="24">
        <v>276.23</v>
      </c>
      <c r="P18" s="24">
        <f>27.91+77+6+211.98+50.77+6.27</f>
        <v>379.92999999999995</v>
      </c>
      <c r="Q18" s="24">
        <f>95.87+55.6+25+461.04+44.78+166.9+41.31</f>
        <v>890.5</v>
      </c>
      <c r="R18" s="24">
        <f>150.7+137.4</f>
        <v>288.10000000000002</v>
      </c>
      <c r="S18" s="24">
        <f>22+16+60.5+14+67.77+86+32.98+(32.98*7)-7.57</f>
        <v>522.54</v>
      </c>
      <c r="T18" s="24">
        <f>27+100.57</f>
        <v>127.57</v>
      </c>
      <c r="U18" s="5"/>
      <c r="V18" s="5"/>
      <c r="W18" s="5"/>
      <c r="X18" s="5"/>
      <c r="Y18" s="5"/>
      <c r="Z18" s="5"/>
    </row>
    <row r="19" spans="2:26" x14ac:dyDescent="0.25">
      <c r="B19" s="100" t="s">
        <v>250</v>
      </c>
      <c r="C19" s="102">
        <v>0.08</v>
      </c>
      <c r="D19" s="39"/>
      <c r="E19" s="39"/>
      <c r="F19" s="39"/>
      <c r="I19" s="70"/>
      <c r="L19" s="23" t="s">
        <v>203</v>
      </c>
      <c r="M19" s="23" t="s">
        <v>174</v>
      </c>
      <c r="O19" s="24">
        <f>274.38+85.38+24.9</f>
        <v>384.65999999999997</v>
      </c>
      <c r="P19" s="24">
        <f>33.73+42.84+24.9</f>
        <v>101.47</v>
      </c>
      <c r="Q19" s="24">
        <f>16.67+124.74+50+29.2+68.9</f>
        <v>289.51</v>
      </c>
      <c r="R19" s="24">
        <f>41.98+3+43.29+47.25+59.89+24.9+41.35+66.27+39+84</f>
        <v>450.92999999999995</v>
      </c>
      <c r="S19" s="24">
        <f>59.06+56.73+43.26+45.22+37.98+17.24+86.62+24.9+119.29</f>
        <v>490.29999999999995</v>
      </c>
      <c r="T19" s="24">
        <f>54.39+111.09+44.53</f>
        <v>210.01000000000002</v>
      </c>
      <c r="U19" s="5"/>
      <c r="V19" s="5"/>
      <c r="W19" s="5"/>
      <c r="X19" s="5"/>
      <c r="Y19" s="5"/>
      <c r="Z19" s="5"/>
    </row>
    <row r="20" spans="2:26" ht="15.75" thickBot="1" x14ac:dyDescent="0.3">
      <c r="B20" s="103" t="s">
        <v>251</v>
      </c>
      <c r="C20" s="104">
        <v>1628.06</v>
      </c>
      <c r="D20" s="23" t="s">
        <v>252</v>
      </c>
      <c r="I20" s="70"/>
      <c r="L20" s="23" t="s">
        <v>203</v>
      </c>
      <c r="M20" s="23" t="s">
        <v>177</v>
      </c>
      <c r="O20" s="24">
        <v>43.6</v>
      </c>
      <c r="P20" s="24">
        <v>14.49</v>
      </c>
      <c r="Q20" s="24">
        <f>109.2</f>
        <v>109.2</v>
      </c>
      <c r="R20" s="24">
        <v>5</v>
      </c>
      <c r="S20" s="24">
        <v>0</v>
      </c>
      <c r="T20" s="24"/>
      <c r="U20" s="5"/>
      <c r="V20" s="5"/>
      <c r="W20" s="5"/>
      <c r="X20" s="5"/>
      <c r="Y20" s="5"/>
      <c r="Z20" s="5"/>
    </row>
    <row r="21" spans="2:26" x14ac:dyDescent="0.25">
      <c r="I21" s="70"/>
      <c r="L21" s="23" t="s">
        <v>203</v>
      </c>
      <c r="M21" s="23" t="s">
        <v>259</v>
      </c>
      <c r="O21" s="24">
        <v>833.34</v>
      </c>
      <c r="P21" s="24">
        <v>833.34</v>
      </c>
      <c r="Q21" s="24">
        <v>833.34</v>
      </c>
      <c r="R21" s="24">
        <v>0</v>
      </c>
      <c r="S21" s="24">
        <v>0</v>
      </c>
      <c r="T21" s="24"/>
      <c r="U21" s="5"/>
      <c r="V21" s="5"/>
      <c r="W21" s="5"/>
      <c r="X21" s="5"/>
      <c r="Y21" s="5"/>
      <c r="Z21" s="5"/>
    </row>
    <row r="22" spans="2:26" x14ac:dyDescent="0.25">
      <c r="C22" s="105">
        <v>6577</v>
      </c>
      <c r="I22" s="70"/>
      <c r="L22" s="23" t="s">
        <v>203</v>
      </c>
      <c r="M22" s="23" t="s">
        <v>270</v>
      </c>
      <c r="O22" s="5">
        <v>33.69</v>
      </c>
      <c r="P22" s="24">
        <f>69+38.69</f>
        <v>107.69</v>
      </c>
      <c r="Q22" s="24">
        <f>106+33.69</f>
        <v>139.69</v>
      </c>
      <c r="R22" s="24">
        <f>24.99+24.99+10+197.97</f>
        <v>257.95</v>
      </c>
      <c r="S22" s="24">
        <f>20.9+93.32+149.5+55</f>
        <v>318.72000000000003</v>
      </c>
      <c r="T22" s="24">
        <f>55+150+93.31-7.44-0.78+(149.5*3)+93.31</f>
        <v>831.90000000000009</v>
      </c>
      <c r="U22" s="5"/>
      <c r="V22" s="5"/>
      <c r="W22" s="5"/>
      <c r="X22" s="5"/>
      <c r="Y22" s="5"/>
      <c r="Z22" s="5"/>
    </row>
    <row r="23" spans="2:26" x14ac:dyDescent="0.25">
      <c r="C23" s="7">
        <f>C22*30%</f>
        <v>1973.1</v>
      </c>
      <c r="I23" s="70"/>
      <c r="L23" s="23" t="s">
        <v>203</v>
      </c>
      <c r="M23" s="23" t="s">
        <v>0</v>
      </c>
      <c r="O23" s="24">
        <v>539.94000000000005</v>
      </c>
      <c r="P23" s="24">
        <v>0</v>
      </c>
      <c r="Q23" s="24">
        <f>4202.44+39.98+5</f>
        <v>4247.4199999999992</v>
      </c>
      <c r="R23" s="24">
        <v>4202.4399999999996</v>
      </c>
      <c r="S23" s="24">
        <v>0</v>
      </c>
      <c r="T23" s="24"/>
      <c r="U23" s="5"/>
      <c r="V23" s="5"/>
      <c r="W23" s="5"/>
      <c r="X23" s="5"/>
      <c r="Y23" s="5"/>
      <c r="Z23" s="5"/>
    </row>
    <row r="24" spans="2:26" x14ac:dyDescent="0.25">
      <c r="L24" s="23" t="s">
        <v>203</v>
      </c>
      <c r="M24" s="23" t="s">
        <v>271</v>
      </c>
      <c r="O24" s="24">
        <f>29.9+53.21</f>
        <v>83.11</v>
      </c>
      <c r="P24" s="24">
        <f>53.19+29.9</f>
        <v>83.09</v>
      </c>
      <c r="Q24" s="24">
        <f>53.19+35.02+50.45</f>
        <v>138.66000000000003</v>
      </c>
      <c r="R24" s="24">
        <f>50.43+(50.43*3)-2.51+23.98+39.8+51.96+29.9+59.65+62.6</f>
        <v>467.09999999999997</v>
      </c>
      <c r="S24" s="24">
        <f>51.96+54.64+54.95+56.67+99.99+82.34+64.78+77.62+17.14+5.9+29.9</f>
        <v>595.89</v>
      </c>
      <c r="T24" s="24">
        <f>77.62+56.66+54.95+51.96+64.77-1.3-0.47-1.94+(77.62*2)+56.66+(51.96*2)</f>
        <v>618.06999999999994</v>
      </c>
      <c r="U24" s="5"/>
      <c r="V24" s="5"/>
      <c r="W24" s="5"/>
      <c r="X24" s="5"/>
      <c r="Y24" s="5"/>
      <c r="Z24" s="5"/>
    </row>
    <row r="25" spans="2:26" x14ac:dyDescent="0.25">
      <c r="I25" s="70"/>
      <c r="L25" s="23" t="s">
        <v>203</v>
      </c>
      <c r="M25" s="23" t="s">
        <v>288</v>
      </c>
      <c r="O25" s="24">
        <v>0</v>
      </c>
      <c r="P25" s="24">
        <v>0</v>
      </c>
      <c r="Q25" s="24">
        <v>0</v>
      </c>
      <c r="R25" s="24">
        <v>120</v>
      </c>
      <c r="S25" s="24">
        <v>281.77999999999997</v>
      </c>
      <c r="T25" s="24">
        <f>161.78-1.35+10+161.78</f>
        <v>332.21000000000004</v>
      </c>
      <c r="U25" s="24"/>
      <c r="V25" s="5"/>
      <c r="W25" s="5"/>
      <c r="X25" s="5"/>
      <c r="Y25" s="5"/>
      <c r="Z25" s="5"/>
    </row>
    <row r="26" spans="2:26" x14ac:dyDescent="0.25">
      <c r="D26" t="s">
        <v>292</v>
      </c>
      <c r="E26" s="7">
        <f>C1*1.5</f>
        <v>16650</v>
      </c>
      <c r="I26" s="70"/>
      <c r="L26" s="23" t="s">
        <v>200</v>
      </c>
      <c r="M26" s="23" t="s">
        <v>278</v>
      </c>
      <c r="O26" s="24">
        <v>4.9000000000000004</v>
      </c>
      <c r="P26" s="24">
        <v>4.9000000000000004</v>
      </c>
      <c r="Q26" s="24">
        <v>4.9000000000000004</v>
      </c>
      <c r="R26" s="24">
        <v>4.9000000000000004</v>
      </c>
      <c r="S26" s="24">
        <v>4.9000000000000004</v>
      </c>
      <c r="T26" s="24"/>
      <c r="U26" s="5"/>
      <c r="V26" s="5"/>
      <c r="W26" s="5"/>
      <c r="X26" s="5"/>
      <c r="Y26" s="5"/>
      <c r="Z26" s="5"/>
    </row>
    <row r="27" spans="2:26" x14ac:dyDescent="0.25">
      <c r="D27" t="s">
        <v>232</v>
      </c>
      <c r="E27" s="7">
        <f>C1/3+1850+1233.33</f>
        <v>6783.33</v>
      </c>
      <c r="L27" s="23" t="s">
        <v>200</v>
      </c>
      <c r="M27" s="23" t="s">
        <v>284</v>
      </c>
      <c r="O27" s="24">
        <v>0</v>
      </c>
      <c r="P27" s="24">
        <f>35.04+176.77</f>
        <v>211.81</v>
      </c>
      <c r="Q27" s="24">
        <v>0</v>
      </c>
      <c r="R27" s="24">
        <f>42.73+220.14</f>
        <v>262.87</v>
      </c>
      <c r="S27" s="24">
        <v>0</v>
      </c>
      <c r="T27" s="24"/>
      <c r="U27" s="5"/>
      <c r="V27" s="5"/>
      <c r="W27" s="5"/>
      <c r="X27" s="5"/>
      <c r="Y27" s="5"/>
      <c r="Z27" s="5"/>
    </row>
    <row r="28" spans="2:26" x14ac:dyDescent="0.25">
      <c r="D28" t="s">
        <v>293</v>
      </c>
      <c r="E28" s="7">
        <f>C1/2</f>
        <v>5550</v>
      </c>
      <c r="L28" s="23" t="s">
        <v>200</v>
      </c>
      <c r="M28" s="23" t="s">
        <v>279</v>
      </c>
      <c r="O28" s="24">
        <v>60</v>
      </c>
      <c r="P28" s="24">
        <v>0</v>
      </c>
      <c r="Q28" s="24">
        <v>60</v>
      </c>
      <c r="R28" s="24">
        <v>60</v>
      </c>
      <c r="S28" s="24">
        <v>60</v>
      </c>
      <c r="T28" s="24"/>
      <c r="U28" s="5"/>
      <c r="V28" s="5"/>
      <c r="W28" s="5"/>
      <c r="X28" s="5"/>
      <c r="Y28" s="5"/>
      <c r="Z28" s="5"/>
    </row>
    <row r="29" spans="2:26" x14ac:dyDescent="0.25">
      <c r="I29" s="70"/>
      <c r="L29" s="23" t="s">
        <v>281</v>
      </c>
      <c r="M29" s="23" t="s">
        <v>286</v>
      </c>
      <c r="O29" s="24">
        <v>150.01</v>
      </c>
      <c r="P29" s="24">
        <v>100.02</v>
      </c>
      <c r="Q29" s="24">
        <v>99.99</v>
      </c>
      <c r="R29" s="24">
        <v>99.99</v>
      </c>
      <c r="S29" s="24">
        <f>76.5+43.19</f>
        <v>119.69</v>
      </c>
      <c r="T29" s="24">
        <f>76.5</f>
        <v>76.5</v>
      </c>
      <c r="U29" s="5"/>
      <c r="V29" s="5"/>
      <c r="W29" s="5"/>
      <c r="X29" s="5"/>
      <c r="Y29" s="5"/>
      <c r="Z29" s="5"/>
    </row>
    <row r="30" spans="2:26" x14ac:dyDescent="0.25">
      <c r="I30" s="70"/>
      <c r="L30" s="23" t="s">
        <v>194</v>
      </c>
      <c r="M30" s="23" t="s">
        <v>257</v>
      </c>
      <c r="O30" s="24">
        <v>50</v>
      </c>
      <c r="P30" s="24">
        <v>50</v>
      </c>
      <c r="Q30" s="24">
        <v>50</v>
      </c>
      <c r="R30" s="24">
        <f>200-6.19+50</f>
        <v>243.81</v>
      </c>
      <c r="S30" s="24"/>
      <c r="T30" s="24"/>
      <c r="U30" s="5"/>
      <c r="V30" s="5"/>
      <c r="W30" s="5"/>
      <c r="X30" s="5"/>
      <c r="Y30" s="5"/>
      <c r="Z30" s="5"/>
    </row>
    <row r="31" spans="2:26" x14ac:dyDescent="0.25">
      <c r="I31" s="70"/>
      <c r="L31" s="23" t="s">
        <v>287</v>
      </c>
      <c r="M31" s="23" t="s">
        <v>282</v>
      </c>
      <c r="O31" s="24">
        <v>0</v>
      </c>
      <c r="P31" s="24">
        <v>129.9</v>
      </c>
      <c r="Q31" s="24">
        <v>0</v>
      </c>
      <c r="R31" s="24">
        <v>0</v>
      </c>
      <c r="S31" s="24">
        <v>0</v>
      </c>
      <c r="T31" s="24"/>
      <c r="U31" s="5"/>
      <c r="V31" s="5"/>
      <c r="W31" s="5"/>
      <c r="X31" s="5"/>
      <c r="Y31" s="5"/>
      <c r="Z31" s="5"/>
    </row>
    <row r="32" spans="2:26" x14ac:dyDescent="0.25">
      <c r="L32" s="23" t="s">
        <v>287</v>
      </c>
      <c r="M32" s="23" t="s">
        <v>285</v>
      </c>
      <c r="O32" s="24">
        <v>0</v>
      </c>
      <c r="P32" s="24">
        <f>59.71+31.34</f>
        <v>91.05</v>
      </c>
      <c r="Q32" s="24">
        <v>109.4</v>
      </c>
      <c r="R32" s="24">
        <v>51.34</v>
      </c>
      <c r="S32" s="24">
        <f>51.34+69.26</f>
        <v>120.60000000000001</v>
      </c>
      <c r="T32" s="24">
        <f>51.32+54.68</f>
        <v>106</v>
      </c>
      <c r="U32" s="5"/>
      <c r="V32" s="5"/>
      <c r="W32" s="5"/>
      <c r="X32" s="5"/>
      <c r="Y32" s="5"/>
      <c r="Z32" s="5"/>
    </row>
    <row r="33" spans="12:26" x14ac:dyDescent="0.25">
      <c r="L33" s="23" t="s">
        <v>196</v>
      </c>
      <c r="M33" s="23" t="s">
        <v>163</v>
      </c>
      <c r="O33" s="24">
        <v>120</v>
      </c>
      <c r="P33" s="24">
        <f>20+20+20+20+20+20</f>
        <v>120</v>
      </c>
      <c r="Q33" s="24">
        <f>20+20+20+20+20</f>
        <v>100</v>
      </c>
      <c r="R33" s="24">
        <f>20+20+20+20+20+20+20+20+20+20</f>
        <v>200</v>
      </c>
      <c r="S33" s="24">
        <f>20+20+20+20+20+20+20+20</f>
        <v>160</v>
      </c>
      <c r="T33" s="24">
        <f>20+20</f>
        <v>40</v>
      </c>
      <c r="U33" s="5"/>
      <c r="V33" s="5"/>
      <c r="W33" s="5"/>
      <c r="X33" s="5"/>
      <c r="Y33" s="5"/>
      <c r="Z33" s="5"/>
    </row>
    <row r="34" spans="12:26" x14ac:dyDescent="0.25">
      <c r="L34" s="23" t="s">
        <v>196</v>
      </c>
      <c r="M34" s="23" t="s">
        <v>280</v>
      </c>
      <c r="O34" s="24">
        <v>382.46</v>
      </c>
      <c r="P34" s="24">
        <f>30.73+11+39.91+26.96+26.94+19.78+24.17+22.32+19.79+39.94</f>
        <v>261.53999999999996</v>
      </c>
      <c r="Q34" s="24">
        <f>33+16.86+22.11+19.92+11.93+3.73+9.31+11.91+49.6+89.6+32.2+28.39</f>
        <v>328.56</v>
      </c>
      <c r="R34" s="24">
        <f>9.96+31.06+43.34+29.9+5.25+34.89+72.57+40.63+9.38+42.6+39.99</f>
        <v>359.57</v>
      </c>
      <c r="S34" s="24">
        <f>44.92+30.02+16.93+34.92+5.25+19.59+20.83+19.74+15.04+19.28+21.93+20.47+11.5+11.91</f>
        <v>292.3300000000001</v>
      </c>
      <c r="T34" s="24">
        <f>27.06+34.94+31.89+44.7+5.28</f>
        <v>143.87</v>
      </c>
      <c r="U34" s="5"/>
      <c r="V34" s="5"/>
      <c r="W34" s="5"/>
      <c r="X34" s="5"/>
      <c r="Y34" s="5"/>
      <c r="Z34" s="5"/>
    </row>
    <row r="35" spans="12:26" x14ac:dyDescent="0.25">
      <c r="L35" s="23" t="s">
        <v>196</v>
      </c>
      <c r="M35" s="23" t="s">
        <v>102</v>
      </c>
      <c r="O35" s="24">
        <v>85.64</v>
      </c>
      <c r="P35" s="24">
        <f>34.88+32.24</f>
        <v>67.12</v>
      </c>
      <c r="Q35" s="24"/>
      <c r="R35" s="24">
        <f>31.99+124.29</f>
        <v>156.28</v>
      </c>
      <c r="S35" s="24">
        <f>51.01</f>
        <v>51.01</v>
      </c>
      <c r="T35" s="24">
        <f>139.11+4.73+37.07</f>
        <v>180.91</v>
      </c>
      <c r="U35" s="5"/>
      <c r="V35" s="5"/>
      <c r="W35" s="5"/>
      <c r="X35" s="5"/>
      <c r="Y35" s="5"/>
      <c r="Z35" s="5"/>
    </row>
    <row r="36" spans="12:26" x14ac:dyDescent="0.25">
      <c r="L36" s="23" t="s">
        <v>291</v>
      </c>
      <c r="M36" s="23" t="s">
        <v>283</v>
      </c>
      <c r="O36" s="24"/>
      <c r="P36" s="24">
        <f>59.9+19</f>
        <v>78.900000000000006</v>
      </c>
      <c r="Q36" s="24"/>
      <c r="R36" s="24">
        <v>95</v>
      </c>
      <c r="S36" s="24">
        <v>95</v>
      </c>
      <c r="T36" s="24"/>
      <c r="U36" s="5"/>
      <c r="V36" s="5"/>
      <c r="W36" s="5"/>
      <c r="X36" s="5"/>
      <c r="Y36" s="5"/>
      <c r="Z36" s="5"/>
    </row>
    <row r="37" spans="12:26" x14ac:dyDescent="0.25">
      <c r="L37" s="23"/>
      <c r="M37" s="23"/>
      <c r="O37" s="23"/>
      <c r="P37" s="23"/>
      <c r="Q37" s="23"/>
      <c r="R37" s="23"/>
      <c r="S37" s="23"/>
      <c r="T37" s="23"/>
    </row>
    <row r="38" spans="12:26" x14ac:dyDescent="0.25">
      <c r="L38" s="23"/>
      <c r="M38" s="23"/>
      <c r="O38" s="24">
        <f t="shared" ref="O38:Z38" si="1">SUM(O8:O36)</f>
        <v>8784.8099999999977</v>
      </c>
      <c r="P38" s="24">
        <f t="shared" si="1"/>
        <v>5771.2699999999986</v>
      </c>
      <c r="Q38" s="24">
        <f t="shared" si="1"/>
        <v>10920.149999999998</v>
      </c>
      <c r="R38" s="24">
        <f t="shared" si="1"/>
        <v>10415.35</v>
      </c>
      <c r="S38" s="24">
        <f t="shared" si="1"/>
        <v>6580.91</v>
      </c>
      <c r="T38" s="24">
        <f t="shared" si="1"/>
        <v>5176.47</v>
      </c>
      <c r="U38" s="24">
        <f t="shared" si="1"/>
        <v>0</v>
      </c>
      <c r="V38" s="24">
        <f t="shared" si="1"/>
        <v>0</v>
      </c>
      <c r="W38" s="24">
        <f t="shared" si="1"/>
        <v>0</v>
      </c>
      <c r="X38" s="24">
        <f t="shared" si="1"/>
        <v>0</v>
      </c>
      <c r="Y38" s="24">
        <f t="shared" si="1"/>
        <v>0</v>
      </c>
      <c r="Z38" s="24">
        <f t="shared" si="1"/>
        <v>0</v>
      </c>
    </row>
    <row r="39" spans="12:26" x14ac:dyDescent="0.25">
      <c r="L39" s="23"/>
      <c r="M39" s="23"/>
      <c r="O39" s="24">
        <v>8804.92</v>
      </c>
      <c r="P39" s="24">
        <v>5857.34</v>
      </c>
      <c r="Q39" s="24">
        <v>10965.1</v>
      </c>
      <c r="R39" s="24">
        <v>10396.19</v>
      </c>
      <c r="S39" s="24">
        <v>6485.18</v>
      </c>
      <c r="T39" s="24">
        <v>5175.97</v>
      </c>
    </row>
    <row r="40" spans="12:26" x14ac:dyDescent="0.25">
      <c r="L40" s="23"/>
      <c r="M40" s="23"/>
      <c r="O40" s="25">
        <f t="shared" ref="O40:T40" si="2">O38-O39</f>
        <v>-20.110000000002401</v>
      </c>
      <c r="P40" s="25">
        <f t="shared" si="2"/>
        <v>-86.070000000001528</v>
      </c>
      <c r="Q40" s="25">
        <f t="shared" si="2"/>
        <v>-44.950000000002547</v>
      </c>
      <c r="R40" s="25">
        <f t="shared" si="2"/>
        <v>19.159999999999854</v>
      </c>
      <c r="S40" s="25">
        <f t="shared" si="2"/>
        <v>95.729999999999563</v>
      </c>
      <c r="T40" s="25">
        <f t="shared" si="2"/>
        <v>0.5</v>
      </c>
    </row>
    <row r="41" spans="12:26" x14ac:dyDescent="0.25">
      <c r="L41" s="23"/>
      <c r="M41" s="23"/>
      <c r="O41" s="23"/>
      <c r="P41" s="23"/>
      <c r="Q41" s="23"/>
      <c r="R41" s="23"/>
      <c r="S41" s="23"/>
    </row>
    <row r="43" spans="12:26" x14ac:dyDescent="0.25">
      <c r="O43" s="7"/>
      <c r="P43" s="7"/>
      <c r="Q43" s="7"/>
      <c r="R43" s="7"/>
      <c r="S43" s="7"/>
      <c r="T43" s="7"/>
    </row>
  </sheetData>
  <autoFilter ref="L7:Z40" xr:uid="{D91ECE3B-6F17-41CE-ADA2-70F00080B4E1}">
    <sortState xmlns:xlrd2="http://schemas.microsoft.com/office/spreadsheetml/2017/richdata2" ref="L8:Z40">
      <sortCondition ref="L7:L40"/>
    </sortState>
  </autoFilter>
  <mergeCells count="3">
    <mergeCell ref="E2:F2"/>
    <mergeCell ref="O6:V6"/>
    <mergeCell ref="W6:Z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3FFEE58A949046A51328CECF176CFF" ma:contentTypeVersion="9" ma:contentTypeDescription="Create a new document." ma:contentTypeScope="" ma:versionID="e1630402b2bb2eef1488845a1a235c4f">
  <xsd:schema xmlns:xsd="http://www.w3.org/2001/XMLSchema" xmlns:xs="http://www.w3.org/2001/XMLSchema" xmlns:p="http://schemas.microsoft.com/office/2006/metadata/properties" xmlns:ns3="141ffef2-f278-4dfb-a186-b459e4a57e1b" xmlns:ns4="14f0254c-a5d2-4e3f-b80b-2c4d98a9269d" targetNamespace="http://schemas.microsoft.com/office/2006/metadata/properties" ma:root="true" ma:fieldsID="5c7f5cf4c84aa54c65fecc9c6d2edd84" ns3:_="" ns4:_="">
    <xsd:import namespace="141ffef2-f278-4dfb-a186-b459e4a57e1b"/>
    <xsd:import namespace="14f0254c-a5d2-4e3f-b80b-2c4d98a9269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1ffef2-f278-4dfb-a186-b459e4a57e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0254c-a5d2-4e3f-b80b-2c4d98a9269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E44DC7-B4D4-40D2-AAE8-016198F9FB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0F71DF-1B8A-491C-8BC1-C1D9B7CD8A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1ffef2-f278-4dfb-a186-b459e4a57e1b"/>
    <ds:schemaRef ds:uri="14f0254c-a5d2-4e3f-b80b-2c4d98a926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E9FBAD-B67C-4520-A415-436E468AAE50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14f0254c-a5d2-4e3f-b80b-2c4d98a9269d"/>
    <ds:schemaRef ds:uri="141ffef2-f278-4dfb-a186-b459e4a57e1b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Peso</vt:lpstr>
      <vt:lpstr>Ações</vt:lpstr>
      <vt:lpstr>Ganhos </vt:lpstr>
      <vt:lpstr>Carro</vt:lpstr>
      <vt:lpstr>Pagamentos</vt:lpstr>
      <vt:lpstr>Planilha1</vt:lpstr>
      <vt:lpstr>Viagem</vt:lpstr>
      <vt:lpstr>Sheet1</vt:lpstr>
      <vt:lpstr>Gastos</vt:lpstr>
      <vt:lpstr>Gastos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Collete, Giovana</dc:creator>
  <cp:lastModifiedBy>Collete, Giovana</cp:lastModifiedBy>
  <dcterms:created xsi:type="dcterms:W3CDTF">2021-03-16T21:03:25Z</dcterms:created>
  <dcterms:modified xsi:type="dcterms:W3CDTF">2026-09-08T16:18:23Z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0x0101009A3FFEE58A949046A51328CECF176CFF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